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Mozart\Desktop\Planilhas Quentes\Projeto Spread\"/>
    </mc:Choice>
  </mc:AlternateContent>
  <xr:revisionPtr revIDLastSave="0" documentId="8_{D0D6C522-96DC-4E6B-86FC-42A999643C1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 Linha 7" sheetId="16" r:id="rId1"/>
    <sheet name="BOXSBTH" sheetId="4" r:id="rId2"/>
    <sheet name="BasketBox" sheetId="18" r:id="rId3"/>
    <sheet name="Parametros" sheetId="9" r:id="rId4"/>
    <sheet name="Exportados" sheetId="8" r:id="rId5"/>
  </sheets>
  <definedNames>
    <definedName name="botaopescaria">BOXSBTH!$K$1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4" l="1"/>
  <c r="L10" i="4"/>
  <c r="K11" i="4"/>
  <c r="K10" i="4"/>
  <c r="B7" i="4"/>
  <c r="D7" i="4"/>
  <c r="F7" i="4"/>
  <c r="G7" i="4" s="1"/>
  <c r="H7" i="4" s="1"/>
  <c r="I7" i="4"/>
  <c r="J7" i="4"/>
  <c r="K7" i="4"/>
  <c r="L7" i="4"/>
  <c r="M7" i="4"/>
  <c r="N7" i="4" s="1"/>
  <c r="W7" i="4"/>
  <c r="X7" i="4"/>
  <c r="Y7" i="4"/>
  <c r="AA7" i="4"/>
  <c r="AB7" i="4"/>
  <c r="AC7" i="4"/>
  <c r="AG7" i="4" s="1"/>
  <c r="AD7" i="4"/>
  <c r="AE7" i="4"/>
  <c r="AF7" i="4"/>
  <c r="AH7" i="4" s="1"/>
  <c r="B8" i="4"/>
  <c r="D8" i="4"/>
  <c r="F8" i="4"/>
  <c r="G8" i="4" s="1"/>
  <c r="H8" i="4" s="1"/>
  <c r="I8" i="4"/>
  <c r="M8" i="4" s="1"/>
  <c r="N8" i="4" s="1"/>
  <c r="J8" i="4"/>
  <c r="K8" i="4"/>
  <c r="L8" i="4"/>
  <c r="W8" i="4"/>
  <c r="X8" i="4"/>
  <c r="Y8" i="4"/>
  <c r="AA8" i="4"/>
  <c r="AB8" i="4"/>
  <c r="AC8" i="4"/>
  <c r="AD8" i="4"/>
  <c r="AE8" i="4"/>
  <c r="AF8" i="4"/>
  <c r="AH8" i="4" s="1"/>
  <c r="AG8" i="4"/>
  <c r="K13" i="4"/>
  <c r="K12" i="4"/>
  <c r="K9" i="4"/>
  <c r="I11" i="4"/>
  <c r="I10" i="4"/>
  <c r="I13" i="4"/>
  <c r="I12" i="4"/>
  <c r="I9" i="4"/>
  <c r="L13" i="4"/>
  <c r="L12" i="4"/>
  <c r="L9" i="4"/>
  <c r="J11" i="4"/>
  <c r="J10" i="4"/>
  <c r="J13" i="4"/>
  <c r="J12" i="4"/>
  <c r="J9" i="4"/>
  <c r="D9" i="4"/>
  <c r="D12" i="4"/>
  <c r="D13" i="4"/>
  <c r="D10" i="4"/>
  <c r="D11" i="4"/>
  <c r="F9" i="4"/>
  <c r="G9" i="4" s="1"/>
  <c r="F12" i="4"/>
  <c r="G12" i="4" s="1"/>
  <c r="F13" i="4"/>
  <c r="F10" i="4"/>
  <c r="G10" i="4" s="1"/>
  <c r="F11" i="4"/>
  <c r="G11" i="4" s="1"/>
  <c r="B12" i="4"/>
  <c r="B9" i="4"/>
  <c r="W12" i="4"/>
  <c r="W9" i="4"/>
  <c r="X12" i="4"/>
  <c r="X9" i="4"/>
  <c r="Y12" i="4"/>
  <c r="Y9" i="4"/>
  <c r="AA12" i="4"/>
  <c r="AA9" i="4"/>
  <c r="AB12" i="4"/>
  <c r="AB9" i="4"/>
  <c r="AC12" i="4"/>
  <c r="AG12" i="4" s="1"/>
  <c r="AC9" i="4"/>
  <c r="AG9" i="4" s="1"/>
  <c r="AD12" i="4"/>
  <c r="AD9" i="4"/>
  <c r="AE12" i="4"/>
  <c r="AE9" i="4"/>
  <c r="AF12" i="4"/>
  <c r="AH12" i="4" s="1"/>
  <c r="AF9" i="4"/>
  <c r="AH9" i="4" s="1"/>
  <c r="B11" i="4"/>
  <c r="B10" i="4"/>
  <c r="W11" i="4"/>
  <c r="W10" i="4"/>
  <c r="X11" i="4"/>
  <c r="X10" i="4"/>
  <c r="Y11" i="4"/>
  <c r="Y10" i="4"/>
  <c r="AA11" i="4"/>
  <c r="AA10" i="4"/>
  <c r="AB11" i="4"/>
  <c r="AB10" i="4"/>
  <c r="AC11" i="4"/>
  <c r="AG11" i="4" s="1"/>
  <c r="AC10" i="4"/>
  <c r="AG10" i="4" s="1"/>
  <c r="AD11" i="4"/>
  <c r="AD10" i="4"/>
  <c r="AE11" i="4"/>
  <c r="AE10" i="4"/>
  <c r="AF11" i="4"/>
  <c r="AH11" i="4" s="1"/>
  <c r="AF10" i="4"/>
  <c r="AH10" i="4" s="1"/>
  <c r="AB13" i="4"/>
  <c r="AE13" i="4"/>
  <c r="Z7" i="4" l="1"/>
  <c r="P7" i="4"/>
  <c r="Q7" i="4" s="1"/>
  <c r="R8" i="4"/>
  <c r="S8" i="4" s="1"/>
  <c r="P8" i="4"/>
  <c r="Q8" i="4" s="1"/>
  <c r="Z8" i="4"/>
  <c r="O7" i="4"/>
  <c r="T7" i="4" s="1"/>
  <c r="O8" i="4"/>
  <c r="T8" i="4" s="1"/>
  <c r="R7" i="4"/>
  <c r="S7" i="4" s="1"/>
  <c r="R9" i="4"/>
  <c r="P9" i="4"/>
  <c r="Q9" i="4" s="1"/>
  <c r="M9" i="4"/>
  <c r="N9" i="4" s="1"/>
  <c r="R11" i="4"/>
  <c r="P11" i="4"/>
  <c r="Q11" i="4" s="1"/>
  <c r="M11" i="4"/>
  <c r="N11" i="4" s="1"/>
  <c r="P12" i="4"/>
  <c r="Q12" i="4" s="1"/>
  <c r="M12" i="4"/>
  <c r="N12" i="4" s="1"/>
  <c r="R10" i="4"/>
  <c r="P10" i="4"/>
  <c r="Q10" i="4" s="1"/>
  <c r="M10" i="4"/>
  <c r="N10" i="4" s="1"/>
  <c r="Z12" i="4"/>
  <c r="Z9" i="4"/>
  <c r="Z11" i="4"/>
  <c r="Z10" i="4"/>
  <c r="G13" i="4"/>
  <c r="AF13" i="4"/>
  <c r="AH13" i="4" s="1"/>
  <c r="AD13" i="4"/>
  <c r="AC13" i="4"/>
  <c r="AG13" i="4" s="1"/>
  <c r="AA13" i="4"/>
  <c r="X13" i="4"/>
  <c r="W13" i="4"/>
  <c r="Y13" i="4"/>
  <c r="B13" i="4"/>
  <c r="M13" i="4" s="1"/>
  <c r="N13" i="4" s="1"/>
  <c r="N2" i="4"/>
  <c r="N1" i="4"/>
  <c r="A2" i="4"/>
  <c r="B2" i="4" s="1"/>
  <c r="C2" i="4" s="1"/>
  <c r="U8" i="4" l="1"/>
  <c r="V8" i="4" s="1"/>
  <c r="U7" i="4"/>
  <c r="V7" i="4" s="1"/>
  <c r="S10" i="4"/>
  <c r="S11" i="4"/>
  <c r="S9" i="4"/>
  <c r="P13" i="4"/>
  <c r="Q13" i="4" s="1"/>
  <c r="H13" i="4"/>
  <c r="H10" i="4"/>
  <c r="H11" i="4"/>
  <c r="H9" i="4"/>
  <c r="H12" i="4"/>
  <c r="R12" i="4" s="1"/>
  <c r="S12" i="4" s="1"/>
  <c r="Z13" i="4"/>
  <c r="R13" i="4" l="1"/>
  <c r="S13" i="4" s="1"/>
  <c r="O13" i="4"/>
  <c r="T13" i="4" s="1"/>
  <c r="O10" i="4"/>
  <c r="T10" i="4" s="1"/>
  <c r="U10" i="4" s="1"/>
  <c r="V10" i="4" s="1"/>
  <c r="O12" i="4"/>
  <c r="T12" i="4" s="1"/>
  <c r="U12" i="4" s="1"/>
  <c r="V12" i="4" s="1"/>
  <c r="O9" i="4"/>
  <c r="T9" i="4" s="1"/>
  <c r="U9" i="4" s="1"/>
  <c r="V9" i="4" s="1"/>
  <c r="O11" i="4"/>
  <c r="T11" i="4" s="1"/>
  <c r="U11" i="4" s="1"/>
  <c r="V11" i="4" s="1"/>
  <c r="U13" i="4" l="1"/>
  <c r="V13" i="4" s="1"/>
  <c r="O5" i="4" l="1"/>
</calcChain>
</file>

<file path=xl/sharedStrings.xml><?xml version="1.0" encoding="utf-8"?>
<sst xmlns="http://schemas.openxmlformats.org/spreadsheetml/2006/main" count="800" uniqueCount="249">
  <si>
    <t>Strike</t>
  </si>
  <si>
    <t>Dias</t>
  </si>
  <si>
    <t>CustoBox</t>
  </si>
  <si>
    <t>% Ganho SBTH</t>
  </si>
  <si>
    <t>% Ganho Box</t>
  </si>
  <si>
    <t>Operação</t>
  </si>
  <si>
    <t>% do cdi BOX</t>
  </si>
  <si>
    <t>1=BOX</t>
  </si>
  <si>
    <t>2= SBTH</t>
  </si>
  <si>
    <t>TP.Op</t>
  </si>
  <si>
    <t>Ativo</t>
  </si>
  <si>
    <t>Prêmio do CDI Box</t>
  </si>
  <si>
    <t>Custo SBTH</t>
  </si>
  <si>
    <t xml:space="preserve"> CDI Mês</t>
  </si>
  <si>
    <t>CDI Dia</t>
  </si>
  <si>
    <t>CDI Ano</t>
  </si>
  <si>
    <t>St. Put</t>
  </si>
  <si>
    <t>St. Call</t>
  </si>
  <si>
    <t>St. Ativo</t>
  </si>
  <si>
    <t>SBTH</t>
  </si>
  <si>
    <t>Qtde. Compra PUT</t>
  </si>
  <si>
    <t>Qtde. Venda Call</t>
  </si>
  <si>
    <t xml:space="preserve">Qtde.Compra Ativo </t>
  </si>
  <si>
    <t>Profundidade book PUT</t>
  </si>
  <si>
    <t>Profundidade book Ativo</t>
  </si>
  <si>
    <t>Profundidade book Call</t>
  </si>
  <si>
    <t>Parâmetros Gerais</t>
  </si>
  <si>
    <t xml:space="preserve"> Mensagem via Telegram(S/N): </t>
  </si>
  <si>
    <t>Prêmio do CDI Sbth</t>
  </si>
  <si>
    <t>Box 3 pontas comprado</t>
  </si>
  <si>
    <t>Prêmio de Risco Box</t>
  </si>
  <si>
    <t>Execução número  : 1</t>
  </si>
  <si>
    <t>Put</t>
  </si>
  <si>
    <t>Lado1</t>
  </si>
  <si>
    <t>Lado2</t>
  </si>
  <si>
    <t>Qtd1</t>
  </si>
  <si>
    <t>Qtd2</t>
  </si>
  <si>
    <t>Profund1</t>
  </si>
  <si>
    <t>Profund2</t>
  </si>
  <si>
    <t>Coefic.</t>
  </si>
  <si>
    <t>Data e Hora da Oper.</t>
  </si>
  <si>
    <t>Tp. Oper.</t>
  </si>
  <si>
    <t>C</t>
  </si>
  <si>
    <t>Log de Operações</t>
  </si>
  <si>
    <t xml:space="preserve">Prêmio de Risco Sbth </t>
  </si>
  <si>
    <t>Operações encontradas -----------&gt;</t>
  </si>
  <si>
    <t>Leilão?</t>
  </si>
  <si>
    <t>Taxa Selic ou CDI / a.a. em %</t>
  </si>
  <si>
    <t>CabCall</t>
  </si>
  <si>
    <t>CabPut</t>
  </si>
  <si>
    <t>VovPutBoca</t>
  </si>
  <si>
    <t>VocCallBoca</t>
  </si>
  <si>
    <t>Lote Padrão</t>
  </si>
  <si>
    <t>Qt.Ult.NegPut</t>
  </si>
  <si>
    <t>Qt.Ult.NegPCall</t>
  </si>
  <si>
    <t>Liq.PutxLote</t>
  </si>
  <si>
    <t>Liq.CallxLote</t>
  </si>
  <si>
    <t>Coluna (Título)</t>
  </si>
  <si>
    <t>Coluna A (Ativo)</t>
  </si>
  <si>
    <t>Coluna B (Valor)</t>
  </si>
  <si>
    <t>Coluna C ( Put)</t>
  </si>
  <si>
    <t>Coluna D (Strike)</t>
  </si>
  <si>
    <t>Coluna E ( Call)</t>
  </si>
  <si>
    <t>Coluna F (vcto)</t>
  </si>
  <si>
    <t>Coluna G (Dias)</t>
  </si>
  <si>
    <t>Coluna H (CDI)</t>
  </si>
  <si>
    <t>Coluna I (Of. Venda PUT)</t>
  </si>
  <si>
    <t>Coluna J (Of. Compra Put)</t>
  </si>
  <si>
    <t>Coluna K (Of. Venda Call)</t>
  </si>
  <si>
    <t>Coluna L (Of. Compra Call)</t>
  </si>
  <si>
    <t>Coluna M (Custo SBTH)</t>
  </si>
  <si>
    <t>Coluna N (% Ganho SBTH)</t>
  </si>
  <si>
    <t>Coluna O (% do cdi SBTH)</t>
  </si>
  <si>
    <t>Coluna P (CustoBox)</t>
  </si>
  <si>
    <t>Coluna Q (% Ganho Box)</t>
  </si>
  <si>
    <t>Coluna R (% do cdi BOX)</t>
  </si>
  <si>
    <t>Coluna S (1=BOX)</t>
  </si>
  <si>
    <t>Coluna T (2= SBTH)</t>
  </si>
  <si>
    <t>Coluna U (TP.Op)</t>
  </si>
  <si>
    <t>Coluna V (Operação)</t>
  </si>
  <si>
    <t>Coluna W (St. Put)</t>
  </si>
  <si>
    <t>Coluna X (St. Call)</t>
  </si>
  <si>
    <t>Coluna Y (St. Ativo)</t>
  </si>
  <si>
    <t>Coluna Z (Leilão?)</t>
  </si>
  <si>
    <t>Coluna AA (CabPut)</t>
  </si>
  <si>
    <t>Coluna AB (Qt.Ult.NegPut)</t>
  </si>
  <si>
    <t>Coluna AC (VovPutBoca)</t>
  </si>
  <si>
    <t>Coluna AD (CabCall)</t>
  </si>
  <si>
    <t>Coluna AE (Qt.Ult.NegPCall)</t>
  </si>
  <si>
    <t>Coluna AF (VocCallBoca)</t>
  </si>
  <si>
    <t>Coluna AG (Liq.PutxLote)</t>
  </si>
  <si>
    <t>Coluna AH (Liq.CallxLote)</t>
  </si>
  <si>
    <t>Linha 7: =RTD("rtdtrading.rtdserver",,A7 &amp; "_B_0","ULT")</t>
  </si>
  <si>
    <t>Linha 7: =RTD("rtdtrading.rtdserver",,C7 &amp; "_B_0", "PEX")</t>
  </si>
  <si>
    <t>Linha 7: =RTD("rtdtrading.rtdserver",,C7 &amp; "_B_0", "VAL")</t>
  </si>
  <si>
    <t>Linha 7: =F7-TODAY()</t>
  </si>
  <si>
    <t>Linha 7: =1*(1+$C$2)^G7-1</t>
  </si>
  <si>
    <t>Linha 7: =RTD("rtdtrading.rtdserver",,C7 &amp; "_B_0","OVD")</t>
  </si>
  <si>
    <t>Linha 7: =RTD("rtdtrading.rtdserver",,C7 &amp; "_B_0", "OCP")</t>
  </si>
  <si>
    <t>Linha 7: =RTD("rtdtrading.rtdserver",,E7 &amp; "_B_0","OVD")</t>
  </si>
  <si>
    <t>Linha 7: =RTD("rtdtrading.rtdserver",,E7 &amp; "_B_0", "OCP")</t>
  </si>
  <si>
    <t>Linha 7: =IF((I7&gt;0),((B7+0.01)+I7),0)</t>
  </si>
  <si>
    <t>Linha 7: =IF(M7 &gt;0,((D7-M7)/M7),0)</t>
  </si>
  <si>
    <t>Linha 7: =IF( (N7/$H7)&gt;0, N7/H7,0)</t>
  </si>
  <si>
    <t>Linha 7: =(IF(AND(I7&gt;0,L7&gt;0),(B7+0.01)+(I7-L7),0))</t>
  </si>
  <si>
    <t>Linha 7: =IF(P7&gt;0,(D7-P7)/P7,0)</t>
  </si>
  <si>
    <t>Linha 7: =IF(OR(I7=0,L7=0),0,Q7/[@CDI])</t>
  </si>
  <si>
    <t>Linha 7: =IF([@[% do cdi BOX]]&gt;$N$1, 1, 0)</t>
  </si>
  <si>
    <t>Linha 7: =IF([@[% do cdi SBTH]]&gt;$N$2,2,0)</t>
  </si>
  <si>
    <t>Linha 7: =[@[1=BOX]]+[@[2= SBTH]]</t>
  </si>
  <si>
    <t>Linha 7: =IF([@[TP.Op]]=3,"SBTH &amp; BOX",IF([@[TP.Op]]=1,"BOX",IF([@[TP.Op]]=2,"SBTH",0)))</t>
  </si>
  <si>
    <t>Linha 7: =RTD("rtdtrading.rtdserver",,C7, "EST")</t>
  </si>
  <si>
    <t>Linha 7: =RTD("rtdtrading.rtdserver",,E7, "EST")</t>
  </si>
  <si>
    <t>Linha 7: =RTD("rtdtrading.rtdserver",,A7, "EST")</t>
  </si>
  <si>
    <t>Linha 7: =IF(OR([@[St. Put]]&lt;&gt;"Aberto", [@[St. Call]]&lt;&gt;"Aberto", [@[St. Ativo]]&lt;&gt;"Aberto"), 1, 0)</t>
  </si>
  <si>
    <t>Linha 7: =RTD("rtdtrading.rtdserver",,C7 &amp; "_B_0","CAB")</t>
  </si>
  <si>
    <t>Linha 7: =RTD("rtdtrading.rtdserver",,C7 &amp; "_B_0","QUL")</t>
  </si>
  <si>
    <t>Linha 7: =RTD("rtdtrading.rtdserver",,C7 &amp; "_B_0","VOV")</t>
  </si>
  <si>
    <t>Linha 7: =RTD("rtdtrading.rtdserver",,E7 &amp; "_B_0","CAB")</t>
  </si>
  <si>
    <t>Linha 7: =RTD("rtdtrading.rtdserver",,E7 &amp; "_B_0","QUL")</t>
  </si>
  <si>
    <t>Linha 7: =RTD("rtdtrading.rtdserver",,E7 &amp; "_B_0","VOC")</t>
  </si>
  <si>
    <t>Linha 7: =[@VovPutBoca]-Parametros!$C$16</t>
  </si>
  <si>
    <t>Linha 7: =[@VocCallBoca]-Parametros!$E$16</t>
  </si>
  <si>
    <t>CDI Período</t>
  </si>
  <si>
    <t xml:space="preserve"> Cód.Put</t>
  </si>
  <si>
    <t xml:space="preserve"> Cód. Call</t>
  </si>
  <si>
    <t>Valor Ativo</t>
  </si>
  <si>
    <t>Vencmimento</t>
  </si>
  <si>
    <t>Tp.Opção</t>
  </si>
  <si>
    <t>Of. Vda.PUT</t>
  </si>
  <si>
    <t>Of. Cmp.Put</t>
  </si>
  <si>
    <t>Of. Vda Call</t>
  </si>
  <si>
    <t>Of.Cmp.Call</t>
  </si>
  <si>
    <t>VALE3</t>
  </si>
  <si>
    <t>A</t>
  </si>
  <si>
    <t>E</t>
  </si>
  <si>
    <t>% DO CDI SBTH</t>
  </si>
  <si>
    <t>Call</t>
  </si>
  <si>
    <t>Lado3</t>
  </si>
  <si>
    <t>Qtd3</t>
  </si>
  <si>
    <t>Profund3</t>
  </si>
  <si>
    <t>V</t>
  </si>
  <si>
    <t>BOX</t>
  </si>
  <si>
    <t>Prêmio de Risco Box sintético c call</t>
  </si>
  <si>
    <t>Taxa</t>
  </si>
  <si>
    <t>PETR4</t>
  </si>
  <si>
    <t>PETRO541</t>
  </si>
  <si>
    <t>PETRP710</t>
  </si>
  <si>
    <t>PETRC225</t>
  </si>
  <si>
    <t>PETRC740</t>
  </si>
  <si>
    <t>PETRC770</t>
  </si>
  <si>
    <t>PETRC790</t>
  </si>
  <si>
    <t>PETRC100</t>
  </si>
  <si>
    <t>PETRC110</t>
  </si>
  <si>
    <t>PETRC126</t>
  </si>
  <si>
    <t>PETRC117</t>
  </si>
  <si>
    <t>PETRC120</t>
  </si>
  <si>
    <t>PETRC136</t>
  </si>
  <si>
    <t>PETRC133</t>
  </si>
  <si>
    <t>PETRC146</t>
  </si>
  <si>
    <t>PETRC141</t>
  </si>
  <si>
    <t>PETRC14</t>
  </si>
  <si>
    <t>PETRC147</t>
  </si>
  <si>
    <t>PETRC150</t>
  </si>
  <si>
    <t>PETRC152</t>
  </si>
  <si>
    <t>PETRC155</t>
  </si>
  <si>
    <t>PETRC157</t>
  </si>
  <si>
    <t>PETRC160</t>
  </si>
  <si>
    <t>PETRC162</t>
  </si>
  <si>
    <t>PETRC167</t>
  </si>
  <si>
    <t>PETRC170</t>
  </si>
  <si>
    <t>PETRC172</t>
  </si>
  <si>
    <t>PETRC177</t>
  </si>
  <si>
    <t>PETRC182</t>
  </si>
  <si>
    <t>PETRC185</t>
  </si>
  <si>
    <t>PETRC187</t>
  </si>
  <si>
    <t>PETRC192</t>
  </si>
  <si>
    <t>PETRC19</t>
  </si>
  <si>
    <t>PETRC20</t>
  </si>
  <si>
    <t>PETRC202</t>
  </si>
  <si>
    <t>PETRC207</t>
  </si>
  <si>
    <t>PETRC210</t>
  </si>
  <si>
    <t>PETRC212</t>
  </si>
  <si>
    <t>PETRC215</t>
  </si>
  <si>
    <t>PETRC217</t>
  </si>
  <si>
    <t>PETRC220</t>
  </si>
  <si>
    <t>PETRC222</t>
  </si>
  <si>
    <t>PETRC22</t>
  </si>
  <si>
    <t>PETRC227</t>
  </si>
  <si>
    <t>PETRC230</t>
  </si>
  <si>
    <t>PETRC232</t>
  </si>
  <si>
    <t>PETRC235</t>
  </si>
  <si>
    <t>PETRC237</t>
  </si>
  <si>
    <t>PETRC240</t>
  </si>
  <si>
    <t>PETRC242</t>
  </si>
  <si>
    <t>PETRC245</t>
  </si>
  <si>
    <t>PETRC247</t>
  </si>
  <si>
    <t>PETRC25</t>
  </si>
  <si>
    <t>PETRC258</t>
  </si>
  <si>
    <t>PETRC261</t>
  </si>
  <si>
    <t>PETRC263</t>
  </si>
  <si>
    <t>PETRC266</t>
  </si>
  <si>
    <t>PETRC360</t>
  </si>
  <si>
    <t>PETRC271</t>
  </si>
  <si>
    <t>PETRC273</t>
  </si>
  <si>
    <t>PETRC276</t>
  </si>
  <si>
    <t>PETRC278</t>
  </si>
  <si>
    <t>PETRC275</t>
  </si>
  <si>
    <t>PETRC277</t>
  </si>
  <si>
    <t>PETRC280</t>
  </si>
  <si>
    <t>PETRC282</t>
  </si>
  <si>
    <t>PETRC541</t>
  </si>
  <si>
    <t>PETRD710</t>
  </si>
  <si>
    <t>BOX ITM BASKET</t>
  </si>
  <si>
    <t>of.vdaPutref</t>
  </si>
  <si>
    <t>Of.cpaCallref</t>
  </si>
  <si>
    <t>Coefic.Mercado</t>
  </si>
  <si>
    <t>Mercado==&gt;&gt;</t>
  </si>
  <si>
    <t>Box 3 pontas comprado Sintético Call ITM</t>
  </si>
  <si>
    <t>Coefic.Alvo</t>
  </si>
  <si>
    <t>Vlr.Ativo Sint./Call</t>
  </si>
  <si>
    <t>ITUBV507</t>
  </si>
  <si>
    <t>ITUBW507</t>
  </si>
  <si>
    <t>ITUBJ507</t>
  </si>
  <si>
    <t>ITUBK507</t>
  </si>
  <si>
    <t>ITUB4</t>
  </si>
  <si>
    <t>VALEO725</t>
  </si>
  <si>
    <t>VALEO831</t>
  </si>
  <si>
    <t>VALEO876</t>
  </si>
  <si>
    <t>VALEX999</t>
  </si>
  <si>
    <t>VALEX998</t>
  </si>
  <si>
    <t>VALEC725</t>
  </si>
  <si>
    <t>VALEC831</t>
  </si>
  <si>
    <t>VALEC876</t>
  </si>
  <si>
    <t>VALEL999</t>
  </si>
  <si>
    <t>VALEL998</t>
  </si>
  <si>
    <t>RADLO962</t>
  </si>
  <si>
    <t>RADL3</t>
  </si>
  <si>
    <t>RADLC962</t>
  </si>
  <si>
    <t>19/02/2026 11:03:26</t>
  </si>
  <si>
    <t>19/02/2026 11:03:56</t>
  </si>
  <si>
    <t>19/02/2026 11:20:40</t>
  </si>
  <si>
    <t>24/02/2026 13:57:11</t>
  </si>
  <si>
    <t>2,73</t>
  </si>
  <si>
    <t>24/02/2026 13:57:12</t>
  </si>
  <si>
    <t>Última atualização: 24/02/2026 14:04:22</t>
  </si>
  <si>
    <t>valor fixo informado Vem de uma importação de arquivo em excel</t>
  </si>
  <si>
    <t>Coluna AI (Tipo de Opção)</t>
  </si>
  <si>
    <t>Valor fixo Cabeçalhos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</si>
</sst>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%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theme="1"/>
      <name val="Segoe UI Semibold"/>
      <family val="2"/>
    </font>
    <font>
      <b/>
      <sz val="11"/>
      <color rgb="FF006655"/>
      <name val="Segoe UI"/>
      <family val="2"/>
    </font>
    <font>
      <b/>
      <sz val="11"/>
      <color theme="1"/>
      <name val="Segoe UI"/>
      <family val="2"/>
    </font>
    <font>
      <b/>
      <sz val="12"/>
      <color rgb="FF006655"/>
      <name val="Segoe UI"/>
      <family val="2"/>
    </font>
    <font>
      <b/>
      <sz val="10"/>
      <color rgb="FF006655"/>
      <name val="Segoe UI"/>
      <family val="2"/>
    </font>
    <font>
      <sz val="10"/>
      <color rgb="FF006655"/>
      <name val="Segoe UI"/>
      <family val="2"/>
    </font>
    <font>
      <sz val="16"/>
      <color rgb="FF006655"/>
      <name val="Segoe UI"/>
      <family val="2"/>
    </font>
    <font>
      <sz val="14"/>
      <color rgb="FF006655"/>
      <name val="Segoe UI"/>
      <family val="2"/>
    </font>
    <font>
      <b/>
      <sz val="9"/>
      <color rgb="FF006655"/>
      <name val="Segoe UI"/>
      <family val="2"/>
    </font>
    <font>
      <sz val="10.5"/>
      <color rgb="FF006655"/>
      <name val="Segoe UI"/>
      <family val="2"/>
    </font>
    <font>
      <sz val="11"/>
      <color rgb="FF006655"/>
      <name val="Segoe UI"/>
      <family val="2"/>
    </font>
    <font>
      <b/>
      <sz val="10"/>
      <color rgb="FF006655"/>
      <name val="Segoe UI Semibold"/>
      <family val="2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1"/>
      <color theme="1"/>
      <name val="Segoe Fluent Icons"/>
      <family val="1"/>
    </font>
    <font>
      <sz val="11"/>
      <name val="Calibri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FFF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70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2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35" fillId="0" borderId="0"/>
    <xf numFmtId="0" fontId="36" fillId="0" borderId="0"/>
    <xf numFmtId="0" fontId="37" fillId="36" borderId="0"/>
    <xf numFmtId="0" fontId="37" fillId="37" borderId="0"/>
    <xf numFmtId="0" fontId="36" fillId="38" borderId="0"/>
    <xf numFmtId="0" fontId="38" fillId="39" borderId="0"/>
    <xf numFmtId="0" fontId="35" fillId="0" borderId="0" applyNumberFormat="0" applyFont="0" applyFill="0" applyBorder="0" applyAlignment="0" applyProtection="0"/>
    <xf numFmtId="0" fontId="37" fillId="40" borderId="0"/>
    <xf numFmtId="0" fontId="39" fillId="0" borderId="0"/>
    <xf numFmtId="0" fontId="40" fillId="41" borderId="0"/>
    <xf numFmtId="0" fontId="41" fillId="0" borderId="0"/>
    <xf numFmtId="0" fontId="42" fillId="0" borderId="0"/>
    <xf numFmtId="0" fontId="43" fillId="0" borderId="0"/>
    <xf numFmtId="0" fontId="44" fillId="0" borderId="0"/>
    <xf numFmtId="0" fontId="45" fillId="42" borderId="0"/>
    <xf numFmtId="0" fontId="46" fillId="42" borderId="12"/>
    <xf numFmtId="0" fontId="47" fillId="0" borderId="0"/>
    <xf numFmtId="0" fontId="35" fillId="0" borderId="0"/>
    <xf numFmtId="0" fontId="35" fillId="0" borderId="0"/>
    <xf numFmtId="0" fontId="38" fillId="0" borderId="0"/>
    <xf numFmtId="0" fontId="49" fillId="0" borderId="0"/>
  </cellStyleXfs>
  <cellXfs count="58">
    <xf numFmtId="0" fontId="0" fillId="0" borderId="0" xfId="0"/>
    <xf numFmtId="0" fontId="24" fillId="34" borderId="10" xfId="0" applyFont="1" applyFill="1" applyBorder="1"/>
    <xf numFmtId="10" fontId="24" fillId="34" borderId="10" xfId="0" applyNumberFormat="1" applyFont="1" applyFill="1" applyBorder="1"/>
    <xf numFmtId="0" fontId="25" fillId="34" borderId="0" xfId="0" applyFont="1" applyFill="1"/>
    <xf numFmtId="0" fontId="26" fillId="34" borderId="10" xfId="0" applyFont="1" applyFill="1" applyBorder="1"/>
    <xf numFmtId="0" fontId="28" fillId="33" borderId="0" xfId="0" applyFont="1" applyFill="1"/>
    <xf numFmtId="0" fontId="30" fillId="33" borderId="11" xfId="0" applyFont="1" applyFill="1" applyBorder="1"/>
    <xf numFmtId="0" fontId="24" fillId="34" borderId="0" xfId="0" applyFont="1" applyFill="1"/>
    <xf numFmtId="0" fontId="29" fillId="33" borderId="11" xfId="0" applyFont="1" applyFill="1" applyBorder="1"/>
    <xf numFmtId="0" fontId="0" fillId="0" borderId="11" xfId="0" applyBorder="1"/>
    <xf numFmtId="0" fontId="28" fillId="33" borderId="11" xfId="0" applyFont="1" applyFill="1" applyBorder="1"/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0" borderId="11" xfId="0" applyNumberFormat="1" applyBorder="1" applyAlignment="1">
      <alignment horizontal="center"/>
    </xf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29" fillId="33" borderId="0" xfId="0" applyFont="1" applyFill="1"/>
    <xf numFmtId="0" fontId="32" fillId="35" borderId="10" xfId="0" applyFont="1" applyFill="1" applyBorder="1" applyAlignment="1" applyProtection="1">
      <alignment horizontal="center" vertical="center"/>
      <protection locked="0"/>
    </xf>
    <xf numFmtId="10" fontId="31" fillId="34" borderId="10" xfId="0" applyNumberFormat="1" applyFont="1" applyFill="1" applyBorder="1" applyProtection="1">
      <protection locked="0"/>
    </xf>
    <xf numFmtId="1" fontId="24" fillId="34" borderId="10" xfId="0" applyNumberFormat="1" applyFont="1" applyFill="1" applyBorder="1" applyAlignment="1" applyProtection="1">
      <alignment horizontal="center"/>
      <protection locked="0"/>
    </xf>
    <xf numFmtId="10" fontId="33" fillId="34" borderId="10" xfId="0" applyNumberFormat="1" applyFont="1" applyFill="1" applyBorder="1"/>
    <xf numFmtId="10" fontId="0" fillId="0" borderId="0" xfId="0" applyNumberFormat="1" applyAlignment="1">
      <alignment horizontal="center"/>
    </xf>
    <xf numFmtId="22" fontId="0" fillId="0" borderId="0" xfId="0" applyNumberFormat="1"/>
    <xf numFmtId="0" fontId="32" fillId="35" borderId="0" xfId="0" applyFont="1" applyFill="1"/>
    <xf numFmtId="1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0" fontId="28" fillId="33" borderId="0" xfId="0" applyFont="1" applyFill="1" applyProtection="1">
      <protection locked="0"/>
    </xf>
    <xf numFmtId="1" fontId="21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0" fontId="0" fillId="33" borderId="0" xfId="0" applyFill="1"/>
    <xf numFmtId="0" fontId="4" fillId="0" borderId="0" xfId="0" applyFont="1"/>
    <xf numFmtId="1" fontId="21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/>
    <xf numFmtId="10" fontId="5" fillId="0" borderId="0" xfId="0" applyNumberFormat="1" applyFont="1"/>
    <xf numFmtId="0" fontId="0" fillId="0" borderId="0" xfId="0" applyProtection="1">
      <protection locked="0"/>
    </xf>
    <xf numFmtId="0" fontId="27" fillId="35" borderId="0" xfId="0" applyFont="1" applyFill="1"/>
    <xf numFmtId="1" fontId="27" fillId="35" borderId="0" xfId="0" applyNumberFormat="1" applyFont="1" applyFill="1" applyAlignment="1">
      <alignment horizontal="center"/>
    </xf>
    <xf numFmtId="164" fontId="27" fillId="35" borderId="0" xfId="0" applyNumberFormat="1" applyFont="1" applyFill="1"/>
    <xf numFmtId="0" fontId="27" fillId="35" borderId="0" xfId="0" applyFont="1" applyFill="1" applyProtection="1">
      <protection hidden="1"/>
    </xf>
    <xf numFmtId="0" fontId="34" fillId="35" borderId="0" xfId="0" applyFont="1" applyFill="1"/>
    <xf numFmtId="0" fontId="23" fillId="0" borderId="0" xfId="0" applyFont="1"/>
    <xf numFmtId="2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/>
    <xf numFmtId="0" fontId="35" fillId="0" borderId="0" xfId="49"/>
    <xf numFmtId="10" fontId="48" fillId="0" borderId="11" xfId="0" applyNumberFormat="1" applyFont="1" applyBorder="1"/>
    <xf numFmtId="22" fontId="25" fillId="34" borderId="0" xfId="0" applyNumberFormat="1" applyFont="1" applyFill="1"/>
    <xf numFmtId="49" fontId="0" fillId="0" borderId="0" xfId="0" applyNumberFormat="1"/>
    <xf numFmtId="0" fontId="49" fillId="0" borderId="0" xfId="69"/>
    <xf numFmtId="1" fontId="49" fillId="0" borderId="0" xfId="69" applyNumberFormat="1"/>
    <xf numFmtId="0" fontId="50" fillId="0" borderId="0" xfId="0" applyFont="1"/>
    <xf numFmtId="0" fontId="51" fillId="0" borderId="0" xfId="0" applyFont="1"/>
    <xf numFmtId="0" fontId="27" fillId="43" borderId="0" xfId="0" applyFont="1" applyFill="1"/>
    <xf numFmtId="10" fontId="0" fillId="43" borderId="0" xfId="0" applyNumberFormat="1" applyFill="1"/>
    <xf numFmtId="0" fontId="52" fillId="0" borderId="0" xfId="69" applyFont="1"/>
    <xf numFmtId="0" fontId="4" fillId="43" borderId="0" xfId="0" applyFont="1" applyFill="1"/>
    <xf numFmtId="3" fontId="0" fillId="0" borderId="0" xfId="0" applyNumberFormat="1"/>
  </cellXfs>
  <cellStyles count="70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1 2" xfId="43" xr:uid="{A9433E60-718C-4B98-9123-DB4C5F91CE33}"/>
    <cellStyle name="60% - Ênfase2" xfId="25" builtinId="36" customBuiltin="1"/>
    <cellStyle name="60% - Ênfase2 2" xfId="44" xr:uid="{B8013003-89D3-4510-A1A7-3C56EF141DE6}"/>
    <cellStyle name="60% - Ênfase3" xfId="29" builtinId="40" customBuiltin="1"/>
    <cellStyle name="60% - Ênfase3 2" xfId="45" xr:uid="{7C339913-5270-4477-A1D8-681E7A2DDBE0}"/>
    <cellStyle name="60% - Ênfase4" xfId="33" builtinId="44" customBuiltin="1"/>
    <cellStyle name="60% - Ênfase4 2" xfId="46" xr:uid="{D815CD7C-B248-416B-A019-3B2AB4CABE22}"/>
    <cellStyle name="60% - Ênfase5" xfId="37" builtinId="48" customBuiltin="1"/>
    <cellStyle name="60% - Ênfase5 2" xfId="47" xr:uid="{75FCF933-7262-4A4B-AF60-D0F70530D9D0}"/>
    <cellStyle name="60% - Ênfase6" xfId="41" builtinId="52" customBuiltin="1"/>
    <cellStyle name="60% - Ênfase6 2" xfId="48" xr:uid="{273FB36D-4AD2-4409-BFE0-C4236E2FB2EF}"/>
    <cellStyle name="Accent" xfId="50" xr:uid="{C3704664-DDC7-4AB8-932F-9101D3E78C02}"/>
    <cellStyle name="Accent 1" xfId="51" xr:uid="{0A7F527B-9FAB-4FFD-BE8B-1C74CB478B38}"/>
    <cellStyle name="Accent 2" xfId="52" xr:uid="{D30BED72-3674-43D2-9AD0-494D3895C89F}"/>
    <cellStyle name="Accent 3" xfId="53" xr:uid="{D278EE68-B947-4277-99C1-26A399ADD26B}"/>
    <cellStyle name="Bad" xfId="54" xr:uid="{00B18609-A719-4825-8B24-BBCD89970ED5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Default" xfId="55" xr:uid="{C5573AAB-AC23-47EC-844D-FAD88A6ADD0D}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Error" xfId="56" xr:uid="{4CF7ABEC-2618-4E70-9D14-D31224DD29DC}"/>
    <cellStyle name="Footnote" xfId="57" xr:uid="{19FADA92-1594-442D-B540-A16490C5F778}"/>
    <cellStyle name="Good" xfId="58" xr:uid="{1B6AD4FC-0E39-466E-A19B-B4CD1E8903BD}"/>
    <cellStyle name="Heading" xfId="59" xr:uid="{9691A37D-C854-47D3-9369-55205BFEB3E9}"/>
    <cellStyle name="Heading 1" xfId="60" xr:uid="{E4082077-A062-4F8D-A3A5-34338D54109C}"/>
    <cellStyle name="Heading 2" xfId="61" xr:uid="{F278630A-58AD-4890-80D6-0ED9B64AD495}"/>
    <cellStyle name="Hyperlink" xfId="62" xr:uid="{7560E5E8-7D77-43FF-9929-C2E2F68323AC}"/>
    <cellStyle name="Neutral" xfId="63" xr:uid="{9B71DE5E-CAAF-4CD9-9826-9EFD633EF378}"/>
    <cellStyle name="Neutro" xfId="8" builtinId="28" customBuiltin="1"/>
    <cellStyle name="Neutro 2" xfId="42" xr:uid="{B8DD1A9D-C927-4241-9F64-5DE20BF0DDED}"/>
    <cellStyle name="Normal" xfId="0" builtinId="0"/>
    <cellStyle name="Normal 2" xfId="49" xr:uid="{5FD28D14-FF3F-488D-9667-F405E1413F53}"/>
    <cellStyle name="Normal 3" xfId="69" xr:uid="{6FD67625-6D51-4CF0-91B2-07377787DB70}"/>
    <cellStyle name="Nota" xfId="15" builtinId="10" customBuiltin="1"/>
    <cellStyle name="Note" xfId="64" xr:uid="{69D9A0EF-DFCD-4E3B-A87D-32C5E35E10E1}"/>
    <cellStyle name="Result" xfId="65" xr:uid="{2CD1AB20-7DC6-4019-8780-EF0A1F04C507}"/>
    <cellStyle name="Ruim" xfId="7" builtinId="27" customBuiltin="1"/>
    <cellStyle name="Saída" xfId="10" builtinId="21" customBuiltin="1"/>
    <cellStyle name="Status" xfId="66" xr:uid="{E2060BD3-8DA6-493B-AAF4-AE620155DF4C}"/>
    <cellStyle name="Text" xfId="67" xr:uid="{39BD0076-FF0E-467D-B862-7B612FA8F753}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Warning" xfId="68" xr:uid="{0A3920F6-3DB6-4FB3-8A6E-CFAB48CCB125}"/>
  </cellStyles>
  <dxfs count="37">
    <dxf>
      <numFmt numFmtId="1" formatCode="0"/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4" formatCode="0.00%"/>
      <fill>
        <patternFill>
          <fgColor indexed="64"/>
          <bgColor theme="2"/>
        </patternFill>
      </fill>
    </dxf>
    <dxf>
      <numFmt numFmtId="14" formatCode="0.00%"/>
    </dxf>
    <dxf>
      <numFmt numFmtId="0" formatCode="General"/>
    </dxf>
    <dxf>
      <numFmt numFmtId="14" formatCode="0.00%"/>
      <fill>
        <patternFill>
          <fgColor indexed="64"/>
          <bgColor theme="2"/>
        </patternFill>
      </fill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%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0" formatCode="General"/>
    </dxf>
    <dxf>
      <numFmt numFmtId="2" formatCode="0.00"/>
    </dxf>
    <dxf>
      <numFmt numFmtId="1" formatCode="0"/>
    </dxf>
    <dxf>
      <font>
        <strike val="0"/>
        <outline val="0"/>
        <shadow val="0"/>
        <u val="none"/>
        <vertAlign val="baseline"/>
        <sz val="10"/>
        <name val="Segoe UI Semibold"/>
        <family val="2"/>
        <scheme val="none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</dxfs>
  <tableStyles count="2" defaultTableStyle="TableStyleMedium2" defaultPivotStyle="PivotStyleLight16">
    <tableStyle name="EstiloFinCalm" pivot="0" table="0" count="1" xr9:uid="{94B7343C-4066-4D21-975E-F9C7753671A8}">
      <tableStyleElement type="headerRow" dxfId="36"/>
    </tableStyle>
    <tableStyle name="EstiloVerdePetroleo" pivot="0" table="0" count="1" xr9:uid="{4ABC0ECC-07BA-4131-A549-5E7F0AE51139}">
      <tableStyleElement type="headerRow" dxfId="35"/>
    </tableStyle>
  </tableStyles>
  <colors>
    <mruColors>
      <color rgb="FFFF0000"/>
      <color rgb="FFFF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e">
        <v>#N/A</v>
        <stp/>
        <stp>VALEX999_B_0</stp>
        <stp>VAL</stp>
        <tr r="F12" s="4"/>
      </tp>
      <tp t="e">
        <v>#N/A</v>
        <stp/>
        <stp>VALEX998_B_0</stp>
        <stp>VAL</stp>
        <tr r="F9" s="4"/>
      </tp>
      <tp t="e">
        <v>#N/A</v>
        <stp/>
        <stp>ITUBK507_B_0</stp>
        <stp>OVD</stp>
        <tr r="K10" s="4"/>
      </tp>
      <tp t="e">
        <v>#N/A</v>
        <stp/>
        <stp>ITUBJ507_B_0</stp>
        <stp>OVD</stp>
        <tr r="K11" s="4"/>
      </tp>
      <tp t="e">
        <v>#N/A</v>
        <stp/>
        <stp>ITUBW507_B_0</stp>
        <stp>OVD</stp>
        <tr r="I10" s="4"/>
      </tp>
      <tp t="e">
        <v>#N/A</v>
        <stp/>
        <stp>ITUBV507_B_0</stp>
        <stp>OVD</stp>
        <tr r="I11" s="4"/>
      </tp>
      <tp t="e">
        <v>#N/A</v>
        <stp/>
        <stp>RADLO962_B_0</stp>
        <stp>VAL</stp>
        <tr r="F7" s="4"/>
        <tr r="F8" s="4"/>
      </tp>
      <tp t="e">
        <v>#N/A</v>
        <stp/>
        <stp>RADLC962_B_0</stp>
        <stp>VOC</stp>
        <tr r="AF7" s="4"/>
        <tr r="AF8" s="4"/>
      </tp>
      <tp t="e">
        <v>#N/A</v>
        <stp/>
        <stp>RADLO962_B_0</stp>
        <stp>VOV</stp>
        <tr r="AC7" s="4"/>
        <tr r="AC8" s="4"/>
      </tp>
      <tp t="e">
        <v>#N/A</v>
        <stp/>
        <stp>VALEL998_B_0</stp>
        <stp>VOC</stp>
        <tr r="AF9" s="4"/>
      </tp>
      <tp t="e">
        <v>#N/A</v>
        <stp/>
        <stp>VALEL999_B_0</stp>
        <stp>VOC</stp>
        <tr r="AF12" s="4"/>
      </tp>
      <tp t="e">
        <v>#N/A</v>
        <stp/>
        <stp>VALEX999_B_0</stp>
        <stp>VOV</stp>
        <tr r="AC12" s="4"/>
      </tp>
      <tp t="e">
        <v>#N/A</v>
        <stp/>
        <stp>VALEX998_B_0</stp>
        <stp>VOV</stp>
        <tr r="AC9" s="4"/>
      </tp>
      <tp t="e">
        <v>#N/A</v>
        <stp/>
        <stp>ITUBK507_B_0</stp>
        <stp>OCP</stp>
        <tr r="L10" s="4"/>
      </tp>
      <tp t="e">
        <v>#N/A</v>
        <stp/>
        <stp>ITUBJ507_B_0</stp>
        <stp>OCP</stp>
        <tr r="L11" s="4"/>
      </tp>
      <tp t="e">
        <v>#N/A</v>
        <stp/>
        <stp>ITUBW507_B_0</stp>
        <stp>OCP</stp>
        <tr r="J10" s="4"/>
      </tp>
      <tp t="e">
        <v>#N/A</v>
        <stp/>
        <stp>ITUBV507_B_0</stp>
        <stp>OCP</stp>
        <tr r="J11" s="4"/>
      </tp>
      <tp t="e">
        <v>#N/A</v>
        <stp/>
        <stp>RADLO962_B_0</stp>
        <stp>PEX</stp>
        <tr r="D7" s="4"/>
        <tr r="D8" s="4"/>
      </tp>
      <tp t="e">
        <v>#N/A</v>
        <stp/>
        <stp>VALEX999_B_0</stp>
        <stp>PEX</stp>
        <tr r="D12" s="4"/>
      </tp>
      <tp t="e">
        <v>#N/A</v>
        <stp/>
        <stp>VALEX998_B_0</stp>
        <stp>PEX</stp>
        <tr r="D9" s="4"/>
      </tp>
      <tp t="e">
        <v>#N/A</v>
        <stp/>
        <stp>RADLC962_B_0</stp>
        <stp>QUL</stp>
        <tr r="AE8" s="4"/>
        <tr r="AE7" s="4"/>
      </tp>
      <tp t="e">
        <v>#N/A</v>
        <stp/>
        <stp>RADLO962_B_0</stp>
        <stp>QUL</stp>
        <tr r="AB7" s="4"/>
        <tr r="AB8" s="4"/>
      </tp>
      <tp t="e">
        <v>#N/A</v>
        <stp/>
        <stp>VALEX999_B_0</stp>
        <stp>QUL</stp>
        <tr r="AB12" s="4"/>
      </tp>
      <tp t="e">
        <v>#N/A</v>
        <stp/>
        <stp>VALEL999_B_0</stp>
        <stp>QUL</stp>
        <tr r="AE12" s="4"/>
      </tp>
      <tp t="e">
        <v>#N/A</v>
        <stp/>
        <stp>VALEX998_B_0</stp>
        <stp>QUL</stp>
        <tr r="AB9" s="4"/>
      </tp>
      <tp t="e">
        <v>#N/A</v>
        <stp/>
        <stp>VALEL998_B_0</stp>
        <stp>QUL</stp>
        <tr r="AE9" s="4"/>
      </tp>
      <tp t="e">
        <v>#N/A</v>
        <stp/>
        <stp>PETRP710_B_0</stp>
        <stp>VAL</stp>
        <tr r="F13" s="4"/>
      </tp>
      <tp t="e">
        <v>#N/A</v>
        <stp/>
        <stp>PETRP710_B_0</stp>
        <stp>VOV</stp>
        <tr r="AC13" s="4"/>
      </tp>
      <tp t="e">
        <v>#N/A</v>
        <stp/>
        <stp>PETRD710_B_0</stp>
        <stp>VOC</stp>
        <tr r="AF13" s="4"/>
      </tp>
      <tp t="e">
        <v>#N/A</v>
        <stp/>
        <stp>ITUBK507_B_0</stp>
        <stp>CAB</stp>
        <tr r="AD10" s="4"/>
      </tp>
      <tp t="e">
        <v>#N/A</v>
        <stp/>
        <stp>ITUBJ507_B_0</stp>
        <stp>CAB</stp>
        <tr r="AD11" s="4"/>
      </tp>
      <tp t="e">
        <v>#N/A</v>
        <stp/>
        <stp>ITUBW507_B_0</stp>
        <stp>CAB</stp>
        <tr r="AA10" s="4"/>
      </tp>
      <tp t="e">
        <v>#N/A</v>
        <stp/>
        <stp>ITUBV507_B_0</stp>
        <stp>CAB</stp>
        <tr r="AA11" s="4"/>
      </tp>
      <tp t="e">
        <v>#N/A</v>
        <stp/>
        <stp>PETRP710_B_0</stp>
        <stp>PEX</stp>
        <tr r="D13" s="4"/>
      </tp>
      <tp t="e">
        <v>#N/A</v>
        <stp/>
        <stp>PETRP710_B_0</stp>
        <stp>QUL</stp>
        <tr r="AB13" s="4"/>
      </tp>
      <tp t="e">
        <v>#N/A</v>
        <stp/>
        <stp>PETRD710_B_0</stp>
        <stp>QUL</stp>
        <tr r="AE13" s="4"/>
      </tp>
      <tp t="e">
        <v>#N/A</v>
        <stp/>
        <stp>PETRP710_B_0</stp>
        <stp>OVD</stp>
        <tr r="I13" s="4"/>
      </tp>
      <tp t="e">
        <v>#N/A</v>
        <stp/>
        <stp>PETRD710_B_0</stp>
        <stp>OVD</stp>
        <tr r="K13" s="4"/>
      </tp>
      <tp t="e">
        <v>#N/A</v>
        <stp/>
        <stp>PETRP710_B_0</stp>
        <stp>OCP</stp>
        <tr r="J13" s="4"/>
      </tp>
      <tp t="e">
        <v>#N/A</v>
        <stp/>
        <stp>PETRD710_B_0</stp>
        <stp>OCP</stp>
        <tr r="L13" s="4"/>
      </tp>
      <tp t="e">
        <v>#N/A</v>
        <stp/>
        <stp>VALEX999_B_0</stp>
        <stp>CAB</stp>
        <tr r="AA12" s="4"/>
      </tp>
      <tp t="e">
        <v>#N/A</v>
        <stp/>
        <stp>VALEL999_B_0</stp>
        <stp>CAB</stp>
        <tr r="AD12" s="4"/>
      </tp>
      <tp t="e">
        <v>#N/A</v>
        <stp/>
        <stp>VALEX998_B_0</stp>
        <stp>CAB</stp>
        <tr r="AA9" s="4"/>
      </tp>
      <tp t="e">
        <v>#N/A</v>
        <stp/>
        <stp>VALEL998_B_0</stp>
        <stp>CAB</stp>
        <tr r="AD9" s="4"/>
      </tp>
      <tp t="e">
        <v>#N/A</v>
        <stp/>
        <stp>RADLC962_B_0</stp>
        <stp>CAB</stp>
        <tr r="AD7" s="4"/>
        <tr r="AD8" s="4"/>
      </tp>
      <tp t="e">
        <v>#N/A</v>
        <stp/>
        <stp>RADLO962_B_0</stp>
        <stp>CAB</stp>
        <tr r="AA7" s="4"/>
        <tr r="AA8" s="4"/>
      </tp>
      <tp t="e">
        <v>#N/A</v>
        <stp/>
        <stp>VALEX999_B_0</stp>
        <stp>OCP</stp>
        <tr r="J12" s="4"/>
      </tp>
      <tp t="e">
        <v>#N/A</v>
        <stp/>
        <stp>VALEL999_B_0</stp>
        <stp>OCP</stp>
        <tr r="L12" s="4"/>
      </tp>
      <tp t="e">
        <v>#N/A</v>
        <stp/>
        <stp>VALEX998_B_0</stp>
        <stp>OCP</stp>
        <tr r="J9" s="4"/>
      </tp>
      <tp t="e">
        <v>#N/A</v>
        <stp/>
        <stp>VALEL998_B_0</stp>
        <stp>OCP</stp>
        <tr r="L9" s="4"/>
      </tp>
      <tp t="e">
        <v>#N/A</v>
        <stp/>
        <stp>RADLC962_B_0</stp>
        <stp>OCP</stp>
        <tr r="L7" s="4"/>
        <tr r="L8" s="4"/>
      </tp>
      <tp t="e">
        <v>#N/A</v>
        <stp/>
        <stp>RADLO962_B_0</stp>
        <stp>OCP</stp>
        <tr r="J7" s="4"/>
        <tr r="J8" s="4"/>
      </tp>
      <tp t="e">
        <v>#N/A</v>
        <stp/>
        <stp>ITUBW507_B_0</stp>
        <stp>VAL</stp>
        <tr r="F10" s="4"/>
      </tp>
      <tp t="e">
        <v>#N/A</v>
        <stp/>
        <stp>ITUBV507_B_0</stp>
        <stp>VAL</stp>
        <tr r="F11" s="4"/>
      </tp>
      <tp t="e">
        <v>#N/A</v>
        <stp/>
        <stp>RADLC962_B_0</stp>
        <stp>OVD</stp>
        <tr r="K7" s="4"/>
        <tr r="K8" s="4"/>
      </tp>
      <tp t="e">
        <v>#N/A</v>
        <stp/>
        <stp>RADLO962_B_0</stp>
        <stp>OVD</stp>
        <tr r="I8" s="4"/>
        <tr r="I7" s="4"/>
      </tp>
      <tp t="e">
        <v>#N/A</v>
        <stp/>
        <stp>VALEX999_B_0</stp>
        <stp>OVD</stp>
        <tr r="I12" s="4"/>
      </tp>
      <tp t="e">
        <v>#N/A</v>
        <stp/>
        <stp>VALEL999_B_0</stp>
        <stp>OVD</stp>
        <tr r="K12" s="4"/>
      </tp>
      <tp t="e">
        <v>#N/A</v>
        <stp/>
        <stp>VALEX998_B_0</stp>
        <stp>OVD</stp>
        <tr r="I9" s="4"/>
      </tp>
      <tp t="e">
        <v>#N/A</v>
        <stp/>
        <stp>VALEL998_B_0</stp>
        <stp>OVD</stp>
        <tr r="K9" s="4"/>
      </tp>
      <tp t="e">
        <v>#N/A</v>
        <stp/>
        <stp>ITUBK507_B_0</stp>
        <stp>VOC</stp>
        <tr r="AF10" s="4"/>
      </tp>
      <tp t="e">
        <v>#N/A</v>
        <stp/>
        <stp>ITUBJ507_B_0</stp>
        <stp>VOC</stp>
        <tr r="AF11" s="4"/>
      </tp>
      <tp t="e">
        <v>#N/A</v>
        <stp/>
        <stp>ITUBW507_B_0</stp>
        <stp>VOV</stp>
        <tr r="AC10" s="4"/>
      </tp>
      <tp t="e">
        <v>#N/A</v>
        <stp/>
        <stp>ITUBV507_B_0</stp>
        <stp>VOV</stp>
        <tr r="AC11" s="4"/>
      </tp>
      <tp t="e">
        <v>#N/A</v>
        <stp/>
        <stp>ITUBK507_B_0</stp>
        <stp>QUL</stp>
        <tr r="AE10" s="4"/>
      </tp>
      <tp t="e">
        <v>#N/A</v>
        <stp/>
        <stp>ITUBJ507_B_0</stp>
        <stp>QUL</stp>
        <tr r="AE11" s="4"/>
      </tp>
      <tp t="e">
        <v>#N/A</v>
        <stp/>
        <stp>ITUBW507_B_0</stp>
        <stp>QUL</stp>
        <tr r="AB10" s="4"/>
      </tp>
      <tp t="e">
        <v>#N/A</v>
        <stp/>
        <stp>ITUBV507_B_0</stp>
        <stp>QUL</stp>
        <tr r="AB11" s="4"/>
      </tp>
      <tp t="e">
        <v>#N/A</v>
        <stp/>
        <stp>PETRP710_B_0</stp>
        <stp>CAB</stp>
        <tr r="AA13" s="4"/>
      </tp>
      <tp t="e">
        <v>#N/A</v>
        <stp/>
        <stp>PETRD710_B_0</stp>
        <stp>CAB</stp>
        <tr r="AD13" s="4"/>
      </tp>
      <tp t="e">
        <v>#N/A</v>
        <stp/>
        <stp>ITUBW507_B_0</stp>
        <stp>PEX</stp>
        <tr r="D10" s="4"/>
      </tp>
      <tp t="e">
        <v>#N/A</v>
        <stp/>
        <stp>ITUBV507_B_0</stp>
        <stp>PEX</stp>
        <tr r="D11" s="4"/>
      </tp>
      <tp t="e">
        <v>#N/A</v>
        <stp/>
        <stp>ITUB4_B_0</stp>
        <stp>ULT</stp>
        <tr r="B11" s="4"/>
        <tr r="B10" s="4"/>
      </tp>
      <tp t="e">
        <v>#N/A</v>
        <stp/>
        <stp>PETR4_B_0</stp>
        <stp>ULT</stp>
        <tr r="B13" s="4"/>
      </tp>
      <tp t="e">
        <v>#N/A</v>
        <stp/>
        <stp>VALE3_B_0</stp>
        <stp>ULT</stp>
        <tr r="B12" s="4"/>
        <tr r="B9" s="4"/>
      </tp>
      <tp t="e">
        <v>#N/A</v>
        <stp/>
        <stp>RADL3_B_0</stp>
        <stp>ULT</stp>
        <tr r="B7" s="4"/>
        <tr r="B8" s="4"/>
      </tp>
      <tp t="e">
        <v>#N/A</v>
        <stp/>
        <stp>ITUBV507</stp>
        <stp>EST</stp>
        <tr r="W11" s="4"/>
      </tp>
      <tp t="e">
        <v>#N/A</v>
        <stp/>
        <stp>ITUBW507</stp>
        <stp>EST</stp>
        <tr r="W10" s="4"/>
      </tp>
      <tp t="e">
        <v>#N/A</v>
        <stp/>
        <stp>ITUBJ507</stp>
        <stp>EST</stp>
        <tr r="X11" s="4"/>
      </tp>
      <tp t="e">
        <v>#N/A</v>
        <stp/>
        <stp>ITUBK507</stp>
        <stp>EST</stp>
        <tr r="X10" s="4"/>
      </tp>
      <tp t="e">
        <v>#N/A</v>
        <stp/>
        <stp>RADLO962</stp>
        <stp>EST</stp>
        <tr r="W8" s="4"/>
        <tr r="W7" s="4"/>
      </tp>
      <tp t="e">
        <v>#N/A</v>
        <stp/>
        <stp>RADLC962</stp>
        <stp>EST</stp>
        <tr r="X7" s="4"/>
        <tr r="X8" s="4"/>
      </tp>
      <tp t="e">
        <v>#N/A</v>
        <stp/>
        <stp>VALEL999</stp>
        <stp>EST</stp>
        <tr r="X12" s="4"/>
      </tp>
      <tp t="e">
        <v>#N/A</v>
        <stp/>
        <stp>VALEX999</stp>
        <stp>EST</stp>
        <tr r="W12" s="4"/>
      </tp>
      <tp t="e">
        <v>#N/A</v>
        <stp/>
        <stp>VALEL998</stp>
        <stp>EST</stp>
        <tr r="X9" s="4"/>
      </tp>
      <tp t="e">
        <v>#N/A</v>
        <stp/>
        <stp>VALEX998</stp>
        <stp>EST</stp>
        <tr r="W9" s="4"/>
      </tp>
      <tp t="e">
        <v>#N/A</v>
        <stp/>
        <stp>PETRD710</stp>
        <stp>EST</stp>
        <tr r="X13" s="4"/>
      </tp>
      <tp t="e">
        <v>#N/A</v>
        <stp/>
        <stp>PETRP710</stp>
        <stp>EST</stp>
        <tr r="W13" s="4"/>
      </tp>
      <tp t="e">
        <v>#N/A</v>
        <stp/>
        <stp>VALE3</stp>
        <stp>EST</stp>
        <tr r="Y12" s="4"/>
        <tr r="Y9" s="4"/>
      </tp>
      <tp t="e">
        <v>#N/A</v>
        <stp/>
        <stp>RADL3</stp>
        <stp>EST</stp>
        <tr r="Y8" s="4"/>
        <tr r="Y7" s="4"/>
      </tp>
      <tp t="e">
        <v>#N/A</v>
        <stp/>
        <stp>ITUB4</stp>
        <stp>EST</stp>
        <tr r="Y11" s="4"/>
        <tr r="Y10" s="4"/>
      </tp>
      <tp t="e">
        <v>#N/A</v>
        <stp/>
        <stp>PETR4</stp>
        <stp>EST</stp>
        <tr r="Y13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179</xdr:row>
      <xdr:rowOff>0</xdr:rowOff>
    </xdr:from>
    <xdr:ext cx="304800" cy="304800"/>
    <xdr:sp macro="" textlink="">
      <xdr:nvSpPr>
        <xdr:cNvPr id="2051" name="AutoShape 3" descr="Imagem carregada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20173950" y="17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179</xdr:row>
      <xdr:rowOff>0</xdr:rowOff>
    </xdr:from>
    <xdr:ext cx="304800" cy="304800"/>
    <xdr:sp macro="" textlink="">
      <xdr:nvSpPr>
        <xdr:cNvPr id="7" name="AutoShape 3" descr="Imagem carregada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20181794" y="17705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179</xdr:row>
      <xdr:rowOff>0</xdr:rowOff>
    </xdr:from>
    <xdr:ext cx="304800" cy="304800"/>
    <xdr:sp macro="" textlink="">
      <xdr:nvSpPr>
        <xdr:cNvPr id="8" name="AutoShape 3" descr="Imagem carregada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0181794" y="17705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179</xdr:row>
      <xdr:rowOff>0</xdr:rowOff>
    </xdr:from>
    <xdr:ext cx="304800" cy="304800"/>
    <xdr:sp macro="" textlink="">
      <xdr:nvSpPr>
        <xdr:cNvPr id="9" name="AutoShape 3" descr="Imagem carregada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0181794" y="17705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179</xdr:row>
      <xdr:rowOff>0</xdr:rowOff>
    </xdr:from>
    <xdr:ext cx="304800" cy="304800"/>
    <xdr:sp macro="" textlink="">
      <xdr:nvSpPr>
        <xdr:cNvPr id="10" name="AutoShape 3" descr="Imagem carregada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0181794" y="17705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179</xdr:row>
      <xdr:rowOff>0</xdr:rowOff>
    </xdr:from>
    <xdr:ext cx="304800" cy="304800"/>
    <xdr:sp macro="" textlink="">
      <xdr:nvSpPr>
        <xdr:cNvPr id="11" name="AutoShape 3" descr="Imagem carregada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0181794" y="17705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14</xdr:col>
      <xdr:colOff>200025</xdr:colOff>
      <xdr:row>0</xdr:row>
      <xdr:rowOff>1</xdr:rowOff>
    </xdr:from>
    <xdr:to>
      <xdr:col>14</xdr:col>
      <xdr:colOff>784289</xdr:colOff>
      <xdr:row>2</xdr:row>
      <xdr:rowOff>155741</xdr:rowOff>
    </xdr:to>
    <xdr:pic macro="[0]!Planilha2.IniciarLoopEficiente">
      <xdr:nvPicPr>
        <xdr:cNvPr id="6" name="Image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9025" y="1"/>
          <a:ext cx="584264" cy="574840"/>
        </a:xfrm>
        <a:prstGeom prst="rect">
          <a:avLst/>
        </a:prstGeom>
      </xdr:spPr>
    </xdr:pic>
    <xdr:clientData/>
  </xdr:twoCellAnchor>
  <xdr:twoCellAnchor editAs="oneCell">
    <xdr:from>
      <xdr:col>14</xdr:col>
      <xdr:colOff>781049</xdr:colOff>
      <xdr:row>0</xdr:row>
      <xdr:rowOff>0</xdr:rowOff>
    </xdr:from>
    <xdr:to>
      <xdr:col>15</xdr:col>
      <xdr:colOff>409522</xdr:colOff>
      <xdr:row>2</xdr:row>
      <xdr:rowOff>152400</xdr:rowOff>
    </xdr:to>
    <xdr:pic macro="[0]!Planilha2.CancelarLoop">
      <xdr:nvPicPr>
        <xdr:cNvPr id="13" name="Imagem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0049" y="0"/>
          <a:ext cx="580973" cy="571500"/>
        </a:xfrm>
        <a:prstGeom prst="rect">
          <a:avLst/>
        </a:prstGeom>
      </xdr:spPr>
    </xdr:pic>
    <xdr:clientData/>
  </xdr:two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2" name="AutoShape 3" descr="Imagem carregada">
          <a:extLst>
            <a:ext uri="{FF2B5EF4-FFF2-40B4-BE49-F238E27FC236}">
              <a16:creationId xmlns:a16="http://schemas.microsoft.com/office/drawing/2014/main" id="{A5C3B335-6A65-4FCE-98ED-4B62A98811ED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3" name="AutoShape 3" descr="Imagem carregada">
          <a:extLst>
            <a:ext uri="{FF2B5EF4-FFF2-40B4-BE49-F238E27FC236}">
              <a16:creationId xmlns:a16="http://schemas.microsoft.com/office/drawing/2014/main" id="{E28C9141-D81C-4F60-8C1F-A0256775F84F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4" name="AutoShape 3" descr="Imagem carregada">
          <a:extLst>
            <a:ext uri="{FF2B5EF4-FFF2-40B4-BE49-F238E27FC236}">
              <a16:creationId xmlns:a16="http://schemas.microsoft.com/office/drawing/2014/main" id="{745CD6A7-F2CB-4268-916B-A3C661A31506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5" name="AutoShape 3" descr="Imagem carregada">
          <a:extLst>
            <a:ext uri="{FF2B5EF4-FFF2-40B4-BE49-F238E27FC236}">
              <a16:creationId xmlns:a16="http://schemas.microsoft.com/office/drawing/2014/main" id="{9239AEB2-4DA8-4BD8-9FF3-2A9A395EEF8A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14" name="AutoShape 3" descr="Imagem carregada">
          <a:extLst>
            <a:ext uri="{FF2B5EF4-FFF2-40B4-BE49-F238E27FC236}">
              <a16:creationId xmlns:a16="http://schemas.microsoft.com/office/drawing/2014/main" id="{506FD90F-F25A-46E2-84C6-6DF9F1ECE454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15" name="AutoShape 3" descr="Imagem carregada">
          <a:extLst>
            <a:ext uri="{FF2B5EF4-FFF2-40B4-BE49-F238E27FC236}">
              <a16:creationId xmlns:a16="http://schemas.microsoft.com/office/drawing/2014/main" id="{3D064A75-B5BF-4A1C-AAE4-442A31578616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179</xdr:row>
      <xdr:rowOff>0</xdr:rowOff>
    </xdr:from>
    <xdr:ext cx="304800" cy="304800"/>
    <xdr:sp macro="" textlink="">
      <xdr:nvSpPr>
        <xdr:cNvPr id="17" name="AutoShape 3" descr="Imagem carregada">
          <a:extLst>
            <a:ext uri="{FF2B5EF4-FFF2-40B4-BE49-F238E27FC236}">
              <a16:creationId xmlns:a16="http://schemas.microsoft.com/office/drawing/2014/main" id="{7DCBABBE-FBDA-41E7-99CA-ED9148B4BE3F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179</xdr:row>
      <xdr:rowOff>0</xdr:rowOff>
    </xdr:from>
    <xdr:ext cx="304800" cy="304800"/>
    <xdr:sp macro="" textlink="">
      <xdr:nvSpPr>
        <xdr:cNvPr id="18" name="AutoShape 3" descr="Imagem carregada">
          <a:extLst>
            <a:ext uri="{FF2B5EF4-FFF2-40B4-BE49-F238E27FC236}">
              <a16:creationId xmlns:a16="http://schemas.microsoft.com/office/drawing/2014/main" id="{FEF838DB-3175-4A7A-AAEE-A8672E921676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179</xdr:row>
      <xdr:rowOff>0</xdr:rowOff>
    </xdr:from>
    <xdr:ext cx="304800" cy="304800"/>
    <xdr:sp macro="" textlink="">
      <xdr:nvSpPr>
        <xdr:cNvPr id="19" name="AutoShape 3" descr="Imagem carregada">
          <a:extLst>
            <a:ext uri="{FF2B5EF4-FFF2-40B4-BE49-F238E27FC236}">
              <a16:creationId xmlns:a16="http://schemas.microsoft.com/office/drawing/2014/main" id="{42136A43-236B-4996-B136-25A00976FC4C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179</xdr:row>
      <xdr:rowOff>0</xdr:rowOff>
    </xdr:from>
    <xdr:ext cx="304800" cy="304800"/>
    <xdr:sp macro="" textlink="">
      <xdr:nvSpPr>
        <xdr:cNvPr id="20" name="AutoShape 3" descr="Imagem carregada">
          <a:extLst>
            <a:ext uri="{FF2B5EF4-FFF2-40B4-BE49-F238E27FC236}">
              <a16:creationId xmlns:a16="http://schemas.microsoft.com/office/drawing/2014/main" id="{B231722F-FF1B-4EAA-BD06-15E42552D090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23" name="AutoShape 3" descr="Imagem carregada">
          <a:extLst>
            <a:ext uri="{FF2B5EF4-FFF2-40B4-BE49-F238E27FC236}">
              <a16:creationId xmlns:a16="http://schemas.microsoft.com/office/drawing/2014/main" id="{9FDC07DA-CD4E-4803-832F-FEC8FD0BD160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24" name="AutoShape 3" descr="Imagem carregada">
          <a:extLst>
            <a:ext uri="{FF2B5EF4-FFF2-40B4-BE49-F238E27FC236}">
              <a16:creationId xmlns:a16="http://schemas.microsoft.com/office/drawing/2014/main" id="{BAA86E71-87CD-4E1A-A9AB-2B3F6FC8142E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25" name="AutoShape 3" descr="Imagem carregada">
          <a:extLst>
            <a:ext uri="{FF2B5EF4-FFF2-40B4-BE49-F238E27FC236}">
              <a16:creationId xmlns:a16="http://schemas.microsoft.com/office/drawing/2014/main" id="{9B13E20D-9366-41F0-9B12-55DB2CBFDB81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179</xdr:row>
      <xdr:rowOff>0</xdr:rowOff>
    </xdr:from>
    <xdr:ext cx="304800" cy="304800"/>
    <xdr:sp macro="" textlink="">
      <xdr:nvSpPr>
        <xdr:cNvPr id="26" name="AutoShape 3" descr="Imagem carregada">
          <a:extLst>
            <a:ext uri="{FF2B5EF4-FFF2-40B4-BE49-F238E27FC236}">
              <a16:creationId xmlns:a16="http://schemas.microsoft.com/office/drawing/2014/main" id="{84931CF0-E098-4BF9-B52D-5C53573C7FF2}"/>
            </a:ext>
          </a:extLst>
        </xdr:cNvPr>
        <xdr:cNvSpPr>
          <a:spLocks noChangeAspect="1" noChangeArrowheads="1"/>
        </xdr:cNvSpPr>
      </xdr:nvSpPr>
      <xdr:spPr bwMode="auto">
        <a:xfrm>
          <a:off x="191643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11</xdr:col>
      <xdr:colOff>38100</xdr:colOff>
      <xdr:row>0</xdr:row>
      <xdr:rowOff>0</xdr:rowOff>
    </xdr:from>
    <xdr:to>
      <xdr:col>12</xdr:col>
      <xdr:colOff>38100</xdr:colOff>
      <xdr:row>3</xdr:row>
      <xdr:rowOff>161925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36D8C835-2231-D8AD-1BAB-A0A4979A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4075" y="0"/>
          <a:ext cx="876300" cy="771525"/>
        </a:xfrm>
        <a:prstGeom prst="rect">
          <a:avLst/>
        </a:prstGeom>
      </xdr:spPr>
    </xdr:pic>
    <xdr:clientData/>
  </xdr:twoCellAnchor>
  <xdr:twoCellAnchor>
    <xdr:from>
      <xdr:col>10</xdr:col>
      <xdr:colOff>680832</xdr:colOff>
      <xdr:row>0</xdr:row>
      <xdr:rowOff>0</xdr:rowOff>
    </xdr:from>
    <xdr:to>
      <xdr:col>12</xdr:col>
      <xdr:colOff>238126</xdr:colOff>
      <xdr:row>3</xdr:row>
      <xdr:rowOff>238124</xdr:rowOff>
    </xdr:to>
    <xdr:sp macro="[0]!Botaoativarpescaria.BotaoPescaria" textlink="">
      <xdr:nvSpPr>
        <xdr:cNvPr id="16" name="botaopescaria">
          <a:extLst>
            <a:ext uri="{FF2B5EF4-FFF2-40B4-BE49-F238E27FC236}">
              <a16:creationId xmlns:a16="http://schemas.microsoft.com/office/drawing/2014/main" id="{B70C9DE7-B5FE-4ED5-AFB0-C7D7568740FC}"/>
            </a:ext>
          </a:extLst>
        </xdr:cNvPr>
        <xdr:cNvSpPr/>
      </xdr:nvSpPr>
      <xdr:spPr>
        <a:xfrm>
          <a:off x="9529557" y="0"/>
          <a:ext cx="1290844" cy="847724"/>
        </a:xfrm>
        <a:prstGeom prst="rect">
          <a:avLst/>
        </a:prstGeom>
        <a:solidFill>
          <a:srgbClr val="FFFFFF">
            <a:alpha val="0"/>
          </a:srgbClr>
        </a:solidFill>
        <a:ln w="508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50800" cap="flat" cmpd="sng" algn="ctr">
              <a:solidFill>
                <a:srgbClr val="C83232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63500" tIns="25400" rIns="63500" bIns="25400" rtlCol="0" anchor="ctr"/>
        <a:lstStyle/>
        <a:p>
          <a:pPr algn="ctr"/>
          <a:r>
            <a:rPr lang="pt-BR" sz="1400" b="1" baseline="0">
              <a:ln>
                <a:solidFill>
                  <a:schemeClr val="accent1"/>
                </a:solidFill>
              </a:ln>
              <a:solidFill>
                <a:srgbClr val="FFFFFF"/>
              </a:solidFill>
              <a:latin typeface="Gisha" panose="020F0502020204030204" pitchFamily="34" charset="-79"/>
              <a:ea typeface="HGPSoeiKakugothicUB" panose="020B0400000000000000" pitchFamily="34" charset="-128"/>
              <a:cs typeface="+mn-cs"/>
            </a:rPr>
            <a:t>Boletar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523" displayName="Tabela523" ref="A6:AI5914" totalsRowShown="0" headerRowDxfId="33">
  <autoFilter ref="A6:AI5914" xr:uid="{00000000-000C-0000-FFFF-FFFF00000000}"/>
  <sortState xmlns:xlrd2="http://schemas.microsoft.com/office/spreadsheetml/2017/richdata2" ref="A7:AI5914">
    <sortCondition descending="1" ref="O6:O5914"/>
  </sortState>
  <tableColumns count="35">
    <tableColumn id="23" xr3:uid="{00000000-0010-0000-0000-000017000000}" name="Ativo" dataDxfId="32"/>
    <tableColumn id="22" xr3:uid="{00000000-0010-0000-0000-000016000000}" name="Valor Ativo" dataDxfId="31">
      <calculatedColumnFormula>RTD("rtdtrading.rtdserver",,A7 &amp; "_B_0","ULT")</calculatedColumnFormula>
    </tableColumn>
    <tableColumn id="1" xr3:uid="{00000000-0010-0000-0000-000001000000}" name=" Cód.Put"/>
    <tableColumn id="2" xr3:uid="{00000000-0010-0000-0000-000002000000}" name="Strike" dataDxfId="30">
      <calculatedColumnFormula>RTD("rtdtrading.rtdserver",,C7 &amp; "_B_0", "PEX")</calculatedColumnFormula>
    </tableColumn>
    <tableColumn id="3" xr3:uid="{00000000-0010-0000-0000-000003000000}" name=" Cód. Call"/>
    <tableColumn id="4" xr3:uid="{00000000-0010-0000-0000-000004000000}" name="Vencmimento" dataDxfId="29">
      <calculatedColumnFormula>RTD("rtdtrading.rtdserver",,C7 &amp; "_B_0", "VAL")</calculatedColumnFormula>
    </tableColumn>
    <tableColumn id="5" xr3:uid="{00000000-0010-0000-0000-000005000000}" name="Dias" dataDxfId="28">
      <calculatedColumnFormula>F7-TODAY()</calculatedColumnFormula>
    </tableColumn>
    <tableColumn id="16" xr3:uid="{00000000-0010-0000-0000-000010000000}" name="CDI Período" dataDxfId="27">
      <calculatedColumnFormula>1*(1+$C$2)^Tabela523[[#This Row],[Dias]]-1</calculatedColumnFormula>
    </tableColumn>
    <tableColumn id="6" xr3:uid="{00000000-0010-0000-0000-000006000000}" name="Of. Vda.PUT" dataDxfId="26">
      <calculatedColumnFormula>RTD("rtdtrading.rtdserver",,C7 &amp; "_B_0","OVD")</calculatedColumnFormula>
    </tableColumn>
    <tableColumn id="7" xr3:uid="{00000000-0010-0000-0000-000007000000}" name="Of. Cmp.Put" dataDxfId="25">
      <calculatedColumnFormula>RTD("rtdtrading.rtdserver",,C7 &amp; "_B_0", "OCP")</calculatedColumnFormula>
    </tableColumn>
    <tableColumn id="8" xr3:uid="{00000000-0010-0000-0000-000008000000}" name="Of. Vda Call" dataDxfId="24">
      <calculatedColumnFormula>RTD("rtdtrading.rtdserver",,E7 &amp; "_B_0","OVD")</calculatedColumnFormula>
    </tableColumn>
    <tableColumn id="9" xr3:uid="{00000000-0010-0000-0000-000009000000}" name="Of.Cmp.Call" dataDxfId="23">
      <calculatedColumnFormula>RTD("rtdtrading.rtdserver",,E7 &amp; "_B_0", "OCP")</calculatedColumnFormula>
    </tableColumn>
    <tableColumn id="10" xr3:uid="{00000000-0010-0000-0000-00000A000000}" name="Custo SBTH" dataDxfId="22">
      <calculatedColumnFormula>IF((I7&gt;0),((B7+0.01)+I7),0)</calculatedColumnFormula>
    </tableColumn>
    <tableColumn id="11" xr3:uid="{00000000-0010-0000-0000-00000B000000}" name="% Ganho SBTH" dataDxfId="21">
      <calculatedColumnFormula>IF(M7 &gt;0,((D7-M7)/M7),0)</calculatedColumnFormula>
    </tableColumn>
    <tableColumn id="12" xr3:uid="{00000000-0010-0000-0000-00000C000000}" name="% DO CDI SBTH" dataDxfId="20">
      <calculatedColumnFormula>IF( (N7/#REF!)&gt;0, N7/#REF!,0)</calculatedColumnFormula>
    </tableColumn>
    <tableColumn id="13" xr3:uid="{00000000-0010-0000-0000-00000D000000}" name="CustoBox" dataDxfId="19">
      <calculatedColumnFormula>(IF(AND(I7&gt;0,L7&gt;0),(B7+0.01)+(I7-L7),0))</calculatedColumnFormula>
    </tableColumn>
    <tableColumn id="14" xr3:uid="{00000000-0010-0000-0000-00000E000000}" name="% Ganho Box" dataDxfId="18">
      <calculatedColumnFormula>IF(P7&gt;0,(D7-P7)/P7,0)</calculatedColumnFormula>
    </tableColumn>
    <tableColumn id="15" xr3:uid="{00000000-0010-0000-0000-00000F000000}" name="% do cdi BOX" dataDxfId="17">
      <calculatedColumnFormula>IF(OR(I7=0,L7=0),0,Q7/Tabela523[[#This Row],[CDI Período]])</calculatedColumnFormula>
    </tableColumn>
    <tableColumn id="18" xr3:uid="{00000000-0010-0000-0000-000012000000}" name="1=BOX" dataDxfId="16">
      <calculatedColumnFormula>IF(Tabela523[[#This Row],[% do cdi BOX]]&gt;$N$1, 1, 0)</calculatedColumnFormula>
    </tableColumn>
    <tableColumn id="19" xr3:uid="{00000000-0010-0000-0000-000013000000}" name="2= SBTH" dataDxfId="15">
      <calculatedColumnFormula>IF(Tabela523[[#This Row],[% DO CDI SBTH]]&gt;$N$2,2,0)</calculatedColumnFormula>
    </tableColumn>
    <tableColumn id="20" xr3:uid="{00000000-0010-0000-0000-000014000000}" name="TP.Op" dataDxfId="14">
      <calculatedColumnFormula>Tabela523[[#This Row],[1=BOX]]+Tabela523[[#This Row],[2= SBTH]]</calculatedColumnFormula>
    </tableColumn>
    <tableColumn id="21" xr3:uid="{00000000-0010-0000-0000-000015000000}" name="Operação" dataDxfId="13">
      <calculatedColumnFormula>IF(Tabela523[[#This Row],[TP.Op]]=3,"SBTH &amp; BOX",IF(Tabela523[[#This Row],[TP.Op]]=1,"BOX",IF(Tabela523[[#This Row],[TP.Op]]=2,"SBTH",0)))</calculatedColumnFormula>
    </tableColumn>
    <tableColumn id="17" xr3:uid="{12DBAA3C-3B8F-4FB1-8A51-DCCD3E548283}" name="St. Put" dataDxfId="12">
      <calculatedColumnFormula>RTD("rtdtrading.rtdserver",,C7, "EST")</calculatedColumnFormula>
    </tableColumn>
    <tableColumn id="24" xr3:uid="{57E1B325-5BC5-4D0B-B45D-2B2EF493E9D7}" name="St. Call" dataDxfId="11">
      <calculatedColumnFormula>RTD("rtdtrading.rtdserver",,E7, "EST")</calculatedColumnFormula>
    </tableColumn>
    <tableColumn id="25" xr3:uid="{29C00653-A457-4946-B6C2-DEA6E5F47032}" name="St. Ativo" dataDxfId="10">
      <calculatedColumnFormula>RTD("rtdtrading.rtdserver",,A7, "EST")</calculatedColumnFormula>
    </tableColumn>
    <tableColumn id="26" xr3:uid="{E020843E-8CFC-489F-8DE5-7F7AC1F5D118}" name="Leilão?" dataDxfId="9">
      <calculatedColumnFormula>IF(OR(Tabela523[[#This Row],[St. Put]]&lt;&gt;"Aberto", Tabela523[[#This Row],[St. Call]]&lt;&gt;"Aberto", Tabela523[[#This Row],[St. Ativo]]&lt;&gt;"Aberto"), 1, 0)</calculatedColumnFormula>
    </tableColumn>
    <tableColumn id="27" xr3:uid="{A9DD4C94-D55B-4733-A639-1484A68E9831}" name="CabPut" dataDxfId="8">
      <calculatedColumnFormula>RTD("rtdtrading.rtdserver",,C7 &amp; "_B_0","CAB")</calculatedColumnFormula>
    </tableColumn>
    <tableColumn id="29" xr3:uid="{41CE2AB6-53D7-4E77-9BD9-AE69F95FAD0E}" name="Qt.Ult.NegPut" dataDxfId="7">
      <calculatedColumnFormula>RTD("rtdtrading.rtdserver",,C7 &amp; "_B_0","QUL")</calculatedColumnFormula>
    </tableColumn>
    <tableColumn id="31" xr3:uid="{8BBB0CB7-A7FB-4EE3-9C35-FADA9D56951A}" name="VovPutBoca" dataDxfId="6">
      <calculatedColumnFormula>RTD("rtdtrading.rtdserver",,C7 &amp; "_B_0","VOV")</calculatedColumnFormula>
    </tableColumn>
    <tableColumn id="28" xr3:uid="{20AF8EB7-80C7-40D8-894D-5B79B8F3F34F}" name="CabCall" dataDxfId="5">
      <calculatedColumnFormula>RTD("rtdtrading.rtdserver",,E7 &amp; "_B_0","CAB")</calculatedColumnFormula>
    </tableColumn>
    <tableColumn id="30" xr3:uid="{26864EF3-146A-4432-B274-51A6AA371932}" name="Qt.Ult.NegPCall" dataDxfId="4">
      <calculatedColumnFormula>RTD("rtdtrading.rtdserver",,E7 &amp; "_B_0","QUL")</calculatedColumnFormula>
    </tableColumn>
    <tableColumn id="32" xr3:uid="{6B08FA8C-588F-490B-8A51-F208116F2158}" name="VocCallBoca" dataDxfId="3">
      <calculatedColumnFormula>RTD("rtdtrading.rtdserver",,E7 &amp; "_B_0","VOC")</calculatedColumnFormula>
    </tableColumn>
    <tableColumn id="33" xr3:uid="{5678ADBA-BDA4-4CDE-968B-F5A510226866}" name="Liq.PutxLote" dataDxfId="2">
      <calculatedColumnFormula>Tabela523[[#This Row],[VovPutBoca]]-Parametros!$C$16</calculatedColumnFormula>
    </tableColumn>
    <tableColumn id="35" xr3:uid="{E6C2A272-3A6B-4A53-A9FE-71D6566DFD42}" name="Liq.CallxLote" dataDxfId="1">
      <calculatedColumnFormula>Tabela523[[#This Row],[VocCallBoca]]-Parametros!$E$16</calculatedColumnFormula>
    </tableColumn>
    <tableColumn id="34" xr3:uid="{F815EA17-E749-40FB-9759-C2064C7E3C13}" name="Tp.Opção" dataDxfId="0"/>
  </tableColumns>
  <tableStyleInfo name="EstiloFinCalm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F9C7-0A81-4E31-8CC9-F79E83420C91}">
  <sheetPr codeName="Planilha5"/>
  <dimension ref="A1:B36"/>
  <sheetViews>
    <sheetView workbookViewId="0">
      <selection activeCell="B2" sqref="B2"/>
    </sheetView>
  </sheetViews>
  <sheetFormatPr defaultRowHeight="15"/>
  <cols>
    <col min="1" max="1" width="49.140625" customWidth="1"/>
    <col min="2" max="2" width="186.7109375" customWidth="1"/>
  </cols>
  <sheetData>
    <row r="1" spans="1:2">
      <c r="A1" t="s">
        <v>57</v>
      </c>
      <c r="B1" t="s">
        <v>248</v>
      </c>
    </row>
    <row r="2" spans="1:2">
      <c r="A2" t="s">
        <v>58</v>
      </c>
      <c r="B2" t="s">
        <v>246</v>
      </c>
    </row>
    <row r="3" spans="1:2">
      <c r="A3" t="s">
        <v>59</v>
      </c>
      <c r="B3" t="s">
        <v>92</v>
      </c>
    </row>
    <row r="4" spans="1:2">
      <c r="A4" t="s">
        <v>60</v>
      </c>
      <c r="B4" t="s">
        <v>246</v>
      </c>
    </row>
    <row r="5" spans="1:2">
      <c r="A5" t="s">
        <v>61</v>
      </c>
      <c r="B5" t="s">
        <v>93</v>
      </c>
    </row>
    <row r="6" spans="1:2">
      <c r="A6" t="s">
        <v>62</v>
      </c>
      <c r="B6" t="s">
        <v>246</v>
      </c>
    </row>
    <row r="7" spans="1:2">
      <c r="A7" t="s">
        <v>63</v>
      </c>
      <c r="B7" t="s">
        <v>94</v>
      </c>
    </row>
    <row r="8" spans="1:2">
      <c r="A8" t="s">
        <v>64</v>
      </c>
      <c r="B8" t="s">
        <v>95</v>
      </c>
    </row>
    <row r="9" spans="1:2">
      <c r="A9" t="s">
        <v>65</v>
      </c>
      <c r="B9" t="s">
        <v>96</v>
      </c>
    </row>
    <row r="10" spans="1:2">
      <c r="A10" t="s">
        <v>66</v>
      </c>
      <c r="B10" t="s">
        <v>97</v>
      </c>
    </row>
    <row r="11" spans="1:2">
      <c r="A11" t="s">
        <v>67</v>
      </c>
      <c r="B11" t="s">
        <v>98</v>
      </c>
    </row>
    <row r="12" spans="1:2">
      <c r="A12" t="s">
        <v>68</v>
      </c>
      <c r="B12" t="s">
        <v>99</v>
      </c>
    </row>
    <row r="13" spans="1:2">
      <c r="A13" t="s">
        <v>69</v>
      </c>
      <c r="B13" t="s">
        <v>100</v>
      </c>
    </row>
    <row r="14" spans="1:2">
      <c r="A14" t="s">
        <v>70</v>
      </c>
      <c r="B14" t="s">
        <v>101</v>
      </c>
    </row>
    <row r="15" spans="1:2">
      <c r="A15" t="s">
        <v>71</v>
      </c>
      <c r="B15" t="s">
        <v>102</v>
      </c>
    </row>
    <row r="16" spans="1:2">
      <c r="A16" t="s">
        <v>72</v>
      </c>
      <c r="B16" t="s">
        <v>103</v>
      </c>
    </row>
    <row r="17" spans="1:2">
      <c r="A17" t="s">
        <v>73</v>
      </c>
      <c r="B17" t="s">
        <v>104</v>
      </c>
    </row>
    <row r="18" spans="1:2">
      <c r="A18" t="s">
        <v>74</v>
      </c>
      <c r="B18" t="s">
        <v>105</v>
      </c>
    </row>
    <row r="19" spans="1:2">
      <c r="A19" t="s">
        <v>75</v>
      </c>
      <c r="B19" t="s">
        <v>106</v>
      </c>
    </row>
    <row r="20" spans="1:2">
      <c r="A20" t="s">
        <v>76</v>
      </c>
      <c r="B20" t="s">
        <v>107</v>
      </c>
    </row>
    <row r="21" spans="1:2">
      <c r="A21" t="s">
        <v>77</v>
      </c>
      <c r="B21" t="s">
        <v>108</v>
      </c>
    </row>
    <row r="22" spans="1:2">
      <c r="A22" t="s">
        <v>78</v>
      </c>
      <c r="B22" t="s">
        <v>109</v>
      </c>
    </row>
    <row r="23" spans="1:2">
      <c r="A23" t="s">
        <v>79</v>
      </c>
      <c r="B23" t="s">
        <v>110</v>
      </c>
    </row>
    <row r="24" spans="1:2">
      <c r="A24" t="s">
        <v>80</v>
      </c>
      <c r="B24" t="s">
        <v>111</v>
      </c>
    </row>
    <row r="25" spans="1:2">
      <c r="A25" t="s">
        <v>81</v>
      </c>
      <c r="B25" t="s">
        <v>112</v>
      </c>
    </row>
    <row r="26" spans="1:2">
      <c r="A26" t="s">
        <v>82</v>
      </c>
      <c r="B26" t="s">
        <v>113</v>
      </c>
    </row>
    <row r="27" spans="1:2">
      <c r="A27" t="s">
        <v>83</v>
      </c>
      <c r="B27" t="s">
        <v>114</v>
      </c>
    </row>
    <row r="28" spans="1:2">
      <c r="A28" t="s">
        <v>84</v>
      </c>
      <c r="B28" t="s">
        <v>115</v>
      </c>
    </row>
    <row r="29" spans="1:2">
      <c r="A29" t="s">
        <v>85</v>
      </c>
      <c r="B29" t="s">
        <v>116</v>
      </c>
    </row>
    <row r="30" spans="1:2">
      <c r="A30" t="s">
        <v>86</v>
      </c>
      <c r="B30" t="s">
        <v>117</v>
      </c>
    </row>
    <row r="31" spans="1:2">
      <c r="A31" t="s">
        <v>87</v>
      </c>
      <c r="B31" t="s">
        <v>118</v>
      </c>
    </row>
    <row r="32" spans="1:2">
      <c r="A32" t="s">
        <v>88</v>
      </c>
      <c r="B32" t="s">
        <v>119</v>
      </c>
    </row>
    <row r="33" spans="1:2">
      <c r="A33" t="s">
        <v>89</v>
      </c>
      <c r="B33" t="s">
        <v>120</v>
      </c>
    </row>
    <row r="34" spans="1:2">
      <c r="A34" t="s">
        <v>90</v>
      </c>
      <c r="B34" t="s">
        <v>121</v>
      </c>
    </row>
    <row r="35" spans="1:2">
      <c r="A35" t="s">
        <v>91</v>
      </c>
      <c r="B35" t="s">
        <v>122</v>
      </c>
    </row>
    <row r="36" spans="1:2">
      <c r="A36" t="s">
        <v>247</v>
      </c>
      <c r="B36" t="s">
        <v>246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AI5914"/>
  <sheetViews>
    <sheetView showGridLines="0" tabSelected="1" zoomScale="115" zoomScaleNormal="115" workbookViewId="0">
      <selection activeCell="G22" sqref="G22"/>
    </sheetView>
  </sheetViews>
  <sheetFormatPr defaultRowHeight="15"/>
  <cols>
    <col min="1" max="1" width="10" customWidth="1"/>
    <col min="2" max="2" width="10.140625" customWidth="1"/>
    <col min="3" max="3" width="29" customWidth="1"/>
    <col min="4" max="4" width="8.7109375" customWidth="1"/>
    <col min="5" max="5" width="11.5703125" customWidth="1"/>
    <col min="6" max="6" width="14" style="23" customWidth="1"/>
    <col min="7" max="7" width="9" customWidth="1"/>
    <col min="8" max="8" width="12.42578125" customWidth="1"/>
    <col min="9" max="9" width="13.28515625" customWidth="1"/>
    <col min="10" max="10" width="14.5703125" customWidth="1"/>
    <col min="11" max="11" width="12.85546875" customWidth="1"/>
    <col min="12" max="12" width="13.140625" style="25" customWidth="1"/>
    <col min="13" max="13" width="17.85546875" style="25" customWidth="1"/>
    <col min="14" max="14" width="14.140625" customWidth="1"/>
    <col min="15" max="15" width="14.28515625" style="25" customWidth="1"/>
    <col min="16" max="16" width="11.5703125" style="25" customWidth="1"/>
    <col min="17" max="17" width="15" style="23" customWidth="1"/>
    <col min="18" max="18" width="14.5703125" style="23" customWidth="1"/>
    <col min="19" max="20" width="7.140625" style="23" customWidth="1"/>
    <col min="21" max="21" width="7.85546875" style="23" customWidth="1"/>
    <col min="22" max="22" width="11.7109375" bestFit="1" customWidth="1"/>
    <col min="23" max="23" width="9.5703125" customWidth="1"/>
    <col min="24" max="24" width="9.140625" customWidth="1"/>
    <col min="26" max="26" width="8.28515625" style="24" customWidth="1"/>
    <col min="28" max="28" width="17.28515625" customWidth="1"/>
    <col min="29" max="29" width="13.28515625" customWidth="1"/>
    <col min="30" max="30" width="10.28515625" customWidth="1"/>
    <col min="31" max="31" width="17.42578125" customWidth="1"/>
    <col min="32" max="32" width="12.85546875" customWidth="1"/>
    <col min="33" max="33" width="15.28515625" customWidth="1"/>
    <col min="34" max="34" width="14.28515625" customWidth="1"/>
  </cols>
  <sheetData>
    <row r="1" spans="1:35" ht="16.5">
      <c r="A1" s="16" t="s">
        <v>15</v>
      </c>
      <c r="B1" s="16" t="s">
        <v>13</v>
      </c>
      <c r="C1" s="16" t="s">
        <v>14</v>
      </c>
      <c r="F1"/>
      <c r="L1"/>
      <c r="M1" s="22" t="s">
        <v>11</v>
      </c>
      <c r="N1" s="19">
        <f>Parametros!B5</f>
        <v>1.5</v>
      </c>
      <c r="O1" s="2"/>
      <c r="P1"/>
    </row>
    <row r="2" spans="1:35" ht="16.5">
      <c r="A2" s="19">
        <f>Parametros!B4</f>
        <v>0.15</v>
      </c>
      <c r="B2" s="19">
        <f>POWER(1+A2,1/12)-1</f>
        <v>1.171491691985338E-2</v>
      </c>
      <c r="C2" s="19">
        <f>POWER(1+B2,1/30)-1</f>
        <v>3.883029878035682E-4</v>
      </c>
      <c r="M2" s="22" t="s">
        <v>28</v>
      </c>
      <c r="N2" s="19">
        <f>Parametros!B6</f>
        <v>1.2</v>
      </c>
      <c r="R2" s="26" t="s">
        <v>31</v>
      </c>
      <c r="S2" s="26"/>
      <c r="T2" s="26"/>
      <c r="U2" s="27"/>
      <c r="V2" s="28"/>
    </row>
    <row r="3" spans="1:35">
      <c r="H3" s="51"/>
      <c r="R3" s="26" t="s">
        <v>245</v>
      </c>
      <c r="S3" s="26"/>
      <c r="T3" s="26"/>
      <c r="U3" s="26"/>
      <c r="V3" s="26"/>
    </row>
    <row r="4" spans="1:35" ht="18.75">
      <c r="A4" s="29"/>
      <c r="B4" s="30"/>
      <c r="C4" s="30"/>
      <c r="K4" s="52"/>
      <c r="T4" s="31"/>
      <c r="U4" s="31"/>
      <c r="V4" s="32"/>
    </row>
    <row r="5" spans="1:35" ht="16.5">
      <c r="C5" s="33"/>
      <c r="D5" s="34"/>
      <c r="E5" s="34"/>
      <c r="M5" s="17" t="s">
        <v>45</v>
      </c>
      <c r="N5" s="35"/>
      <c r="O5" s="18">
        <f ca="1">COUNTIFS(Tabela523[TP.Op], "&gt;0", Tabela523[Leilão?], "=0")</f>
        <v>0</v>
      </c>
      <c r="Y5" s="25"/>
    </row>
    <row r="6" spans="1:35" s="41" customFormat="1" ht="14.25">
      <c r="A6" s="36" t="s">
        <v>10</v>
      </c>
      <c r="B6" s="36" t="s">
        <v>126</v>
      </c>
      <c r="C6" s="36" t="s">
        <v>124</v>
      </c>
      <c r="D6" s="36" t="s">
        <v>0</v>
      </c>
      <c r="E6" s="36" t="s">
        <v>125</v>
      </c>
      <c r="F6" s="36" t="s">
        <v>127</v>
      </c>
      <c r="G6" s="37" t="s">
        <v>1</v>
      </c>
      <c r="H6" s="38" t="s">
        <v>123</v>
      </c>
      <c r="I6" s="36" t="s">
        <v>129</v>
      </c>
      <c r="J6" s="36" t="s">
        <v>130</v>
      </c>
      <c r="K6" s="36" t="s">
        <v>131</v>
      </c>
      <c r="L6" s="36" t="s">
        <v>132</v>
      </c>
      <c r="M6" s="36" t="s">
        <v>12</v>
      </c>
      <c r="N6" s="36" t="s">
        <v>3</v>
      </c>
      <c r="O6" s="53" t="s">
        <v>136</v>
      </c>
      <c r="P6" s="36" t="s">
        <v>2</v>
      </c>
      <c r="Q6" s="36" t="s">
        <v>4</v>
      </c>
      <c r="R6" s="53" t="s">
        <v>6</v>
      </c>
      <c r="S6" s="36" t="s">
        <v>7</v>
      </c>
      <c r="T6" s="36" t="s">
        <v>8</v>
      </c>
      <c r="U6" s="36" t="s">
        <v>9</v>
      </c>
      <c r="V6" s="36" t="s">
        <v>5</v>
      </c>
      <c r="W6" s="39" t="s">
        <v>16</v>
      </c>
      <c r="X6" s="39" t="s">
        <v>17</v>
      </c>
      <c r="Y6" s="39" t="s">
        <v>18</v>
      </c>
      <c r="Z6" s="39" t="s">
        <v>46</v>
      </c>
      <c r="AA6" s="39" t="s">
        <v>49</v>
      </c>
      <c r="AB6" s="39" t="s">
        <v>53</v>
      </c>
      <c r="AC6" s="39" t="s">
        <v>50</v>
      </c>
      <c r="AD6" s="39" t="s">
        <v>48</v>
      </c>
      <c r="AE6" s="39" t="s">
        <v>54</v>
      </c>
      <c r="AF6" s="39" t="s">
        <v>51</v>
      </c>
      <c r="AG6" s="36" t="s">
        <v>55</v>
      </c>
      <c r="AH6" s="40" t="s">
        <v>56</v>
      </c>
      <c r="AI6" s="40" t="s">
        <v>128</v>
      </c>
    </row>
    <row r="7" spans="1:35">
      <c r="A7" s="23" t="s">
        <v>237</v>
      </c>
      <c r="B7" s="42">
        <f>RTD("rtdtrading.rtdserver",,A7 &amp; "_B_0","ULT")</f>
        <v>24.3</v>
      </c>
      <c r="C7" t="s">
        <v>236</v>
      </c>
      <c r="D7">
        <f>RTD("rtdtrading.rtdserver",,C7 &amp; "_B_0", "PEX")</f>
        <v>9.6199999999999992</v>
      </c>
      <c r="E7" t="s">
        <v>238</v>
      </c>
      <c r="F7" s="23" t="str">
        <f>RTD("rtdtrading.rtdserver",,C7 &amp; "_B_0", "VAL")</f>
        <v>20/03/2026</v>
      </c>
      <c r="G7" s="43">
        <f t="shared" ref="G7:G13" ca="1" si="0">F7-TODAY()</f>
        <v>-52</v>
      </c>
      <c r="H7" s="44">
        <f ca="1">1*(1+$C$2)^Tabela523[[#This Row],[Dias]]-1</f>
        <v>-1.998542611889953E-2</v>
      </c>
      <c r="I7">
        <f>RTD("rtdtrading.rtdserver",,C7 &amp; "_B_0","OVD")</f>
        <v>0</v>
      </c>
      <c r="J7">
        <f>RTD("rtdtrading.rtdserver",,C7 &amp; "_B_0", "OCP")</f>
        <v>0</v>
      </c>
      <c r="K7">
        <f>RTD("rtdtrading.rtdserver",,E7 &amp; "_B_0","OVD")</f>
        <v>0</v>
      </c>
      <c r="L7" s="42">
        <f>RTD("rtdtrading.rtdserver",,E7 &amp; "_B_0", "OCP")</f>
        <v>0</v>
      </c>
      <c r="M7" s="42">
        <f t="shared" ref="M7:M13" si="1">IF((I7&gt;0),((B7+0.01)+I7),0)</f>
        <v>0</v>
      </c>
      <c r="N7" s="25">
        <f t="shared" ref="N7:N13" si="2">IF(M7 &gt;0,((D7-M7)/M7),0)</f>
        <v>0</v>
      </c>
      <c r="O7" s="54">
        <f t="shared" ref="O7:O13" ca="1" si="3">IF( (N7/$H7)&gt;0, N7/H7,0)</f>
        <v>0</v>
      </c>
      <c r="P7">
        <f t="shared" ref="P7:P13" si="4">(IF(AND(I7&gt;0,L7&gt;0),(B7+0.01)+(I7-L7),0))</f>
        <v>0</v>
      </c>
      <c r="Q7" s="25">
        <f t="shared" ref="Q7:Q13" si="5">IF(P7&gt;0,(D7-P7)/P7,0)</f>
        <v>0</v>
      </c>
      <c r="R7" s="54">
        <f>IF(OR(I7=0,L7=0),0,Q7/Tabela523[[#This Row],[CDI Período]])</f>
        <v>0</v>
      </c>
      <c r="S7" s="23">
        <f>IF(Tabela523[[#This Row],[% do cdi BOX]]&gt;$N$1, 1, 0)</f>
        <v>0</v>
      </c>
      <c r="T7" s="23">
        <f ca="1">IF(Tabela523[[#This Row],[% DO CDI SBTH]]&gt;$N$2,2,0)</f>
        <v>0</v>
      </c>
      <c r="U7" s="23">
        <f ca="1">Tabela523[[#This Row],[1=BOX]]+Tabela523[[#This Row],[2= SBTH]]</f>
        <v>0</v>
      </c>
      <c r="V7">
        <f ca="1">IF(Tabela523[[#This Row],[TP.Op]]=3,"SBTH &amp; BOX",IF(Tabela523[[#This Row],[TP.Op]]=1,"BOX",IF(Tabela523[[#This Row],[TP.Op]]=2,"SBTH",0)))</f>
        <v>0</v>
      </c>
      <c r="W7" s="23" t="str">
        <f>RTD("rtdtrading.rtdserver",,C7, "EST")</f>
        <v>Fechado</v>
      </c>
      <c r="X7" s="23" t="str">
        <f>RTD("rtdtrading.rtdserver",,E7, "EST")</f>
        <v>Fechado</v>
      </c>
      <c r="Y7" s="23" t="str">
        <f>RTD("rtdtrading.rtdserver",,A7, "EST")</f>
        <v>Aberto</v>
      </c>
      <c r="Z7" s="43">
        <f>IF(OR(Tabela523[[#This Row],[St. Put]]&lt;&gt;"Aberto", Tabela523[[#This Row],[St. Call]]&lt;&gt;"Aberto", Tabela523[[#This Row],[St. Ativo]]&lt;&gt;"Aberto"), 1, 0)</f>
        <v>1</v>
      </c>
      <c r="AA7" s="23">
        <f>RTD("rtdtrading.rtdserver",,C7 &amp; "_B_0","CAB")</f>
        <v>0</v>
      </c>
      <c r="AB7" s="23">
        <f>RTD("rtdtrading.rtdserver",,C7 &amp; "_B_0","QUL")</f>
        <v>0</v>
      </c>
      <c r="AC7" s="23">
        <f>RTD("rtdtrading.rtdserver",,C7 &amp; "_B_0","VOV")</f>
        <v>0</v>
      </c>
      <c r="AD7" s="23">
        <f>RTD("rtdtrading.rtdserver",,E7 &amp; "_B_0","CAB")</f>
        <v>0</v>
      </c>
      <c r="AE7" s="23">
        <f>RTD("rtdtrading.rtdserver",,E7 &amp; "_B_0","QUL")</f>
        <v>0</v>
      </c>
      <c r="AF7" s="23">
        <f>RTD("rtdtrading.rtdserver",,E7 &amp; "_B_0","VOC")</f>
        <v>0</v>
      </c>
      <c r="AG7" s="23">
        <f>Tabela523[[#This Row],[VovPutBoca]]-Parametros!$C$16</f>
        <v>-1000</v>
      </c>
      <c r="AH7" s="23">
        <f>Tabela523[[#This Row],[VocCallBoca]]-Parametros!$E$16</f>
        <v>-1000</v>
      </c>
      <c r="AI7" s="23" t="s">
        <v>134</v>
      </c>
    </row>
    <row r="8" spans="1:35">
      <c r="A8" s="23" t="s">
        <v>237</v>
      </c>
      <c r="B8" s="42">
        <f>RTD("rtdtrading.rtdserver",,A8 &amp; "_B_0","ULT")</f>
        <v>24.3</v>
      </c>
      <c r="C8" s="49" t="s">
        <v>236</v>
      </c>
      <c r="D8">
        <f>RTD("rtdtrading.rtdserver",,C8 &amp; "_B_0", "PEX")</f>
        <v>9.6199999999999992</v>
      </c>
      <c r="E8" s="49" t="s">
        <v>238</v>
      </c>
      <c r="F8" s="23" t="str">
        <f>RTD("rtdtrading.rtdserver",,C8 &amp; "_B_0", "VAL")</f>
        <v>20/03/2026</v>
      </c>
      <c r="G8" s="43">
        <f t="shared" ca="1" si="0"/>
        <v>-52</v>
      </c>
      <c r="H8" s="44">
        <f ca="1">1*(1+$C$2)^Tabela523[[#This Row],[Dias]]-1</f>
        <v>-1.998542611889953E-2</v>
      </c>
      <c r="I8">
        <f>RTD("rtdtrading.rtdserver",,C8 &amp; "_B_0","OVD")</f>
        <v>0</v>
      </c>
      <c r="J8">
        <f>RTD("rtdtrading.rtdserver",,C8 &amp; "_B_0", "OCP")</f>
        <v>0</v>
      </c>
      <c r="K8">
        <f>RTD("rtdtrading.rtdserver",,E8 &amp; "_B_0","OVD")</f>
        <v>0</v>
      </c>
      <c r="L8" s="42">
        <f>RTD("rtdtrading.rtdserver",,E8 &amp; "_B_0", "OCP")</f>
        <v>0</v>
      </c>
      <c r="M8" s="42">
        <f t="shared" si="1"/>
        <v>0</v>
      </c>
      <c r="N8" s="25">
        <f t="shared" si="2"/>
        <v>0</v>
      </c>
      <c r="O8" s="54">
        <f t="shared" ca="1" si="3"/>
        <v>0</v>
      </c>
      <c r="P8">
        <f t="shared" si="4"/>
        <v>0</v>
      </c>
      <c r="Q8" s="25">
        <f t="shared" si="5"/>
        <v>0</v>
      </c>
      <c r="R8" s="54">
        <f>IF(OR(I8=0,L8=0),0,Q8/Tabela523[[#This Row],[CDI Período]])</f>
        <v>0</v>
      </c>
      <c r="S8" s="23">
        <f>IF(Tabela523[[#This Row],[% do cdi BOX]]&gt;$N$1, 1, 0)</f>
        <v>0</v>
      </c>
      <c r="T8" s="23">
        <f ca="1">IF(Tabela523[[#This Row],[% DO CDI SBTH]]&gt;$N$2,2,0)</f>
        <v>0</v>
      </c>
      <c r="U8" s="23">
        <f ca="1">Tabela523[[#This Row],[1=BOX]]+Tabela523[[#This Row],[2= SBTH]]</f>
        <v>0</v>
      </c>
      <c r="V8">
        <f ca="1">IF(Tabela523[[#This Row],[TP.Op]]=3,"SBTH &amp; BOX",IF(Tabela523[[#This Row],[TP.Op]]=1,"BOX",IF(Tabela523[[#This Row],[TP.Op]]=2,"SBTH",0)))</f>
        <v>0</v>
      </c>
      <c r="W8" s="23" t="str">
        <f>RTD("rtdtrading.rtdserver",,C8, "EST")</f>
        <v>Fechado</v>
      </c>
      <c r="X8" s="23" t="str">
        <f>RTD("rtdtrading.rtdserver",,E8, "EST")</f>
        <v>Fechado</v>
      </c>
      <c r="Y8" s="23" t="str">
        <f>RTD("rtdtrading.rtdserver",,A8, "EST")</f>
        <v>Aberto</v>
      </c>
      <c r="Z8" s="43">
        <f>IF(OR(Tabela523[[#This Row],[St. Put]]&lt;&gt;"Aberto", Tabela523[[#This Row],[St. Call]]&lt;&gt;"Aberto", Tabela523[[#This Row],[St. Ativo]]&lt;&gt;"Aberto"), 1, 0)</f>
        <v>1</v>
      </c>
      <c r="AA8" s="23">
        <f>RTD("rtdtrading.rtdserver",,C8 &amp; "_B_0","CAB")</f>
        <v>0</v>
      </c>
      <c r="AB8" s="23">
        <f>RTD("rtdtrading.rtdserver",,C8 &amp; "_B_0","QUL")</f>
        <v>0</v>
      </c>
      <c r="AC8" s="23">
        <f>RTD("rtdtrading.rtdserver",,C8 &amp; "_B_0","VOV")</f>
        <v>0</v>
      </c>
      <c r="AD8" s="23">
        <f>RTD("rtdtrading.rtdserver",,E8 &amp; "_B_0","CAB")</f>
        <v>0</v>
      </c>
      <c r="AE8" s="23">
        <f>RTD("rtdtrading.rtdserver",,E8 &amp; "_B_0","QUL")</f>
        <v>0</v>
      </c>
      <c r="AF8" s="23">
        <f>RTD("rtdtrading.rtdserver",,E8 &amp; "_B_0","VOC")</f>
        <v>0</v>
      </c>
      <c r="AG8" s="23">
        <f>Tabela523[[#This Row],[VovPutBoca]]-Parametros!$C$16</f>
        <v>-1000</v>
      </c>
      <c r="AH8" s="23">
        <f>Tabela523[[#This Row],[VocCallBoca]]-Parametros!$E$16</f>
        <v>-1000</v>
      </c>
      <c r="AI8" s="49" t="s">
        <v>134</v>
      </c>
    </row>
    <row r="9" spans="1:35">
      <c r="A9" s="23" t="s">
        <v>133</v>
      </c>
      <c r="B9" s="42">
        <f>RTD("rtdtrading.rtdserver",,A9 &amp; "_B_0","ULT")</f>
        <v>87.92</v>
      </c>
      <c r="C9" s="49" t="s">
        <v>230</v>
      </c>
      <c r="D9">
        <f>RTD("rtdtrading.rtdserver",,C9 &amp; "_B_0", "PEX")</f>
        <v>99.96</v>
      </c>
      <c r="E9" s="49" t="s">
        <v>235</v>
      </c>
      <c r="F9" s="23" t="str">
        <f>RTD("rtdtrading.rtdserver",,C9 &amp; "_B_0", "VAL")</f>
        <v>18/12/2026</v>
      </c>
      <c r="G9" s="43">
        <f t="shared" ca="1" si="0"/>
        <v>221</v>
      </c>
      <c r="H9" s="44">
        <f ca="1">1*(1+$C$2)^Tabela523[[#This Row],[Dias]]-1</f>
        <v>8.958654036384428E-2</v>
      </c>
      <c r="I9">
        <f>RTD("rtdtrading.rtdserver",,C9 &amp; "_B_0","OVD")</f>
        <v>0</v>
      </c>
      <c r="J9">
        <f>RTD("rtdtrading.rtdserver",,C9 &amp; "_B_0", "OCP")</f>
        <v>0</v>
      </c>
      <c r="K9">
        <f>RTD("rtdtrading.rtdserver",,E9 &amp; "_B_0","OVD")</f>
        <v>0</v>
      </c>
      <c r="L9" s="42">
        <f>RTD("rtdtrading.rtdserver",,E9 &amp; "_B_0", "OCP")</f>
        <v>0</v>
      </c>
      <c r="M9" s="42">
        <f t="shared" si="1"/>
        <v>0</v>
      </c>
      <c r="N9" s="25">
        <f t="shared" si="2"/>
        <v>0</v>
      </c>
      <c r="O9" s="54">
        <f t="shared" ca="1" si="3"/>
        <v>0</v>
      </c>
      <c r="P9">
        <f t="shared" si="4"/>
        <v>0</v>
      </c>
      <c r="Q9" s="25">
        <f t="shared" si="5"/>
        <v>0</v>
      </c>
      <c r="R9" s="54">
        <f>IF(OR(I9=0,L9=0),0,Q9/Tabela523[[#This Row],[CDI Período]])</f>
        <v>0</v>
      </c>
      <c r="S9" s="23">
        <f>IF(Tabela523[[#This Row],[% do cdi BOX]]&gt;$N$1, 1, 0)</f>
        <v>0</v>
      </c>
      <c r="T9" s="23">
        <f ca="1">IF(Tabela523[[#This Row],[% DO CDI SBTH]]&gt;$N$2,2,0)</f>
        <v>0</v>
      </c>
      <c r="U9" s="23">
        <f ca="1">Tabela523[[#This Row],[1=BOX]]+Tabela523[[#This Row],[2= SBTH]]</f>
        <v>0</v>
      </c>
      <c r="V9">
        <f ca="1">IF(Tabela523[[#This Row],[TP.Op]]=3,"SBTH &amp; BOX",IF(Tabela523[[#This Row],[TP.Op]]=1,"BOX",IF(Tabela523[[#This Row],[TP.Op]]=2,"SBTH",0)))</f>
        <v>0</v>
      </c>
      <c r="W9" s="23" t="str">
        <f>RTD("rtdtrading.rtdserver",,C9, "EST")</f>
        <v>Aberto</v>
      </c>
      <c r="X9" s="23" t="str">
        <f>RTD("rtdtrading.rtdserver",,E9, "EST")</f>
        <v>Aberto</v>
      </c>
      <c r="Y9" s="23" t="str">
        <f>RTD("rtdtrading.rtdserver",,A9, "EST")</f>
        <v>Aberto</v>
      </c>
      <c r="Z9" s="43">
        <f>IF(OR(Tabela523[[#This Row],[St. Put]]&lt;&gt;"Aberto", Tabela523[[#This Row],[St. Call]]&lt;&gt;"Aberto", Tabela523[[#This Row],[St. Ativo]]&lt;&gt;"Aberto"), 1, 0)</f>
        <v>0</v>
      </c>
      <c r="AA9" s="23">
        <f>RTD("rtdtrading.rtdserver",,C9 &amp; "_B_0","CAB")</f>
        <v>100</v>
      </c>
      <c r="AB9" s="23">
        <f>RTD("rtdtrading.rtdserver",,C9 &amp; "_B_0","QUL")</f>
        <v>0</v>
      </c>
      <c r="AC9" s="23">
        <f>RTD("rtdtrading.rtdserver",,C9 &amp; "_B_0","VOV")</f>
        <v>0</v>
      </c>
      <c r="AD9" s="23">
        <f>RTD("rtdtrading.rtdserver",,E9 &amp; "_B_0","CAB")</f>
        <v>123500</v>
      </c>
      <c r="AE9" s="23">
        <f>RTD("rtdtrading.rtdserver",,E9 &amp; "_B_0","QUL")</f>
        <v>0</v>
      </c>
      <c r="AF9" s="23">
        <f>RTD("rtdtrading.rtdserver",,E9 &amp; "_B_0","VOC")</f>
        <v>0</v>
      </c>
      <c r="AG9" s="23">
        <f>Tabela523[[#This Row],[VovPutBoca]]-Parametros!$C$16</f>
        <v>-1000</v>
      </c>
      <c r="AH9" s="23">
        <f>Tabela523[[#This Row],[VocCallBoca]]-Parametros!$E$16</f>
        <v>-1000</v>
      </c>
      <c r="AI9" s="49" t="s">
        <v>135</v>
      </c>
    </row>
    <row r="10" spans="1:35">
      <c r="A10" s="23" t="s">
        <v>225</v>
      </c>
      <c r="B10" s="42">
        <f>RTD("rtdtrading.rtdserver",,A10 &amp; "_B_0","ULT")</f>
        <v>46.54</v>
      </c>
      <c r="C10" s="49" t="s">
        <v>222</v>
      </c>
      <c r="D10">
        <f>RTD("rtdtrading.rtdserver",,C10 &amp; "_B_0", "PEX")</f>
        <v>46.7</v>
      </c>
      <c r="E10" s="49" t="s">
        <v>224</v>
      </c>
      <c r="F10" s="23" t="str">
        <f>RTD("rtdtrading.rtdserver",,C10 &amp; "_B_0", "VAL")</f>
        <v>19/11/2026</v>
      </c>
      <c r="G10" s="43">
        <f t="shared" ca="1" si="0"/>
        <v>192</v>
      </c>
      <c r="H10" s="44">
        <f ca="1">1*(1+$C$2)^Tabela523[[#This Row],[Dias]]-1</f>
        <v>7.7388117782679844E-2</v>
      </c>
      <c r="I10">
        <f>RTD("rtdtrading.rtdserver",,C10 &amp; "_B_0","OVD")</f>
        <v>0</v>
      </c>
      <c r="J10">
        <f>RTD("rtdtrading.rtdserver",,C10 &amp; "_B_0", "OCP")</f>
        <v>0</v>
      </c>
      <c r="K10">
        <f>RTD("rtdtrading.rtdserver",,E10 &amp; "_B_0","OVD")</f>
        <v>6.18</v>
      </c>
      <c r="L10" s="42">
        <f>RTD("rtdtrading.rtdserver",,E10 &amp; "_B_0", "OCP")</f>
        <v>5.03</v>
      </c>
      <c r="M10" s="42">
        <f t="shared" si="1"/>
        <v>0</v>
      </c>
      <c r="N10" s="25">
        <f t="shared" si="2"/>
        <v>0</v>
      </c>
      <c r="O10" s="54">
        <f t="shared" ca="1" si="3"/>
        <v>0</v>
      </c>
      <c r="P10">
        <f t="shared" si="4"/>
        <v>0</v>
      </c>
      <c r="Q10" s="25">
        <f t="shared" si="5"/>
        <v>0</v>
      </c>
      <c r="R10" s="54">
        <f>IF(OR(I10=0,L10=0),0,Q10/Tabela523[[#This Row],[CDI Período]])</f>
        <v>0</v>
      </c>
      <c r="S10" s="23">
        <f>IF(Tabela523[[#This Row],[% do cdi BOX]]&gt;$N$1, 1, 0)</f>
        <v>0</v>
      </c>
      <c r="T10" s="23">
        <f ca="1">IF(Tabela523[[#This Row],[% DO CDI SBTH]]&gt;$N$2,2,0)</f>
        <v>0</v>
      </c>
      <c r="U10" s="23">
        <f ca="1">Tabela523[[#This Row],[1=BOX]]+Tabela523[[#This Row],[2= SBTH]]</f>
        <v>0</v>
      </c>
      <c r="V10">
        <f ca="1">IF(Tabela523[[#This Row],[TP.Op]]=3,"SBTH &amp; BOX",IF(Tabela523[[#This Row],[TP.Op]]=1,"BOX",IF(Tabela523[[#This Row],[TP.Op]]=2,"SBTH",0)))</f>
        <v>0</v>
      </c>
      <c r="W10" s="23" t="str">
        <f>RTD("rtdtrading.rtdserver",,C10, "EST")</f>
        <v>Aberto</v>
      </c>
      <c r="X10" s="23" t="str">
        <f>RTD("rtdtrading.rtdserver",,E10, "EST")</f>
        <v>Aberto</v>
      </c>
      <c r="Y10" s="23" t="str">
        <f>RTD("rtdtrading.rtdserver",,A10, "EST")</f>
        <v>Aberto</v>
      </c>
      <c r="Z10" s="43">
        <f>IF(OR(Tabela523[[#This Row],[St. Put]]&lt;&gt;"Aberto", Tabela523[[#This Row],[St. Call]]&lt;&gt;"Aberto", Tabela523[[#This Row],[St. Ativo]]&lt;&gt;"Aberto"), 1, 0)</f>
        <v>0</v>
      </c>
      <c r="AA10" s="23">
        <f>RTD("rtdtrading.rtdserver",,C10 &amp; "_B_0","CAB")</f>
        <v>500</v>
      </c>
      <c r="AB10" s="23">
        <f>RTD("rtdtrading.rtdserver",,C10 &amp; "_B_0","QUL")</f>
        <v>0</v>
      </c>
      <c r="AC10" s="23">
        <f>RTD("rtdtrading.rtdserver",,C10 &amp; "_B_0","VOV")</f>
        <v>0</v>
      </c>
      <c r="AD10" s="23">
        <f>RTD("rtdtrading.rtdserver",,E10 &amp; "_B_0","CAB")</f>
        <v>364662</v>
      </c>
      <c r="AE10" s="23">
        <f>RTD("rtdtrading.rtdserver",,E10 &amp; "_B_0","QUL")</f>
        <v>100</v>
      </c>
      <c r="AF10" s="23">
        <f>RTD("rtdtrading.rtdserver",,E10 &amp; "_B_0","VOC")</f>
        <v>700</v>
      </c>
      <c r="AG10" s="23">
        <f>Tabela523[[#This Row],[VovPutBoca]]-Parametros!$C$16</f>
        <v>-1000</v>
      </c>
      <c r="AH10" s="23">
        <f>Tabela523[[#This Row],[VocCallBoca]]-Parametros!$E$16</f>
        <v>-300</v>
      </c>
      <c r="AI10" s="49" t="s">
        <v>134</v>
      </c>
    </row>
    <row r="11" spans="1:35">
      <c r="A11" s="23" t="s">
        <v>225</v>
      </c>
      <c r="B11" s="42">
        <f>RTD("rtdtrading.rtdserver",,A11 &amp; "_B_0","ULT")</f>
        <v>46.54</v>
      </c>
      <c r="C11" s="49" t="s">
        <v>221</v>
      </c>
      <c r="D11">
        <f>RTD("rtdtrading.rtdserver",,C11 &amp; "_B_0", "PEX")</f>
        <v>46.7</v>
      </c>
      <c r="E11" s="49" t="s">
        <v>223</v>
      </c>
      <c r="F11" s="23" t="str">
        <f>RTD("rtdtrading.rtdserver",,C11 &amp; "_B_0", "VAL")</f>
        <v>16/10/2026</v>
      </c>
      <c r="G11" s="43">
        <f t="shared" ca="1" si="0"/>
        <v>158</v>
      </c>
      <c r="H11" s="44">
        <f ca="1">1*(1+$C$2)^Tabela523[[#This Row],[Dias]]-1</f>
        <v>6.3260322555704906E-2</v>
      </c>
      <c r="I11">
        <f>RTD("rtdtrading.rtdserver",,C11 &amp; "_B_0","OVD")</f>
        <v>0</v>
      </c>
      <c r="J11">
        <f>RTD("rtdtrading.rtdserver",,C11 &amp; "_B_0", "OCP")</f>
        <v>0</v>
      </c>
      <c r="K11">
        <f>RTD("rtdtrading.rtdserver",,E11 &amp; "_B_0","OVD")</f>
        <v>6.18</v>
      </c>
      <c r="L11" s="42">
        <f>RTD("rtdtrading.rtdserver",,E11 &amp; "_B_0", "OCP")</f>
        <v>0</v>
      </c>
      <c r="M11" s="42">
        <f t="shared" si="1"/>
        <v>0</v>
      </c>
      <c r="N11" s="25">
        <f t="shared" si="2"/>
        <v>0</v>
      </c>
      <c r="O11" s="54">
        <f t="shared" ca="1" si="3"/>
        <v>0</v>
      </c>
      <c r="P11">
        <f t="shared" si="4"/>
        <v>0</v>
      </c>
      <c r="Q11" s="25">
        <f t="shared" si="5"/>
        <v>0</v>
      </c>
      <c r="R11" s="54">
        <f>IF(OR(I11=0,L11=0),0,Q11/Tabela523[[#This Row],[CDI Período]])</f>
        <v>0</v>
      </c>
      <c r="S11" s="23">
        <f>IF(Tabela523[[#This Row],[% do cdi BOX]]&gt;$N$1, 1, 0)</f>
        <v>0</v>
      </c>
      <c r="T11" s="23">
        <f ca="1">IF(Tabela523[[#This Row],[% DO CDI SBTH]]&gt;$N$2,2,0)</f>
        <v>0</v>
      </c>
      <c r="U11" s="23">
        <f ca="1">Tabela523[[#This Row],[1=BOX]]+Tabela523[[#This Row],[2= SBTH]]</f>
        <v>0</v>
      </c>
      <c r="V11">
        <f ca="1">IF(Tabela523[[#This Row],[TP.Op]]=3,"SBTH &amp; BOX",IF(Tabela523[[#This Row],[TP.Op]]=1,"BOX",IF(Tabela523[[#This Row],[TP.Op]]=2,"SBTH",0)))</f>
        <v>0</v>
      </c>
      <c r="W11" s="23" t="str">
        <f>RTD("rtdtrading.rtdserver",,C11, "EST")</f>
        <v>Aberto</v>
      </c>
      <c r="X11" s="23" t="str">
        <f>RTD("rtdtrading.rtdserver",,E11, "EST")</f>
        <v>Aberto</v>
      </c>
      <c r="Y11" s="23" t="str">
        <f>RTD("rtdtrading.rtdserver",,A11, "EST")</f>
        <v>Aberto</v>
      </c>
      <c r="Z11" s="43">
        <f>IF(OR(Tabela523[[#This Row],[St. Put]]&lt;&gt;"Aberto", Tabela523[[#This Row],[St. Call]]&lt;&gt;"Aberto", Tabela523[[#This Row],[St. Ativo]]&lt;&gt;"Aberto"), 1, 0)</f>
        <v>0</v>
      </c>
      <c r="AA11" s="23">
        <f>RTD("rtdtrading.rtdserver",,C11 &amp; "_B_0","CAB")</f>
        <v>700</v>
      </c>
      <c r="AB11" s="23">
        <f>RTD("rtdtrading.rtdserver",,C11 &amp; "_B_0","QUL")</f>
        <v>0</v>
      </c>
      <c r="AC11" s="23">
        <f>RTD("rtdtrading.rtdserver",,C11 &amp; "_B_0","VOV")</f>
        <v>0</v>
      </c>
      <c r="AD11" s="23">
        <f>RTD("rtdtrading.rtdserver",,E11 &amp; "_B_0","CAB")</f>
        <v>1532040</v>
      </c>
      <c r="AE11" s="23">
        <f>RTD("rtdtrading.rtdserver",,E11 &amp; "_B_0","QUL")</f>
        <v>0</v>
      </c>
      <c r="AF11" s="23">
        <f>RTD("rtdtrading.rtdserver",,E11 &amp; "_B_0","VOC")</f>
        <v>0</v>
      </c>
      <c r="AG11" s="23">
        <f>Tabela523[[#This Row],[VovPutBoca]]-Parametros!$C$16</f>
        <v>-1000</v>
      </c>
      <c r="AH11" s="23">
        <f>Tabela523[[#This Row],[VocCallBoca]]-Parametros!$E$16</f>
        <v>-1000</v>
      </c>
      <c r="AI11" s="49" t="s">
        <v>135</v>
      </c>
    </row>
    <row r="12" spans="1:35">
      <c r="A12" s="23" t="s">
        <v>133</v>
      </c>
      <c r="B12" s="42">
        <f>RTD("rtdtrading.rtdserver",,A12 &amp; "_B_0","ULT")</f>
        <v>87.92</v>
      </c>
      <c r="C12" s="49" t="s">
        <v>229</v>
      </c>
      <c r="D12">
        <f>RTD("rtdtrading.rtdserver",,C12 &amp; "_B_0", "PEX")</f>
        <v>94.96</v>
      </c>
      <c r="E12" s="49" t="s">
        <v>234</v>
      </c>
      <c r="F12" s="23" t="str">
        <f>RTD("rtdtrading.rtdserver",,C12 &amp; "_B_0", "VAL")</f>
        <v>18/12/2026</v>
      </c>
      <c r="G12" s="43">
        <f t="shared" ca="1" si="0"/>
        <v>221</v>
      </c>
      <c r="H12" s="44">
        <f ca="1">1*(1+$C$2)^Tabela523[[#This Row],[Dias]]-1</f>
        <v>8.958654036384428E-2</v>
      </c>
      <c r="I12">
        <f>RTD("rtdtrading.rtdserver",,C12 &amp; "_B_0","OVD")</f>
        <v>0</v>
      </c>
      <c r="J12">
        <f>RTD("rtdtrading.rtdserver",,C12 &amp; "_B_0", "OCP")</f>
        <v>0</v>
      </c>
      <c r="K12">
        <f>RTD("rtdtrading.rtdserver",,E12 &amp; "_B_0","OVD")</f>
        <v>0</v>
      </c>
      <c r="L12" s="42">
        <f>RTD("rtdtrading.rtdserver",,E12 &amp; "_B_0", "OCP")</f>
        <v>0</v>
      </c>
      <c r="M12" s="42">
        <f t="shared" si="1"/>
        <v>0</v>
      </c>
      <c r="N12" s="25">
        <f t="shared" si="2"/>
        <v>0</v>
      </c>
      <c r="O12" s="54">
        <f t="shared" ca="1" si="3"/>
        <v>0</v>
      </c>
      <c r="P12">
        <f t="shared" si="4"/>
        <v>0</v>
      </c>
      <c r="Q12" s="25">
        <f t="shared" si="5"/>
        <v>0</v>
      </c>
      <c r="R12" s="54">
        <f>IF(OR(I12=0,L12=0),0,Q12/Tabela523[[#This Row],[CDI Período]])</f>
        <v>0</v>
      </c>
      <c r="S12" s="23">
        <f>IF(Tabela523[[#This Row],[% do cdi BOX]]&gt;$N$1, 1, 0)</f>
        <v>0</v>
      </c>
      <c r="T12" s="23">
        <f ca="1">IF(Tabela523[[#This Row],[% DO CDI SBTH]]&gt;$N$2,2,0)</f>
        <v>0</v>
      </c>
      <c r="U12" s="23">
        <f ca="1">Tabela523[[#This Row],[1=BOX]]+Tabela523[[#This Row],[2= SBTH]]</f>
        <v>0</v>
      </c>
      <c r="V12">
        <f ca="1">IF(Tabela523[[#This Row],[TP.Op]]=3,"SBTH &amp; BOX",IF(Tabela523[[#This Row],[TP.Op]]=1,"BOX",IF(Tabela523[[#This Row],[TP.Op]]=2,"SBTH",0)))</f>
        <v>0</v>
      </c>
      <c r="W12" s="23" t="str">
        <f>RTD("rtdtrading.rtdserver",,C12, "EST")</f>
        <v>Aberto</v>
      </c>
      <c r="X12" s="23" t="str">
        <f>RTD("rtdtrading.rtdserver",,E12, "EST")</f>
        <v>Aberto</v>
      </c>
      <c r="Y12" s="23" t="str">
        <f>RTD("rtdtrading.rtdserver",,A12, "EST")</f>
        <v>Aberto</v>
      </c>
      <c r="Z12" s="43">
        <f>IF(OR(Tabela523[[#This Row],[St. Put]]&lt;&gt;"Aberto", Tabela523[[#This Row],[St. Call]]&lt;&gt;"Aberto", Tabela523[[#This Row],[St. Ativo]]&lt;&gt;"Aberto"), 1, 0)</f>
        <v>0</v>
      </c>
      <c r="AA12" s="23">
        <f>RTD("rtdtrading.rtdserver",,C12 &amp; "_B_0","CAB")</f>
        <v>0</v>
      </c>
      <c r="AB12" s="23">
        <f>RTD("rtdtrading.rtdserver",,C12 &amp; "_B_0","QUL")</f>
        <v>0</v>
      </c>
      <c r="AC12" s="23">
        <f>RTD("rtdtrading.rtdserver",,C12 &amp; "_B_0","VOV")</f>
        <v>0</v>
      </c>
      <c r="AD12" s="23">
        <f>RTD("rtdtrading.rtdserver",,E12 &amp; "_B_0","CAB")</f>
        <v>504800</v>
      </c>
      <c r="AE12" s="23">
        <f>RTD("rtdtrading.rtdserver",,E12 &amp; "_B_0","QUL")</f>
        <v>0</v>
      </c>
      <c r="AF12" s="23">
        <f>RTD("rtdtrading.rtdserver",,E12 &amp; "_B_0","VOC")</f>
        <v>0</v>
      </c>
      <c r="AG12" s="23">
        <f>Tabela523[[#This Row],[VovPutBoca]]-Parametros!$C$16</f>
        <v>-1000</v>
      </c>
      <c r="AH12" s="23">
        <f>Tabela523[[#This Row],[VocCallBoca]]-Parametros!$E$16</f>
        <v>-1000</v>
      </c>
      <c r="AI12" s="49" t="s">
        <v>135</v>
      </c>
    </row>
    <row r="13" spans="1:35">
      <c r="A13" t="s">
        <v>145</v>
      </c>
      <c r="B13" s="42">
        <f>RTD("rtdtrading.rtdserver",,A13 &amp; "_B_0","ULT")</f>
        <v>47.9</v>
      </c>
      <c r="C13" t="s">
        <v>147</v>
      </c>
      <c r="D13">
        <f>RTD("rtdtrading.rtdserver",,C13 &amp; "_B_0", "PEX")</f>
        <v>70.150000000000006</v>
      </c>
      <c r="E13" t="s">
        <v>212</v>
      </c>
      <c r="F13" s="23" t="str">
        <f>RTD("rtdtrading.rtdserver",,C13 &amp; "_B_0", "VAL")</f>
        <v>17/04/2026</v>
      </c>
      <c r="G13" s="43">
        <f t="shared" ca="1" si="0"/>
        <v>-24</v>
      </c>
      <c r="H13" s="44">
        <f ca="1">1*(1+$C$2)^Tabela523[[#This Row],[Dias]]-1</f>
        <v>-9.2741897709076593E-3</v>
      </c>
      <c r="I13">
        <f>RTD("rtdtrading.rtdserver",,C13 &amp; "_B_0","OVD")</f>
        <v>22.650000000000002</v>
      </c>
      <c r="J13">
        <f>RTD("rtdtrading.rtdserver",,C13 &amp; "_B_0", "OCP")</f>
        <v>21.400000000000002</v>
      </c>
      <c r="K13">
        <f>RTD("rtdtrading.rtdserver",,E13 &amp; "_B_0","OVD")</f>
        <v>0.01</v>
      </c>
      <c r="L13" s="42">
        <f>RTD("rtdtrading.rtdserver",,E13 &amp; "_B_0", "OCP")</f>
        <v>0</v>
      </c>
      <c r="M13" s="42">
        <f t="shared" si="1"/>
        <v>70.56</v>
      </c>
      <c r="N13" s="25">
        <f t="shared" si="2"/>
        <v>-5.8106575963718333E-3</v>
      </c>
      <c r="O13" s="54">
        <f t="shared" ca="1" si="3"/>
        <v>0.62654072645778391</v>
      </c>
      <c r="P13">
        <f t="shared" si="4"/>
        <v>0</v>
      </c>
      <c r="Q13" s="25">
        <f t="shared" si="5"/>
        <v>0</v>
      </c>
      <c r="R13" s="54">
        <f>IF(OR(I13=0,L13=0),0,Q13/Tabela523[[#This Row],[CDI Período]])</f>
        <v>0</v>
      </c>
      <c r="S13" s="23">
        <f>IF(Tabela523[[#This Row],[% do cdi BOX]]&gt;$N$1, 1, 0)</f>
        <v>0</v>
      </c>
      <c r="T13" s="23">
        <f ca="1">IF(Tabela523[[#This Row],[% DO CDI SBTH]]&gt;$N$2,2,0)</f>
        <v>0</v>
      </c>
      <c r="U13" s="23">
        <f ca="1">Tabela523[[#This Row],[1=BOX]]+Tabela523[[#This Row],[2= SBTH]]</f>
        <v>0</v>
      </c>
      <c r="V13">
        <f ca="1">IF(Tabela523[[#This Row],[TP.Op]]=3,"SBTH &amp; BOX",IF(Tabela523[[#This Row],[TP.Op]]=1,"BOX",IF(Tabela523[[#This Row],[TP.Op]]=2,"SBTH",0)))</f>
        <v>0</v>
      </c>
      <c r="W13" s="23" t="str">
        <f>RTD("rtdtrading.rtdserver",,C13, "EST")</f>
        <v>Aberto</v>
      </c>
      <c r="X13" s="23" t="str">
        <f>RTD("rtdtrading.rtdserver",,E13, "EST")</f>
        <v>Aberto</v>
      </c>
      <c r="Y13" s="23" t="str">
        <f>RTD("rtdtrading.rtdserver",,A13, "EST")</f>
        <v>Aberto</v>
      </c>
      <c r="Z13" s="43">
        <f>IF(OR(Tabela523[[#This Row],[St. Put]]&lt;&gt;"Aberto", Tabela523[[#This Row],[St. Call]]&lt;&gt;"Aberto", Tabela523[[#This Row],[St. Ativo]]&lt;&gt;"Aberto"), 1, 0)</f>
        <v>0</v>
      </c>
      <c r="AA13" s="23">
        <f>RTD("rtdtrading.rtdserver",,C13 &amp; "_B_0","CAB")</f>
        <v>42700</v>
      </c>
      <c r="AB13" s="23">
        <f>RTD("rtdtrading.rtdserver",,C13 &amp; "_B_0","QUL")</f>
        <v>0</v>
      </c>
      <c r="AC13" s="23">
        <f>RTD("rtdtrading.rtdserver",,C13 &amp; "_B_0","VOV")</f>
        <v>3300</v>
      </c>
      <c r="AD13" s="23">
        <f>RTD("rtdtrading.rtdserver",,E13 &amp; "_B_0","CAB")</f>
        <v>274800</v>
      </c>
      <c r="AE13" s="23">
        <f>RTD("rtdtrading.rtdserver",,E13 &amp; "_B_0","QUL")</f>
        <v>0</v>
      </c>
      <c r="AF13" s="23">
        <f>RTD("rtdtrading.rtdserver",,E13 &amp; "_B_0","VOC")</f>
        <v>0</v>
      </c>
      <c r="AG13" s="23">
        <f>Tabela523[[#This Row],[VovPutBoca]]-Parametros!$C$16</f>
        <v>2300</v>
      </c>
      <c r="AH13" s="23">
        <f>Tabela523[[#This Row],[VocCallBoca]]-Parametros!$E$16</f>
        <v>-1000</v>
      </c>
      <c r="AI13" s="48" t="s">
        <v>134</v>
      </c>
    </row>
    <row r="14" spans="1:35">
      <c r="B14" s="42"/>
      <c r="G14" s="43"/>
      <c r="H14" s="44"/>
      <c r="L14" s="42"/>
      <c r="M14" s="42"/>
      <c r="N14" s="25"/>
      <c r="O14" s="54"/>
      <c r="P14"/>
      <c r="Q14" s="25"/>
      <c r="R14" s="54"/>
      <c r="W14" s="23"/>
      <c r="X14" s="23"/>
      <c r="Y14" s="23"/>
      <c r="Z14" s="43"/>
      <c r="AA14" s="23"/>
      <c r="AB14" s="23"/>
      <c r="AC14" s="23"/>
      <c r="AD14" s="23"/>
      <c r="AE14" s="23"/>
      <c r="AF14" s="23"/>
      <c r="AG14" s="23"/>
      <c r="AH14" s="23"/>
      <c r="AI14" s="48"/>
    </row>
    <row r="15" spans="1:35">
      <c r="B15" s="42"/>
      <c r="C15" s="49"/>
      <c r="E15" s="49"/>
      <c r="G15" s="43"/>
      <c r="H15" s="44"/>
      <c r="L15" s="42"/>
      <c r="M15" s="42"/>
      <c r="N15" s="25"/>
      <c r="O15" s="54"/>
      <c r="P15"/>
      <c r="Q15" s="25"/>
      <c r="R15" s="54"/>
      <c r="W15" s="23"/>
      <c r="X15" s="23"/>
      <c r="Y15" s="23"/>
      <c r="Z15" s="43"/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35">
      <c r="B16" s="42"/>
      <c r="C16" s="49"/>
      <c r="E16" s="49"/>
      <c r="G16" s="43"/>
      <c r="H16" s="44"/>
      <c r="L16" s="42"/>
      <c r="M16" s="42"/>
      <c r="N16" s="25"/>
      <c r="O16" s="54"/>
      <c r="P16"/>
      <c r="Q16" s="25"/>
      <c r="R16" s="54"/>
      <c r="W16" s="23"/>
      <c r="X16" s="23"/>
      <c r="Y16" s="23"/>
      <c r="Z16" s="43"/>
      <c r="AA16" s="23"/>
      <c r="AB16" s="23"/>
      <c r="AC16" s="23"/>
      <c r="AD16" s="23"/>
      <c r="AE16" s="23"/>
      <c r="AF16" s="23"/>
      <c r="AG16" s="23"/>
      <c r="AH16" s="23"/>
      <c r="AI16" s="23"/>
    </row>
    <row r="17" spans="1:35">
      <c r="A17" s="23"/>
      <c r="B17" s="42"/>
      <c r="C17" s="49"/>
      <c r="E17" s="49"/>
      <c r="G17" s="43"/>
      <c r="H17" s="44"/>
      <c r="L17" s="42"/>
      <c r="M17" s="42"/>
      <c r="N17" s="25"/>
      <c r="O17" s="54"/>
      <c r="P17"/>
      <c r="Q17" s="25"/>
      <c r="R17" s="54"/>
      <c r="W17" s="23"/>
      <c r="X17" s="23"/>
      <c r="Y17" s="23"/>
      <c r="Z17" s="43"/>
      <c r="AA17" s="23"/>
      <c r="AB17" s="23"/>
      <c r="AC17" s="23"/>
      <c r="AD17" s="23"/>
      <c r="AE17" s="23"/>
      <c r="AF17" s="23"/>
      <c r="AG17" s="23"/>
      <c r="AH17" s="23"/>
      <c r="AI17" s="49"/>
    </row>
    <row r="18" spans="1:35">
      <c r="A18" s="23"/>
      <c r="B18" s="42"/>
      <c r="C18" s="49"/>
      <c r="E18" s="49"/>
      <c r="G18" s="43"/>
      <c r="H18" s="44"/>
      <c r="L18" s="42"/>
      <c r="M18" s="42"/>
      <c r="N18" s="25"/>
      <c r="O18" s="54"/>
      <c r="P18"/>
      <c r="Q18" s="25"/>
      <c r="R18" s="54"/>
      <c r="W18" s="23"/>
      <c r="X18" s="23"/>
      <c r="Y18" s="23"/>
      <c r="Z18" s="43"/>
      <c r="AA18" s="23"/>
      <c r="AB18" s="23"/>
      <c r="AC18" s="23"/>
      <c r="AD18" s="23"/>
      <c r="AE18" s="23"/>
      <c r="AF18" s="23"/>
      <c r="AG18" s="23"/>
      <c r="AH18" s="23"/>
      <c r="AI18" s="49"/>
    </row>
    <row r="19" spans="1:35">
      <c r="A19" s="45"/>
      <c r="B19" s="42"/>
      <c r="C19" s="45"/>
      <c r="E19" s="45"/>
      <c r="G19" s="43"/>
      <c r="H19" s="44"/>
      <c r="L19" s="42"/>
      <c r="M19" s="42"/>
      <c r="N19" s="25"/>
      <c r="O19" s="54"/>
      <c r="P19"/>
      <c r="Q19" s="25"/>
      <c r="R19" s="54"/>
      <c r="W19" s="23"/>
      <c r="X19" s="23"/>
      <c r="Y19" s="23"/>
      <c r="Z19" s="43"/>
      <c r="AA19" s="23"/>
      <c r="AB19" s="23"/>
      <c r="AC19" s="23"/>
      <c r="AD19" s="23"/>
      <c r="AE19" s="23"/>
      <c r="AF19" s="23"/>
      <c r="AG19" s="23"/>
      <c r="AH19" s="23"/>
      <c r="AI19" s="48"/>
    </row>
    <row r="20" spans="1:35">
      <c r="A20" s="23"/>
      <c r="B20" s="42"/>
      <c r="C20" s="49"/>
      <c r="E20" s="49"/>
      <c r="G20" s="43"/>
      <c r="H20" s="44"/>
      <c r="L20" s="42"/>
      <c r="M20" s="42"/>
      <c r="N20" s="25"/>
      <c r="O20" s="54"/>
      <c r="P20"/>
      <c r="Q20" s="25"/>
      <c r="R20" s="54"/>
      <c r="W20" s="23"/>
      <c r="X20" s="23"/>
      <c r="Y20" s="23"/>
      <c r="Z20" s="43"/>
      <c r="AA20" s="23"/>
      <c r="AB20" s="23"/>
      <c r="AC20" s="23"/>
      <c r="AD20" s="23"/>
      <c r="AE20" s="23"/>
      <c r="AF20" s="23"/>
      <c r="AG20" s="23"/>
      <c r="AH20" s="23"/>
      <c r="AI20" s="49"/>
    </row>
    <row r="21" spans="1:35">
      <c r="B21" s="42"/>
      <c r="C21" s="49"/>
      <c r="E21" s="49"/>
      <c r="G21" s="43"/>
      <c r="H21" s="44"/>
      <c r="L21" s="42"/>
      <c r="M21" s="42"/>
      <c r="N21" s="25"/>
      <c r="O21" s="54"/>
      <c r="P21"/>
      <c r="Q21" s="25"/>
      <c r="R21" s="54"/>
      <c r="W21" s="23"/>
      <c r="X21" s="23"/>
      <c r="Y21" s="23"/>
      <c r="Z21" s="4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35">
      <c r="A22" s="23"/>
      <c r="B22" s="42"/>
      <c r="C22" s="49"/>
      <c r="E22" s="49"/>
      <c r="G22" s="43"/>
      <c r="H22" s="44"/>
      <c r="L22" s="42"/>
      <c r="M22" s="42"/>
      <c r="N22" s="25"/>
      <c r="O22" s="54"/>
      <c r="P22"/>
      <c r="Q22" s="25"/>
      <c r="R22" s="54"/>
      <c r="W22" s="23"/>
      <c r="X22" s="23"/>
      <c r="Y22" s="23"/>
      <c r="Z22" s="43"/>
      <c r="AA22" s="23"/>
      <c r="AB22" s="23"/>
      <c r="AC22" s="23"/>
      <c r="AD22" s="23"/>
      <c r="AE22" s="23"/>
      <c r="AF22" s="23"/>
      <c r="AG22" s="23"/>
      <c r="AH22" s="23"/>
      <c r="AI22" s="49"/>
    </row>
    <row r="23" spans="1:35">
      <c r="A23" s="23"/>
      <c r="B23" s="42"/>
      <c r="C23" s="49"/>
      <c r="E23" s="49"/>
      <c r="G23" s="43"/>
      <c r="H23" s="44"/>
      <c r="L23" s="42"/>
      <c r="M23" s="42"/>
      <c r="N23" s="25"/>
      <c r="O23" s="54"/>
      <c r="P23"/>
      <c r="Q23" s="25"/>
      <c r="R23" s="54"/>
      <c r="W23" s="23"/>
      <c r="X23" s="23"/>
      <c r="Y23" s="23"/>
      <c r="Z23" s="43"/>
      <c r="AA23" s="23"/>
      <c r="AB23" s="23"/>
      <c r="AC23" s="23"/>
      <c r="AD23" s="23"/>
      <c r="AE23" s="23"/>
      <c r="AF23" s="23"/>
      <c r="AG23" s="23"/>
      <c r="AH23" s="23"/>
      <c r="AI23" s="49"/>
    </row>
    <row r="24" spans="1:35">
      <c r="A24" s="45"/>
      <c r="B24" s="42"/>
      <c r="C24" s="45"/>
      <c r="E24" s="45"/>
      <c r="G24" s="43"/>
      <c r="H24" s="44"/>
      <c r="L24" s="42"/>
      <c r="M24" s="42"/>
      <c r="N24" s="25"/>
      <c r="O24" s="54"/>
      <c r="P24"/>
      <c r="Q24" s="25"/>
      <c r="R24" s="54"/>
      <c r="W24" s="23"/>
      <c r="X24" s="23"/>
      <c r="Y24" s="23"/>
      <c r="Z24" s="43"/>
      <c r="AA24" s="23"/>
      <c r="AB24" s="23"/>
      <c r="AC24" s="23"/>
      <c r="AD24" s="23"/>
      <c r="AE24" s="23"/>
      <c r="AF24" s="23"/>
      <c r="AG24" s="23"/>
      <c r="AH24" s="23"/>
      <c r="AI24" s="48"/>
    </row>
    <row r="25" spans="1:35">
      <c r="B25" s="42"/>
      <c r="G25" s="43"/>
      <c r="H25" s="44"/>
      <c r="L25" s="42"/>
      <c r="M25" s="42"/>
      <c r="N25" s="25"/>
      <c r="O25" s="54"/>
      <c r="P25"/>
      <c r="Q25" s="25"/>
      <c r="R25" s="54"/>
      <c r="W25" s="23"/>
      <c r="X25" s="23"/>
      <c r="Y25" s="23"/>
      <c r="Z25" s="43"/>
      <c r="AA25" s="23"/>
      <c r="AB25" s="23"/>
      <c r="AC25" s="23"/>
      <c r="AD25" s="23"/>
      <c r="AE25" s="23"/>
      <c r="AF25" s="23"/>
      <c r="AG25" s="23"/>
      <c r="AH25" s="23"/>
      <c r="AI25" s="48"/>
    </row>
    <row r="26" spans="1:35">
      <c r="A26" s="23"/>
      <c r="B26" s="42"/>
      <c r="C26" s="49"/>
      <c r="E26" s="49"/>
      <c r="G26" s="43"/>
      <c r="H26" s="44"/>
      <c r="L26" s="42"/>
      <c r="M26" s="42"/>
      <c r="N26" s="25"/>
      <c r="O26" s="54"/>
      <c r="P26"/>
      <c r="Q26" s="25"/>
      <c r="R26" s="54"/>
      <c r="W26" s="23"/>
      <c r="X26" s="23"/>
      <c r="Y26" s="23"/>
      <c r="Z26" s="43"/>
      <c r="AA26" s="23"/>
      <c r="AB26" s="23"/>
      <c r="AC26" s="23"/>
      <c r="AD26" s="23"/>
      <c r="AE26" s="23"/>
      <c r="AF26" s="23"/>
      <c r="AG26" s="23"/>
      <c r="AH26" s="23"/>
      <c r="AI26" s="49"/>
    </row>
    <row r="27" spans="1:35">
      <c r="B27" s="42"/>
      <c r="C27" s="49"/>
      <c r="E27" s="49"/>
      <c r="G27" s="43"/>
      <c r="H27" s="44"/>
      <c r="L27" s="42"/>
      <c r="M27" s="42"/>
      <c r="N27" s="25"/>
      <c r="O27" s="54"/>
      <c r="P27"/>
      <c r="Q27" s="25"/>
      <c r="R27" s="54"/>
      <c r="W27" s="23"/>
      <c r="X27" s="23"/>
      <c r="Y27" s="23"/>
      <c r="Z27" s="43"/>
      <c r="AA27" s="23"/>
      <c r="AB27" s="23"/>
      <c r="AC27" s="23"/>
      <c r="AD27" s="23"/>
      <c r="AE27" s="23"/>
      <c r="AF27" s="23"/>
      <c r="AG27" s="23"/>
      <c r="AH27" s="23"/>
      <c r="AI27" s="23"/>
    </row>
    <row r="28" spans="1:35">
      <c r="A28" s="23"/>
      <c r="B28" s="42"/>
      <c r="C28" s="49"/>
      <c r="E28" s="49"/>
      <c r="G28" s="43"/>
      <c r="H28" s="44"/>
      <c r="L28" s="42"/>
      <c r="M28" s="42"/>
      <c r="N28" s="25"/>
      <c r="O28" s="54"/>
      <c r="P28"/>
      <c r="Q28" s="25"/>
      <c r="R28" s="54"/>
      <c r="W28" s="23"/>
      <c r="X28" s="23"/>
      <c r="Y28" s="23"/>
      <c r="Z28" s="43"/>
      <c r="AA28" s="23"/>
      <c r="AB28" s="23"/>
      <c r="AC28" s="23"/>
      <c r="AD28" s="23"/>
      <c r="AE28" s="23"/>
      <c r="AF28" s="23"/>
      <c r="AG28" s="23"/>
      <c r="AH28" s="23"/>
      <c r="AI28" s="49"/>
    </row>
    <row r="29" spans="1:35">
      <c r="A29" s="23"/>
      <c r="B29" s="42"/>
      <c r="C29" s="49"/>
      <c r="E29" s="49"/>
      <c r="G29" s="43"/>
      <c r="H29" s="44"/>
      <c r="L29" s="42"/>
      <c r="M29" s="42"/>
      <c r="N29" s="25"/>
      <c r="O29" s="54"/>
      <c r="P29"/>
      <c r="Q29" s="25"/>
      <c r="R29" s="54"/>
      <c r="W29" s="23"/>
      <c r="X29" s="23"/>
      <c r="Y29" s="23"/>
      <c r="Z29" s="43"/>
      <c r="AA29" s="23"/>
      <c r="AB29" s="23"/>
      <c r="AC29" s="23"/>
      <c r="AD29" s="23"/>
      <c r="AE29" s="23"/>
      <c r="AF29" s="23"/>
      <c r="AG29" s="23"/>
      <c r="AH29" s="23"/>
      <c r="AI29" s="49"/>
    </row>
    <row r="30" spans="1:35">
      <c r="B30" s="42"/>
      <c r="C30" s="49"/>
      <c r="E30" s="49"/>
      <c r="G30" s="43"/>
      <c r="H30" s="44"/>
      <c r="L30" s="42"/>
      <c r="M30" s="42"/>
      <c r="N30" s="25"/>
      <c r="O30" s="54"/>
      <c r="P30"/>
      <c r="Q30" s="25"/>
      <c r="R30" s="54"/>
      <c r="W30" s="23"/>
      <c r="X30" s="23"/>
      <c r="Y30" s="23"/>
      <c r="Z30" s="43"/>
      <c r="AA30" s="23"/>
      <c r="AB30" s="23"/>
      <c r="AC30" s="23"/>
      <c r="AD30" s="23"/>
      <c r="AE30" s="23"/>
      <c r="AF30" s="23"/>
      <c r="AG30" s="23"/>
      <c r="AH30" s="23"/>
      <c r="AI30" s="23"/>
    </row>
    <row r="31" spans="1:35">
      <c r="A31" s="45"/>
      <c r="B31" s="42"/>
      <c r="C31" s="45"/>
      <c r="E31" s="45"/>
      <c r="G31" s="43"/>
      <c r="H31" s="44"/>
      <c r="L31" s="42"/>
      <c r="M31" s="42"/>
      <c r="N31" s="25"/>
      <c r="O31" s="54"/>
      <c r="P31"/>
      <c r="Q31" s="25"/>
      <c r="R31" s="54"/>
      <c r="W31" s="23"/>
      <c r="X31" s="23"/>
      <c r="Y31" s="23"/>
      <c r="Z31" s="43"/>
      <c r="AA31" s="23"/>
      <c r="AB31" s="23"/>
      <c r="AC31" s="23"/>
      <c r="AD31" s="23"/>
      <c r="AE31" s="23"/>
      <c r="AF31" s="23"/>
      <c r="AG31" s="23"/>
      <c r="AH31" s="23"/>
      <c r="AI31" s="48"/>
    </row>
    <row r="32" spans="1:35">
      <c r="A32" s="23"/>
      <c r="B32" s="42"/>
      <c r="C32" s="49"/>
      <c r="E32" s="49"/>
      <c r="G32" s="43"/>
      <c r="H32" s="44"/>
      <c r="L32" s="42"/>
      <c r="M32" s="42"/>
      <c r="N32" s="25"/>
      <c r="O32" s="54"/>
      <c r="P32"/>
      <c r="Q32" s="25"/>
      <c r="R32" s="54"/>
      <c r="W32" s="23"/>
      <c r="X32" s="23"/>
      <c r="Y32" s="23"/>
      <c r="Z32" s="43"/>
      <c r="AA32" s="23"/>
      <c r="AB32" s="23"/>
      <c r="AC32" s="23"/>
      <c r="AD32" s="23"/>
      <c r="AE32" s="23"/>
      <c r="AF32" s="23"/>
      <c r="AG32" s="23"/>
      <c r="AH32" s="23"/>
      <c r="AI32" s="49"/>
    </row>
    <row r="33" spans="1:35">
      <c r="B33" s="42"/>
      <c r="C33" s="49"/>
      <c r="E33" s="49"/>
      <c r="G33" s="43"/>
      <c r="H33" s="44"/>
      <c r="L33" s="42"/>
      <c r="M33" s="42"/>
      <c r="N33" s="25"/>
      <c r="O33" s="54"/>
      <c r="P33"/>
      <c r="Q33" s="25"/>
      <c r="R33" s="54"/>
      <c r="W33" s="23"/>
      <c r="X33" s="23"/>
      <c r="Y33" s="23"/>
      <c r="Z33" s="43"/>
      <c r="AA33" s="23"/>
      <c r="AB33" s="23"/>
      <c r="AC33" s="23"/>
      <c r="AD33" s="23"/>
      <c r="AE33" s="23"/>
      <c r="AF33" s="23"/>
      <c r="AG33" s="23"/>
      <c r="AH33" s="23"/>
      <c r="AI33" s="23"/>
    </row>
    <row r="34" spans="1:35">
      <c r="A34" s="23"/>
      <c r="B34" s="42"/>
      <c r="C34" s="49"/>
      <c r="E34" s="49"/>
      <c r="G34" s="43"/>
      <c r="H34" s="44"/>
      <c r="L34" s="42"/>
      <c r="M34" s="42"/>
      <c r="N34" s="25"/>
      <c r="O34" s="54"/>
      <c r="P34"/>
      <c r="Q34" s="25"/>
      <c r="R34" s="54"/>
      <c r="W34" s="23"/>
      <c r="X34" s="23"/>
      <c r="Y34" s="23"/>
      <c r="Z34" s="43"/>
      <c r="AA34" s="23"/>
      <c r="AB34" s="23"/>
      <c r="AC34" s="23"/>
      <c r="AD34" s="23"/>
      <c r="AE34" s="23"/>
      <c r="AF34" s="23"/>
      <c r="AG34" s="23"/>
      <c r="AH34" s="23"/>
      <c r="AI34" s="49"/>
    </row>
    <row r="35" spans="1:35">
      <c r="B35" s="42"/>
      <c r="C35" s="49"/>
      <c r="E35" s="49"/>
      <c r="G35" s="43"/>
      <c r="H35" s="44"/>
      <c r="L35" s="42"/>
      <c r="M35" s="42"/>
      <c r="N35" s="25"/>
      <c r="O35" s="54"/>
      <c r="P35"/>
      <c r="Q35" s="25"/>
      <c r="R35" s="54"/>
      <c r="W35" s="23"/>
      <c r="X35" s="23"/>
      <c r="Y35" s="23"/>
      <c r="Z35" s="43"/>
      <c r="AA35" s="23"/>
      <c r="AB35" s="23"/>
      <c r="AC35" s="23"/>
      <c r="AD35" s="23"/>
      <c r="AE35" s="23"/>
      <c r="AF35" s="23"/>
      <c r="AG35" s="23"/>
      <c r="AH35" s="23"/>
      <c r="AI35" s="23"/>
    </row>
    <row r="36" spans="1:35">
      <c r="B36" s="42"/>
      <c r="C36" s="49"/>
      <c r="E36" s="49"/>
      <c r="G36" s="43"/>
      <c r="H36" s="44"/>
      <c r="L36" s="42"/>
      <c r="M36" s="42"/>
      <c r="N36" s="25"/>
      <c r="O36" s="54"/>
      <c r="P36"/>
      <c r="Q36" s="25"/>
      <c r="R36" s="54"/>
      <c r="W36" s="23"/>
      <c r="X36" s="23"/>
      <c r="Y36" s="23"/>
      <c r="Z36" s="43"/>
      <c r="AA36" s="23"/>
      <c r="AB36" s="23"/>
      <c r="AC36" s="23"/>
      <c r="AD36" s="23"/>
      <c r="AE36" s="23"/>
      <c r="AF36" s="23"/>
      <c r="AG36" s="23"/>
      <c r="AH36" s="23"/>
      <c r="AI36" s="23"/>
    </row>
    <row r="37" spans="1:35">
      <c r="B37" s="42"/>
      <c r="C37" s="49"/>
      <c r="E37" s="49"/>
      <c r="G37" s="43"/>
      <c r="H37" s="44"/>
      <c r="L37" s="42"/>
      <c r="M37" s="42"/>
      <c r="N37" s="25"/>
      <c r="O37" s="54"/>
      <c r="P37"/>
      <c r="Q37" s="25"/>
      <c r="R37" s="54"/>
      <c r="W37" s="23"/>
      <c r="X37" s="23"/>
      <c r="Y37" s="23"/>
      <c r="Z37" s="43"/>
      <c r="AA37" s="23"/>
      <c r="AB37" s="23"/>
      <c r="AC37" s="23"/>
      <c r="AD37" s="23"/>
      <c r="AE37" s="23"/>
      <c r="AF37" s="23"/>
      <c r="AG37" s="23"/>
      <c r="AH37" s="23"/>
      <c r="AI37" s="23"/>
    </row>
    <row r="38" spans="1:35">
      <c r="A38" s="23"/>
      <c r="B38" s="42"/>
      <c r="C38" s="49"/>
      <c r="E38" s="49"/>
      <c r="G38" s="43"/>
      <c r="H38" s="44"/>
      <c r="L38" s="42"/>
      <c r="M38" s="42"/>
      <c r="N38" s="25"/>
      <c r="O38" s="54"/>
      <c r="P38"/>
      <c r="Q38" s="25"/>
      <c r="R38" s="54"/>
      <c r="W38" s="23"/>
      <c r="X38" s="23"/>
      <c r="Y38" s="23"/>
      <c r="Z38" s="43"/>
      <c r="AA38" s="23"/>
      <c r="AB38" s="23"/>
      <c r="AC38" s="23"/>
      <c r="AD38" s="23"/>
      <c r="AE38" s="23"/>
      <c r="AF38" s="23"/>
      <c r="AG38" s="23"/>
      <c r="AH38" s="23"/>
      <c r="AI38" s="49"/>
    </row>
    <row r="39" spans="1:35">
      <c r="A39" s="45"/>
      <c r="B39" s="42"/>
      <c r="C39" s="45"/>
      <c r="E39" s="45"/>
      <c r="G39" s="43"/>
      <c r="H39" s="44"/>
      <c r="L39" s="42"/>
      <c r="M39" s="42"/>
      <c r="N39" s="25"/>
      <c r="O39" s="54"/>
      <c r="P39"/>
      <c r="Q39" s="25"/>
      <c r="R39" s="54"/>
      <c r="W39" s="23"/>
      <c r="X39" s="23"/>
      <c r="Y39" s="23"/>
      <c r="Z39" s="43"/>
      <c r="AA39" s="23"/>
      <c r="AB39" s="23"/>
      <c r="AC39" s="23"/>
      <c r="AD39" s="23"/>
      <c r="AE39" s="23"/>
      <c r="AF39" s="23"/>
      <c r="AG39" s="23"/>
      <c r="AH39" s="23"/>
      <c r="AI39" s="48"/>
    </row>
    <row r="40" spans="1:35">
      <c r="A40" s="23"/>
      <c r="B40" s="42"/>
      <c r="C40" s="49"/>
      <c r="E40" s="49"/>
      <c r="G40" s="43"/>
      <c r="H40" s="44"/>
      <c r="L40" s="42"/>
      <c r="M40" s="42"/>
      <c r="N40" s="25"/>
      <c r="O40" s="54"/>
      <c r="P40"/>
      <c r="Q40" s="25"/>
      <c r="R40" s="54"/>
      <c r="W40" s="23"/>
      <c r="X40" s="23"/>
      <c r="Y40" s="23"/>
      <c r="Z40" s="43"/>
      <c r="AA40" s="23"/>
      <c r="AB40" s="23"/>
      <c r="AC40" s="23"/>
      <c r="AD40" s="23"/>
      <c r="AE40" s="23"/>
      <c r="AF40" s="23"/>
      <c r="AG40" s="23"/>
      <c r="AH40" s="23"/>
      <c r="AI40" s="49"/>
    </row>
    <row r="41" spans="1:35">
      <c r="A41" s="23"/>
      <c r="B41" s="42"/>
      <c r="C41" s="49"/>
      <c r="E41" s="49"/>
      <c r="G41" s="43"/>
      <c r="H41" s="44"/>
      <c r="L41" s="42"/>
      <c r="M41" s="42"/>
      <c r="N41" s="25"/>
      <c r="O41" s="54"/>
      <c r="P41"/>
      <c r="Q41" s="25"/>
      <c r="R41" s="54"/>
      <c r="W41" s="23"/>
      <c r="X41" s="23"/>
      <c r="Y41" s="23"/>
      <c r="Z41" s="43"/>
      <c r="AA41" s="23"/>
      <c r="AB41" s="23"/>
      <c r="AC41" s="23"/>
      <c r="AD41" s="23"/>
      <c r="AE41" s="23"/>
      <c r="AF41" s="23"/>
      <c r="AG41" s="23"/>
      <c r="AH41" s="23"/>
      <c r="AI41" s="49"/>
    </row>
    <row r="42" spans="1:35">
      <c r="A42" s="23"/>
      <c r="B42" s="42"/>
      <c r="C42" s="49"/>
      <c r="E42" s="49"/>
      <c r="G42" s="43"/>
      <c r="H42" s="44"/>
      <c r="L42" s="42"/>
      <c r="M42" s="42"/>
      <c r="N42" s="25"/>
      <c r="O42" s="54"/>
      <c r="P42"/>
      <c r="Q42" s="25"/>
      <c r="R42" s="54"/>
      <c r="W42" s="23"/>
      <c r="X42" s="23"/>
      <c r="Y42" s="23"/>
      <c r="Z42" s="43"/>
      <c r="AA42" s="23"/>
      <c r="AB42" s="23"/>
      <c r="AC42" s="23"/>
      <c r="AD42" s="23"/>
      <c r="AE42" s="23"/>
      <c r="AF42" s="23"/>
      <c r="AG42" s="23"/>
      <c r="AH42" s="23"/>
      <c r="AI42" s="49"/>
    </row>
    <row r="43" spans="1:35">
      <c r="A43" s="23"/>
      <c r="B43" s="42"/>
      <c r="G43" s="43"/>
      <c r="H43" s="44"/>
      <c r="L43" s="42"/>
      <c r="M43" s="42"/>
      <c r="N43" s="25"/>
      <c r="O43" s="54"/>
      <c r="P43"/>
      <c r="Q43" s="25"/>
      <c r="R43" s="54"/>
      <c r="W43" s="23"/>
      <c r="X43" s="23"/>
      <c r="Y43" s="23"/>
      <c r="Z43" s="43"/>
      <c r="AA43" s="23"/>
      <c r="AB43" s="23"/>
      <c r="AC43" s="23"/>
      <c r="AD43" s="23"/>
      <c r="AE43" s="23"/>
      <c r="AF43" s="23"/>
      <c r="AG43" s="23"/>
      <c r="AH43" s="23"/>
      <c r="AI43" s="23"/>
    </row>
    <row r="44" spans="1:35">
      <c r="A44" s="23"/>
      <c r="B44" s="42"/>
      <c r="C44" s="49"/>
      <c r="E44" s="49"/>
      <c r="G44" s="43"/>
      <c r="H44" s="44"/>
      <c r="L44" s="42"/>
      <c r="M44" s="42"/>
      <c r="N44" s="25"/>
      <c r="O44" s="54"/>
      <c r="P44"/>
      <c r="Q44" s="25"/>
      <c r="R44" s="54"/>
      <c r="W44" s="23"/>
      <c r="X44" s="23"/>
      <c r="Y44" s="23"/>
      <c r="Z44" s="43"/>
      <c r="AA44" s="23"/>
      <c r="AB44" s="23"/>
      <c r="AC44" s="23"/>
      <c r="AD44" s="23"/>
      <c r="AE44" s="23"/>
      <c r="AF44" s="23"/>
      <c r="AG44" s="23"/>
      <c r="AH44" s="23"/>
      <c r="AI44" s="49"/>
    </row>
    <row r="45" spans="1:35">
      <c r="A45" s="49"/>
      <c r="B45" s="42"/>
      <c r="C45" s="49"/>
      <c r="E45" s="49"/>
      <c r="G45" s="43"/>
      <c r="H45" s="44"/>
      <c r="L45" s="42"/>
      <c r="M45" s="42"/>
      <c r="N45" s="25"/>
      <c r="O45" s="54"/>
      <c r="P45"/>
      <c r="Q45" s="25"/>
      <c r="R45" s="54"/>
      <c r="W45" s="23"/>
      <c r="X45" s="23"/>
      <c r="Y45" s="23"/>
      <c r="Z45" s="43"/>
      <c r="AA45" s="23"/>
      <c r="AB45" s="23"/>
      <c r="AC45" s="23"/>
      <c r="AD45" s="23"/>
      <c r="AE45" s="23"/>
      <c r="AF45" s="23"/>
      <c r="AG45" s="23"/>
      <c r="AH45" s="23"/>
      <c r="AI45" s="49"/>
    </row>
    <row r="46" spans="1:35">
      <c r="B46" s="42"/>
      <c r="C46" s="49"/>
      <c r="E46" s="49"/>
      <c r="G46" s="43"/>
      <c r="H46" s="44"/>
      <c r="L46" s="42"/>
      <c r="M46" s="42"/>
      <c r="N46" s="25"/>
      <c r="O46" s="54"/>
      <c r="P46"/>
      <c r="Q46" s="25"/>
      <c r="R46" s="54"/>
      <c r="W46" s="23"/>
      <c r="X46" s="23"/>
      <c r="Y46" s="23"/>
      <c r="Z46" s="43"/>
      <c r="AA46" s="23"/>
      <c r="AB46" s="23"/>
      <c r="AC46" s="23"/>
      <c r="AD46" s="23"/>
      <c r="AE46" s="23"/>
      <c r="AF46" s="23"/>
      <c r="AG46" s="23"/>
      <c r="AH46" s="23"/>
      <c r="AI46" s="23"/>
    </row>
    <row r="47" spans="1:35">
      <c r="A47" s="45"/>
      <c r="B47" s="42"/>
      <c r="C47" s="45"/>
      <c r="E47" s="45"/>
      <c r="G47" s="43"/>
      <c r="H47" s="44"/>
      <c r="L47" s="42"/>
      <c r="M47" s="42"/>
      <c r="N47" s="25"/>
      <c r="O47" s="54"/>
      <c r="P47"/>
      <c r="Q47" s="25"/>
      <c r="R47" s="54"/>
      <c r="W47" s="23"/>
      <c r="X47" s="23"/>
      <c r="Y47" s="23"/>
      <c r="Z47" s="43"/>
      <c r="AA47" s="23"/>
      <c r="AB47" s="23"/>
      <c r="AC47" s="23"/>
      <c r="AD47" s="23"/>
      <c r="AE47" s="23"/>
      <c r="AF47" s="23"/>
      <c r="AG47" s="23"/>
      <c r="AH47" s="23"/>
      <c r="AI47" s="48"/>
    </row>
    <row r="48" spans="1:35">
      <c r="A48" s="50"/>
      <c r="B48" s="42"/>
      <c r="C48" s="49"/>
      <c r="E48" s="49"/>
      <c r="G48" s="43"/>
      <c r="H48" s="44"/>
      <c r="L48" s="42"/>
      <c r="M48" s="42"/>
      <c r="N48" s="25"/>
      <c r="O48" s="54"/>
      <c r="P48"/>
      <c r="Q48" s="25"/>
      <c r="R48" s="54"/>
      <c r="W48" s="23"/>
      <c r="X48" s="23"/>
      <c r="Y48" s="23"/>
      <c r="Z48" s="43"/>
      <c r="AA48" s="23"/>
      <c r="AB48" s="23"/>
      <c r="AC48" s="23"/>
      <c r="AD48" s="23"/>
      <c r="AE48" s="23"/>
      <c r="AF48" s="23"/>
      <c r="AG48" s="23"/>
      <c r="AH48" s="23"/>
      <c r="AI48" s="49"/>
    </row>
    <row r="49" spans="1:35">
      <c r="A49" s="23"/>
      <c r="B49" s="42"/>
      <c r="C49" s="49"/>
      <c r="E49" s="49"/>
      <c r="G49" s="43"/>
      <c r="H49" s="44"/>
      <c r="L49" s="42"/>
      <c r="M49" s="42"/>
      <c r="N49" s="25"/>
      <c r="O49" s="54"/>
      <c r="P49"/>
      <c r="Q49" s="25"/>
      <c r="R49" s="54"/>
      <c r="W49" s="23"/>
      <c r="X49" s="23"/>
      <c r="Y49" s="23"/>
      <c r="Z49" s="43"/>
      <c r="AA49" s="23"/>
      <c r="AB49" s="23"/>
      <c r="AC49" s="23"/>
      <c r="AD49" s="23"/>
      <c r="AE49" s="23"/>
      <c r="AF49" s="23"/>
      <c r="AG49" s="23"/>
      <c r="AH49" s="23"/>
      <c r="AI49" s="49"/>
    </row>
    <row r="50" spans="1:35">
      <c r="A50" s="23"/>
      <c r="B50" s="42"/>
      <c r="C50" s="49"/>
      <c r="E50" s="49"/>
      <c r="G50" s="43"/>
      <c r="H50" s="44"/>
      <c r="L50" s="42"/>
      <c r="M50" s="42"/>
      <c r="N50" s="25"/>
      <c r="O50" s="54"/>
      <c r="P50"/>
      <c r="Q50" s="25"/>
      <c r="R50" s="54"/>
      <c r="W50" s="23"/>
      <c r="X50" s="23"/>
      <c r="Y50" s="23"/>
      <c r="Z50" s="43"/>
      <c r="AA50" s="23"/>
      <c r="AB50" s="23"/>
      <c r="AC50" s="23"/>
      <c r="AD50" s="23"/>
      <c r="AE50" s="23"/>
      <c r="AF50" s="23"/>
      <c r="AG50" s="23"/>
      <c r="AH50" s="23"/>
      <c r="AI50" s="49"/>
    </row>
    <row r="51" spans="1:35">
      <c r="A51" s="23"/>
      <c r="B51" s="42"/>
      <c r="C51" s="49"/>
      <c r="E51" s="49"/>
      <c r="G51" s="43"/>
      <c r="H51" s="44"/>
      <c r="L51" s="42"/>
      <c r="M51" s="42"/>
      <c r="N51" s="25"/>
      <c r="O51" s="54"/>
      <c r="P51"/>
      <c r="Q51" s="25"/>
      <c r="R51" s="54"/>
      <c r="W51" s="23"/>
      <c r="X51" s="23"/>
      <c r="Y51" s="23"/>
      <c r="Z51" s="43"/>
      <c r="AA51" s="23"/>
      <c r="AB51" s="23"/>
      <c r="AC51" s="23"/>
      <c r="AD51" s="23"/>
      <c r="AE51" s="23"/>
      <c r="AF51" s="23"/>
      <c r="AG51" s="23"/>
      <c r="AH51" s="23"/>
      <c r="AI51" s="49"/>
    </row>
    <row r="52" spans="1:35">
      <c r="A52" s="23"/>
      <c r="B52" s="42"/>
      <c r="C52" s="49"/>
      <c r="E52" s="49"/>
      <c r="G52" s="43"/>
      <c r="H52" s="44"/>
      <c r="L52" s="42"/>
      <c r="M52" s="42"/>
      <c r="N52" s="25"/>
      <c r="O52" s="54"/>
      <c r="P52"/>
      <c r="Q52" s="25"/>
      <c r="R52" s="54"/>
      <c r="W52" s="23"/>
      <c r="X52" s="23"/>
      <c r="Y52" s="23"/>
      <c r="Z52" s="43"/>
      <c r="AA52" s="23"/>
      <c r="AB52" s="23"/>
      <c r="AC52" s="23"/>
      <c r="AD52" s="23"/>
      <c r="AE52" s="23"/>
      <c r="AF52" s="23"/>
      <c r="AG52" s="23"/>
      <c r="AH52" s="23"/>
      <c r="AI52" s="49"/>
    </row>
    <row r="53" spans="1:35">
      <c r="A53" s="23"/>
      <c r="B53" s="42"/>
      <c r="G53" s="43"/>
      <c r="H53" s="44"/>
      <c r="L53" s="42"/>
      <c r="M53" s="42"/>
      <c r="N53" s="25"/>
      <c r="O53" s="54"/>
      <c r="P53"/>
      <c r="Q53" s="25"/>
      <c r="R53" s="54"/>
      <c r="W53" s="23"/>
      <c r="X53" s="23"/>
      <c r="Y53" s="23"/>
      <c r="Z53" s="43"/>
      <c r="AA53" s="23"/>
      <c r="AB53" s="23"/>
      <c r="AC53" s="23"/>
      <c r="AD53" s="23"/>
      <c r="AE53" s="23"/>
      <c r="AF53" s="23"/>
      <c r="AG53" s="23"/>
      <c r="AH53" s="23"/>
      <c r="AI53" s="23"/>
    </row>
    <row r="54" spans="1:35">
      <c r="A54" s="23"/>
      <c r="B54" s="42"/>
      <c r="C54" s="49"/>
      <c r="E54" s="49"/>
      <c r="G54" s="43"/>
      <c r="H54" s="44"/>
      <c r="L54" s="42"/>
      <c r="M54" s="42"/>
      <c r="N54" s="25"/>
      <c r="O54" s="54"/>
      <c r="P54"/>
      <c r="Q54" s="25"/>
      <c r="R54" s="54"/>
      <c r="W54" s="23"/>
      <c r="X54" s="23"/>
      <c r="Y54" s="23"/>
      <c r="Z54" s="43"/>
      <c r="AA54" s="23"/>
      <c r="AB54" s="23"/>
      <c r="AC54" s="23"/>
      <c r="AD54" s="23"/>
      <c r="AE54" s="23"/>
      <c r="AF54" s="23"/>
      <c r="AG54" s="23"/>
      <c r="AH54" s="23"/>
      <c r="AI54" s="49"/>
    </row>
    <row r="55" spans="1:35">
      <c r="B55" s="42"/>
      <c r="C55" s="49"/>
      <c r="E55" s="49"/>
      <c r="G55" s="43"/>
      <c r="H55" s="44"/>
      <c r="L55" s="42"/>
      <c r="M55" s="42"/>
      <c r="N55" s="25"/>
      <c r="O55" s="54"/>
      <c r="P55"/>
      <c r="Q55" s="25"/>
      <c r="R55" s="54"/>
      <c r="W55" s="23"/>
      <c r="X55" s="23"/>
      <c r="Y55" s="23"/>
      <c r="Z55" s="43"/>
      <c r="AA55" s="23"/>
      <c r="AB55" s="23"/>
      <c r="AC55" s="23"/>
      <c r="AD55" s="23"/>
      <c r="AE55" s="23"/>
      <c r="AF55" s="23"/>
      <c r="AG55" s="23"/>
      <c r="AH55" s="23"/>
      <c r="AI55" s="23"/>
    </row>
    <row r="56" spans="1:35">
      <c r="A56" s="23"/>
      <c r="B56" s="42"/>
      <c r="C56" s="49"/>
      <c r="E56" s="49"/>
      <c r="G56" s="43"/>
      <c r="H56" s="44"/>
      <c r="L56" s="42"/>
      <c r="M56" s="42"/>
      <c r="N56" s="25"/>
      <c r="O56" s="54"/>
      <c r="P56"/>
      <c r="Q56" s="25"/>
      <c r="R56" s="54"/>
      <c r="W56" s="23"/>
      <c r="X56" s="23"/>
      <c r="Y56" s="23"/>
      <c r="Z56" s="43"/>
      <c r="AA56" s="23"/>
      <c r="AB56" s="23"/>
      <c r="AC56" s="23"/>
      <c r="AD56" s="23"/>
      <c r="AE56" s="23"/>
      <c r="AF56" s="23"/>
      <c r="AG56" s="23"/>
      <c r="AH56" s="23"/>
      <c r="AI56" s="49"/>
    </row>
    <row r="57" spans="1:35">
      <c r="A57" s="23"/>
      <c r="B57" s="42"/>
      <c r="C57" s="49"/>
      <c r="E57" s="49"/>
      <c r="G57" s="43"/>
      <c r="H57" s="44"/>
      <c r="L57" s="42"/>
      <c r="M57" s="42"/>
      <c r="N57" s="25"/>
      <c r="O57" s="54"/>
      <c r="P57"/>
      <c r="Q57" s="25"/>
      <c r="R57" s="54"/>
      <c r="W57" s="23"/>
      <c r="X57" s="23"/>
      <c r="Y57" s="23"/>
      <c r="Z57" s="43"/>
      <c r="AA57" s="23"/>
      <c r="AB57" s="23"/>
      <c r="AC57" s="23"/>
      <c r="AD57" s="23"/>
      <c r="AE57" s="23"/>
      <c r="AF57" s="23"/>
      <c r="AG57" s="23"/>
      <c r="AH57" s="23"/>
      <c r="AI57" s="49"/>
    </row>
    <row r="58" spans="1:35">
      <c r="B58" s="42"/>
      <c r="C58" s="49"/>
      <c r="E58" s="49"/>
      <c r="G58" s="43"/>
      <c r="H58" s="44"/>
      <c r="L58" s="42"/>
      <c r="M58" s="42"/>
      <c r="N58" s="25"/>
      <c r="O58" s="54"/>
      <c r="P58"/>
      <c r="Q58" s="25"/>
      <c r="R58" s="54"/>
      <c r="W58" s="23"/>
      <c r="X58" s="23"/>
      <c r="Y58" s="23"/>
      <c r="Z58" s="43"/>
      <c r="AA58" s="23"/>
      <c r="AB58" s="23"/>
      <c r="AC58" s="23"/>
      <c r="AD58" s="23"/>
      <c r="AE58" s="23"/>
      <c r="AF58" s="23"/>
      <c r="AG58" s="23"/>
      <c r="AH58" s="23"/>
      <c r="AI58" s="23"/>
    </row>
    <row r="59" spans="1:35">
      <c r="A59" s="23"/>
      <c r="B59" s="42"/>
      <c r="C59" s="49"/>
      <c r="E59" s="49"/>
      <c r="G59" s="43"/>
      <c r="H59" s="44"/>
      <c r="L59" s="42"/>
      <c r="M59" s="42"/>
      <c r="N59" s="25"/>
      <c r="O59" s="54"/>
      <c r="P59"/>
      <c r="Q59" s="25"/>
      <c r="R59" s="54"/>
      <c r="W59" s="23"/>
      <c r="X59" s="23"/>
      <c r="Y59" s="23"/>
      <c r="Z59" s="43"/>
      <c r="AA59" s="23"/>
      <c r="AB59" s="23"/>
      <c r="AC59" s="23"/>
      <c r="AD59" s="23"/>
      <c r="AE59" s="23"/>
      <c r="AF59" s="23"/>
      <c r="AG59" s="23"/>
      <c r="AH59" s="23"/>
      <c r="AI59" s="49"/>
    </row>
    <row r="60" spans="1:35">
      <c r="B60" s="42"/>
      <c r="G60" s="43"/>
      <c r="H60" s="44"/>
      <c r="L60" s="42"/>
      <c r="M60" s="42"/>
      <c r="N60" s="25"/>
      <c r="O60" s="54"/>
      <c r="P60"/>
      <c r="Q60" s="25"/>
      <c r="R60" s="54"/>
      <c r="W60" s="23"/>
      <c r="X60" s="23"/>
      <c r="Y60" s="23"/>
      <c r="Z60" s="43"/>
      <c r="AA60" s="23"/>
      <c r="AB60" s="23"/>
      <c r="AC60" s="23"/>
      <c r="AD60" s="23"/>
      <c r="AE60" s="23"/>
      <c r="AF60" s="23"/>
      <c r="AG60" s="23"/>
      <c r="AH60" s="23"/>
    </row>
    <row r="61" spans="1:35">
      <c r="A61" s="23"/>
      <c r="B61" s="42"/>
      <c r="C61" s="49"/>
      <c r="E61" s="49"/>
      <c r="G61" s="43"/>
      <c r="H61" s="44"/>
      <c r="L61" s="42"/>
      <c r="M61" s="42"/>
      <c r="N61" s="25"/>
      <c r="O61" s="54"/>
      <c r="P61"/>
      <c r="Q61" s="25"/>
      <c r="R61" s="54"/>
      <c r="W61" s="23"/>
      <c r="X61" s="23"/>
      <c r="Y61" s="23"/>
      <c r="Z61" s="43"/>
      <c r="AA61" s="23"/>
      <c r="AB61" s="23"/>
      <c r="AC61" s="23"/>
      <c r="AD61" s="23"/>
      <c r="AE61" s="23"/>
      <c r="AF61" s="23"/>
      <c r="AG61" s="23"/>
      <c r="AH61" s="23"/>
      <c r="AI61" s="49"/>
    </row>
    <row r="62" spans="1:35">
      <c r="A62" s="23"/>
      <c r="B62" s="42"/>
      <c r="C62" s="49"/>
      <c r="E62" s="49"/>
      <c r="G62" s="43"/>
      <c r="H62" s="44"/>
      <c r="L62" s="42"/>
      <c r="M62" s="42"/>
      <c r="N62" s="25"/>
      <c r="O62" s="54"/>
      <c r="P62"/>
      <c r="Q62" s="25"/>
      <c r="R62" s="54"/>
      <c r="W62" s="23"/>
      <c r="X62" s="23"/>
      <c r="Y62" s="23"/>
      <c r="Z62" s="43"/>
      <c r="AA62" s="23"/>
      <c r="AB62" s="23"/>
      <c r="AC62" s="23"/>
      <c r="AD62" s="23"/>
      <c r="AE62" s="23"/>
      <c r="AF62" s="23"/>
      <c r="AG62" s="23"/>
      <c r="AH62" s="23"/>
      <c r="AI62" s="49"/>
    </row>
    <row r="63" spans="1:35">
      <c r="A63" s="23"/>
      <c r="B63" s="42"/>
      <c r="G63" s="43"/>
      <c r="H63" s="44"/>
      <c r="L63" s="42"/>
      <c r="M63" s="42"/>
      <c r="N63" s="25"/>
      <c r="O63" s="54"/>
      <c r="P63"/>
      <c r="Q63" s="25"/>
      <c r="R63" s="54"/>
      <c r="W63" s="23"/>
      <c r="X63" s="23"/>
      <c r="Y63" s="23"/>
      <c r="Z63" s="43"/>
      <c r="AA63" s="23"/>
      <c r="AB63" s="23"/>
      <c r="AC63" s="23"/>
      <c r="AD63" s="23"/>
      <c r="AE63" s="23"/>
      <c r="AF63" s="23"/>
      <c r="AG63" s="23"/>
      <c r="AH63" s="23"/>
      <c r="AI63" s="23"/>
    </row>
    <row r="64" spans="1:35">
      <c r="A64" s="23"/>
      <c r="B64" s="42"/>
      <c r="C64" s="49"/>
      <c r="E64" s="49"/>
      <c r="G64" s="43"/>
      <c r="H64" s="44"/>
      <c r="L64" s="42"/>
      <c r="M64" s="42"/>
      <c r="N64" s="25"/>
      <c r="O64" s="54"/>
      <c r="P64"/>
      <c r="Q64" s="25"/>
      <c r="R64" s="54"/>
      <c r="W64" s="23"/>
      <c r="X64" s="23"/>
      <c r="Y64" s="23"/>
      <c r="Z64" s="43"/>
      <c r="AA64" s="23"/>
      <c r="AB64" s="23"/>
      <c r="AC64" s="23"/>
      <c r="AD64" s="23"/>
      <c r="AE64" s="23"/>
      <c r="AF64" s="23"/>
      <c r="AG64" s="23"/>
      <c r="AH64" s="23"/>
      <c r="AI64" s="49"/>
    </row>
    <row r="65" spans="1:35">
      <c r="A65" s="50"/>
      <c r="B65" s="42"/>
      <c r="C65" s="49"/>
      <c r="E65" s="49"/>
      <c r="G65" s="43"/>
      <c r="H65" s="44"/>
      <c r="L65" s="42"/>
      <c r="M65" s="42"/>
      <c r="N65" s="25"/>
      <c r="O65" s="54"/>
      <c r="P65"/>
      <c r="Q65" s="25"/>
      <c r="R65" s="54"/>
      <c r="W65" s="23"/>
      <c r="X65" s="23"/>
      <c r="Y65" s="23"/>
      <c r="Z65" s="43"/>
      <c r="AA65" s="23"/>
      <c r="AB65" s="23"/>
      <c r="AC65" s="23"/>
      <c r="AD65" s="23"/>
      <c r="AE65" s="23"/>
      <c r="AF65" s="23"/>
      <c r="AG65" s="23"/>
      <c r="AH65" s="23"/>
      <c r="AI65" s="49"/>
    </row>
    <row r="66" spans="1:35">
      <c r="A66" s="23"/>
      <c r="B66" s="42"/>
      <c r="C66" s="49"/>
      <c r="E66" s="49"/>
      <c r="G66" s="43"/>
      <c r="H66" s="44"/>
      <c r="L66" s="42"/>
      <c r="M66" s="42"/>
      <c r="N66" s="25"/>
      <c r="O66" s="54"/>
      <c r="P66"/>
      <c r="Q66" s="25"/>
      <c r="R66" s="54"/>
      <c r="W66" s="23"/>
      <c r="X66" s="23"/>
      <c r="Y66" s="23"/>
      <c r="Z66" s="43"/>
      <c r="AA66" s="23"/>
      <c r="AB66" s="23"/>
      <c r="AC66" s="23"/>
      <c r="AD66" s="23"/>
      <c r="AE66" s="23"/>
      <c r="AF66" s="23"/>
      <c r="AG66" s="23"/>
      <c r="AH66" s="23"/>
      <c r="AI66" s="49"/>
    </row>
    <row r="67" spans="1:35">
      <c r="A67" s="23"/>
      <c r="B67" s="42"/>
      <c r="C67" s="49"/>
      <c r="E67" s="49"/>
      <c r="G67" s="43"/>
      <c r="H67" s="44"/>
      <c r="L67" s="42"/>
      <c r="M67" s="42"/>
      <c r="N67" s="25"/>
      <c r="O67" s="54"/>
      <c r="P67"/>
      <c r="Q67" s="25"/>
      <c r="R67" s="54"/>
      <c r="W67" s="23"/>
      <c r="X67" s="23"/>
      <c r="Y67" s="23"/>
      <c r="Z67" s="43"/>
      <c r="AA67" s="23"/>
      <c r="AB67" s="23"/>
      <c r="AC67" s="23"/>
      <c r="AD67" s="23"/>
      <c r="AE67" s="23"/>
      <c r="AF67" s="23"/>
      <c r="AG67" s="23"/>
      <c r="AH67" s="23"/>
      <c r="AI67" s="49"/>
    </row>
    <row r="68" spans="1:35">
      <c r="A68" s="23"/>
      <c r="B68" s="42"/>
      <c r="G68" s="43"/>
      <c r="H68" s="44"/>
      <c r="L68" s="42"/>
      <c r="M68" s="42"/>
      <c r="N68" s="25"/>
      <c r="O68" s="54"/>
      <c r="P68"/>
      <c r="Q68" s="25"/>
      <c r="R68" s="54"/>
      <c r="W68" s="23"/>
      <c r="X68" s="23"/>
      <c r="Y68" s="23"/>
      <c r="Z68" s="43"/>
      <c r="AA68" s="23"/>
      <c r="AB68" s="23"/>
      <c r="AC68" s="23"/>
      <c r="AD68" s="23"/>
      <c r="AE68" s="23"/>
      <c r="AF68" s="23"/>
      <c r="AG68" s="23"/>
      <c r="AH68" s="23"/>
      <c r="AI68" s="23"/>
    </row>
    <row r="69" spans="1:35">
      <c r="A69" s="23"/>
      <c r="B69" s="42"/>
      <c r="C69" s="49"/>
      <c r="E69" s="49"/>
      <c r="G69" s="43"/>
      <c r="H69" s="44"/>
      <c r="L69" s="42"/>
      <c r="M69" s="42"/>
      <c r="N69" s="25"/>
      <c r="O69" s="54"/>
      <c r="P69"/>
      <c r="Q69" s="25"/>
      <c r="R69" s="54"/>
      <c r="W69" s="23"/>
      <c r="X69" s="23"/>
      <c r="Y69" s="23"/>
      <c r="Z69" s="43"/>
      <c r="AA69" s="23"/>
      <c r="AB69" s="23"/>
      <c r="AC69" s="23"/>
      <c r="AD69" s="23"/>
      <c r="AE69" s="23"/>
      <c r="AF69" s="23"/>
      <c r="AG69" s="23"/>
      <c r="AH69" s="23"/>
      <c r="AI69" s="49"/>
    </row>
    <row r="70" spans="1:35">
      <c r="A70" s="23"/>
      <c r="B70" s="42"/>
      <c r="C70" s="49"/>
      <c r="E70" s="49"/>
      <c r="G70" s="43"/>
      <c r="H70" s="44"/>
      <c r="L70" s="42"/>
      <c r="M70" s="42"/>
      <c r="N70" s="25"/>
      <c r="O70" s="54"/>
      <c r="P70"/>
      <c r="Q70" s="25"/>
      <c r="R70" s="54"/>
      <c r="W70" s="23"/>
      <c r="X70" s="23"/>
      <c r="Y70" s="23"/>
      <c r="Z70" s="43"/>
      <c r="AA70" s="23"/>
      <c r="AB70" s="23"/>
      <c r="AC70" s="23"/>
      <c r="AD70" s="23"/>
      <c r="AE70" s="23"/>
      <c r="AF70" s="23"/>
      <c r="AG70" s="23"/>
      <c r="AH70" s="23"/>
      <c r="AI70" s="49"/>
    </row>
    <row r="71" spans="1:35">
      <c r="A71" s="23"/>
      <c r="B71" s="42"/>
      <c r="C71" s="49"/>
      <c r="E71" s="49"/>
      <c r="G71" s="43"/>
      <c r="H71" s="44"/>
      <c r="L71" s="42"/>
      <c r="M71" s="42"/>
      <c r="N71" s="25"/>
      <c r="O71" s="54"/>
      <c r="P71"/>
      <c r="Q71" s="25"/>
      <c r="R71" s="54"/>
      <c r="W71" s="23"/>
      <c r="X71" s="23"/>
      <c r="Y71" s="23"/>
      <c r="Z71" s="43"/>
      <c r="AA71" s="23"/>
      <c r="AB71" s="23"/>
      <c r="AC71" s="23"/>
      <c r="AD71" s="23"/>
      <c r="AE71" s="23"/>
      <c r="AF71" s="23"/>
      <c r="AG71" s="23"/>
      <c r="AH71" s="23"/>
      <c r="AI71" s="49"/>
    </row>
    <row r="72" spans="1:35">
      <c r="A72" s="23"/>
      <c r="B72" s="42"/>
      <c r="C72" s="49"/>
      <c r="E72" s="49"/>
      <c r="G72" s="43"/>
      <c r="H72" s="44"/>
      <c r="L72" s="42"/>
      <c r="M72" s="42"/>
      <c r="N72" s="25"/>
      <c r="O72" s="54"/>
      <c r="P72"/>
      <c r="Q72" s="25"/>
      <c r="R72" s="54"/>
      <c r="W72" s="23"/>
      <c r="X72" s="23"/>
      <c r="Y72" s="23"/>
      <c r="Z72" s="43"/>
      <c r="AA72" s="23"/>
      <c r="AB72" s="23"/>
      <c r="AC72" s="23"/>
      <c r="AD72" s="23"/>
      <c r="AE72" s="23"/>
      <c r="AF72" s="23"/>
      <c r="AG72" s="23"/>
      <c r="AH72" s="23"/>
      <c r="AI72" s="49"/>
    </row>
    <row r="73" spans="1:35">
      <c r="B73" s="42"/>
      <c r="C73" s="49"/>
      <c r="E73" s="49"/>
      <c r="G73" s="43"/>
      <c r="H73" s="44"/>
      <c r="L73" s="42"/>
      <c r="M73" s="42"/>
      <c r="N73" s="25"/>
      <c r="O73" s="54"/>
      <c r="P73"/>
      <c r="Q73" s="25"/>
      <c r="R73" s="54"/>
      <c r="W73" s="23"/>
      <c r="X73" s="23"/>
      <c r="Y73" s="23"/>
      <c r="Z73" s="43"/>
      <c r="AA73" s="23"/>
      <c r="AB73" s="23"/>
      <c r="AC73" s="23"/>
      <c r="AD73" s="23"/>
      <c r="AE73" s="23"/>
      <c r="AF73" s="23"/>
      <c r="AG73" s="23"/>
      <c r="AH73" s="23"/>
      <c r="AI73" s="23"/>
    </row>
    <row r="74" spans="1:35">
      <c r="A74" s="23"/>
      <c r="B74" s="42"/>
      <c r="C74" s="49"/>
      <c r="E74" s="49"/>
      <c r="G74" s="43"/>
      <c r="H74" s="44"/>
      <c r="L74" s="42"/>
      <c r="M74" s="42"/>
      <c r="N74" s="25"/>
      <c r="O74" s="54"/>
      <c r="P74"/>
      <c r="Q74" s="25"/>
      <c r="R74" s="54"/>
      <c r="W74" s="23"/>
      <c r="X74" s="23"/>
      <c r="Y74" s="23"/>
      <c r="Z74" s="43"/>
      <c r="AA74" s="23"/>
      <c r="AB74" s="23"/>
      <c r="AC74" s="23"/>
      <c r="AD74" s="23"/>
      <c r="AE74" s="23"/>
      <c r="AF74" s="23"/>
      <c r="AG74" s="23"/>
      <c r="AH74" s="23"/>
      <c r="AI74" s="49"/>
    </row>
    <row r="75" spans="1:35">
      <c r="A75" s="50"/>
      <c r="B75" s="42"/>
      <c r="G75" s="43"/>
      <c r="H75" s="44"/>
      <c r="L75" s="42"/>
      <c r="M75" s="42"/>
      <c r="N75" s="25"/>
      <c r="O75" s="54"/>
      <c r="P75"/>
      <c r="Q75" s="25"/>
      <c r="R75" s="54"/>
      <c r="W75" s="23"/>
      <c r="X75" s="23"/>
      <c r="Y75" s="23"/>
      <c r="Z75" s="43"/>
      <c r="AA75" s="23"/>
      <c r="AB75" s="23"/>
      <c r="AC75" s="23"/>
      <c r="AD75" s="23"/>
      <c r="AE75" s="23"/>
      <c r="AF75" s="23"/>
      <c r="AG75" s="23"/>
      <c r="AH75" s="23"/>
    </row>
    <row r="76" spans="1:35">
      <c r="A76" s="23"/>
      <c r="B76" s="42"/>
      <c r="C76" s="49"/>
      <c r="E76" s="49"/>
      <c r="G76" s="43"/>
      <c r="H76" s="44"/>
      <c r="L76" s="42"/>
      <c r="M76" s="42"/>
      <c r="N76" s="25"/>
      <c r="O76" s="54"/>
      <c r="P76"/>
      <c r="Q76" s="25"/>
      <c r="R76" s="54"/>
      <c r="W76" s="23"/>
      <c r="X76" s="23"/>
      <c r="Y76" s="23"/>
      <c r="Z76" s="43"/>
      <c r="AA76" s="23"/>
      <c r="AB76" s="23"/>
      <c r="AC76" s="23"/>
      <c r="AD76" s="23"/>
      <c r="AE76" s="23"/>
      <c r="AF76" s="23"/>
      <c r="AG76" s="23"/>
      <c r="AH76" s="23"/>
      <c r="AI76" s="49"/>
    </row>
    <row r="77" spans="1:35">
      <c r="A77" s="23"/>
      <c r="B77" s="42"/>
      <c r="C77" s="49"/>
      <c r="E77" s="49"/>
      <c r="G77" s="43"/>
      <c r="H77" s="44"/>
      <c r="L77" s="42"/>
      <c r="M77" s="42"/>
      <c r="N77" s="25"/>
      <c r="O77" s="54"/>
      <c r="P77"/>
      <c r="Q77" s="25"/>
      <c r="R77" s="54"/>
      <c r="W77" s="23"/>
      <c r="X77" s="23"/>
      <c r="Y77" s="23"/>
      <c r="Z77" s="43"/>
      <c r="AA77" s="23"/>
      <c r="AB77" s="23"/>
      <c r="AC77" s="23"/>
      <c r="AD77" s="23"/>
      <c r="AE77" s="23"/>
      <c r="AF77" s="23"/>
      <c r="AG77" s="23"/>
      <c r="AH77" s="23"/>
      <c r="AI77" s="49"/>
    </row>
    <row r="78" spans="1:35">
      <c r="A78" s="23"/>
      <c r="B78" s="42"/>
      <c r="C78" s="49"/>
      <c r="E78" s="49"/>
      <c r="G78" s="43"/>
      <c r="H78" s="44"/>
      <c r="L78" s="42"/>
      <c r="M78" s="42"/>
      <c r="N78" s="25"/>
      <c r="O78" s="54"/>
      <c r="P78"/>
      <c r="Q78" s="25"/>
      <c r="R78" s="54"/>
      <c r="W78" s="23"/>
      <c r="X78" s="23"/>
      <c r="Y78" s="23"/>
      <c r="Z78" s="43"/>
      <c r="AA78" s="23"/>
      <c r="AB78" s="23"/>
      <c r="AC78" s="23"/>
      <c r="AD78" s="23"/>
      <c r="AE78" s="23"/>
      <c r="AF78" s="23"/>
      <c r="AG78" s="23"/>
      <c r="AH78" s="23"/>
      <c r="AI78" s="49"/>
    </row>
    <row r="79" spans="1:35">
      <c r="A79" s="45"/>
      <c r="B79" s="42"/>
      <c r="C79" s="45"/>
      <c r="E79" s="45"/>
      <c r="G79" s="43"/>
      <c r="H79" s="44"/>
      <c r="L79" s="42"/>
      <c r="M79" s="42"/>
      <c r="N79" s="25"/>
      <c r="O79" s="54"/>
      <c r="P79"/>
      <c r="Q79" s="25"/>
      <c r="R79" s="54"/>
      <c r="W79" s="23"/>
      <c r="X79" s="23"/>
      <c r="Y79" s="23"/>
      <c r="Z79" s="43"/>
      <c r="AA79" s="23"/>
      <c r="AB79" s="23"/>
      <c r="AC79" s="23"/>
      <c r="AD79" s="23"/>
      <c r="AE79" s="23"/>
      <c r="AF79" s="23"/>
      <c r="AG79" s="23"/>
      <c r="AH79" s="23"/>
      <c r="AI79" s="48"/>
    </row>
    <row r="80" spans="1:35">
      <c r="A80" s="50"/>
      <c r="B80" s="42"/>
      <c r="C80" s="49"/>
      <c r="E80" s="49"/>
      <c r="G80" s="43"/>
      <c r="H80" s="44"/>
      <c r="L80" s="42"/>
      <c r="M80" s="42"/>
      <c r="N80" s="25"/>
      <c r="O80" s="54"/>
      <c r="P80"/>
      <c r="Q80" s="25"/>
      <c r="R80" s="54"/>
      <c r="W80" s="23"/>
      <c r="X80" s="23"/>
      <c r="Y80" s="23"/>
      <c r="Z80" s="43"/>
      <c r="AA80" s="23"/>
      <c r="AB80" s="23"/>
      <c r="AC80" s="23"/>
      <c r="AD80" s="23"/>
      <c r="AE80" s="23"/>
      <c r="AF80" s="23"/>
      <c r="AG80" s="23"/>
      <c r="AH80" s="23"/>
      <c r="AI80" s="49"/>
    </row>
    <row r="81" spans="1:35">
      <c r="A81" s="23"/>
      <c r="B81" s="42"/>
      <c r="G81" s="43"/>
      <c r="H81" s="44"/>
      <c r="L81" s="42"/>
      <c r="M81" s="42"/>
      <c r="N81" s="25"/>
      <c r="O81" s="54"/>
      <c r="P81"/>
      <c r="Q81" s="25"/>
      <c r="R81" s="54"/>
      <c r="W81" s="23"/>
      <c r="X81" s="23"/>
      <c r="Y81" s="23"/>
      <c r="Z81" s="43"/>
      <c r="AA81" s="23"/>
      <c r="AB81" s="23"/>
      <c r="AC81" s="23"/>
      <c r="AD81" s="23"/>
      <c r="AE81" s="23"/>
      <c r="AF81" s="23"/>
      <c r="AG81" s="23"/>
      <c r="AH81" s="23"/>
      <c r="AI81" s="23"/>
    </row>
    <row r="82" spans="1:35">
      <c r="A82" s="23"/>
      <c r="B82" s="42"/>
      <c r="C82" s="49"/>
      <c r="E82" s="49"/>
      <c r="G82" s="43"/>
      <c r="H82" s="44"/>
      <c r="L82" s="42"/>
      <c r="M82" s="42"/>
      <c r="N82" s="25"/>
      <c r="O82" s="54"/>
      <c r="P82"/>
      <c r="Q82" s="25"/>
      <c r="R82" s="54"/>
      <c r="W82" s="23"/>
      <c r="X82" s="23"/>
      <c r="Y82" s="23"/>
      <c r="Z82" s="43"/>
      <c r="AA82" s="23"/>
      <c r="AB82" s="23"/>
      <c r="AC82" s="23"/>
      <c r="AD82" s="23"/>
      <c r="AE82" s="23"/>
      <c r="AF82" s="23"/>
      <c r="AG82" s="23"/>
      <c r="AH82" s="23"/>
      <c r="AI82" s="49"/>
    </row>
    <row r="83" spans="1:35">
      <c r="A83" s="23"/>
      <c r="B83" s="42"/>
      <c r="C83" s="49"/>
      <c r="E83" s="49"/>
      <c r="G83" s="43"/>
      <c r="H83" s="44"/>
      <c r="L83" s="42"/>
      <c r="M83" s="42"/>
      <c r="N83" s="25"/>
      <c r="O83" s="54"/>
      <c r="P83"/>
      <c r="Q83" s="25"/>
      <c r="R83" s="54"/>
      <c r="W83" s="23"/>
      <c r="X83" s="23"/>
      <c r="Y83" s="23"/>
      <c r="Z83" s="43"/>
      <c r="AA83" s="23"/>
      <c r="AB83" s="23"/>
      <c r="AC83" s="23"/>
      <c r="AD83" s="23"/>
      <c r="AE83" s="23"/>
      <c r="AF83" s="23"/>
      <c r="AG83" s="23"/>
      <c r="AH83" s="23"/>
      <c r="AI83" s="49"/>
    </row>
    <row r="84" spans="1:35">
      <c r="A84" s="23"/>
      <c r="B84" s="42"/>
      <c r="C84" s="49"/>
      <c r="E84" s="49"/>
      <c r="G84" s="43"/>
      <c r="H84" s="44"/>
      <c r="L84" s="42"/>
      <c r="M84" s="42"/>
      <c r="N84" s="25"/>
      <c r="O84" s="54"/>
      <c r="P84"/>
      <c r="Q84" s="25"/>
      <c r="R84" s="54"/>
      <c r="W84" s="23"/>
      <c r="X84" s="23"/>
      <c r="Y84" s="23"/>
      <c r="Z84" s="43"/>
      <c r="AA84" s="23"/>
      <c r="AB84" s="23"/>
      <c r="AC84" s="23"/>
      <c r="AD84" s="23"/>
      <c r="AE84" s="23"/>
      <c r="AF84" s="23"/>
      <c r="AG84" s="23"/>
      <c r="AH84" s="23"/>
      <c r="AI84" s="49"/>
    </row>
    <row r="85" spans="1:35">
      <c r="A85" s="23"/>
      <c r="B85" s="42"/>
      <c r="G85" s="43"/>
      <c r="H85" s="44"/>
      <c r="L85" s="42"/>
      <c r="M85" s="42"/>
      <c r="N85" s="25"/>
      <c r="O85" s="54"/>
      <c r="P85"/>
      <c r="Q85" s="25"/>
      <c r="R85" s="54"/>
      <c r="W85" s="23"/>
      <c r="X85" s="23"/>
      <c r="Y85" s="23"/>
      <c r="Z85" s="43"/>
      <c r="AA85" s="23"/>
      <c r="AB85" s="23"/>
      <c r="AC85" s="23"/>
      <c r="AD85" s="23"/>
      <c r="AE85" s="23"/>
      <c r="AF85" s="23"/>
      <c r="AG85" s="23"/>
      <c r="AH85" s="23"/>
      <c r="AI85" s="23"/>
    </row>
    <row r="86" spans="1:35">
      <c r="A86" s="23"/>
      <c r="B86" s="42"/>
      <c r="C86" s="49"/>
      <c r="E86" s="49"/>
      <c r="G86" s="43"/>
      <c r="H86" s="44"/>
      <c r="L86" s="42"/>
      <c r="M86" s="42"/>
      <c r="N86" s="25"/>
      <c r="O86" s="54"/>
      <c r="P86"/>
      <c r="Q86" s="25"/>
      <c r="R86" s="54"/>
      <c r="W86" s="23"/>
      <c r="X86" s="23"/>
      <c r="Y86" s="23"/>
      <c r="Z86" s="43"/>
      <c r="AA86" s="23"/>
      <c r="AB86" s="23"/>
      <c r="AC86" s="23"/>
      <c r="AD86" s="23"/>
      <c r="AE86" s="23"/>
      <c r="AF86" s="23"/>
      <c r="AG86" s="23"/>
      <c r="AH86" s="23"/>
      <c r="AI86" s="49"/>
    </row>
    <row r="87" spans="1:35">
      <c r="A87" s="23"/>
      <c r="B87" s="42"/>
      <c r="G87" s="43"/>
      <c r="H87" s="44"/>
      <c r="L87" s="42"/>
      <c r="M87" s="42"/>
      <c r="N87" s="25"/>
      <c r="O87" s="54"/>
      <c r="P87"/>
      <c r="Q87" s="25"/>
      <c r="R87" s="54"/>
      <c r="W87" s="23"/>
      <c r="X87" s="23"/>
      <c r="Y87" s="23"/>
      <c r="Z87" s="43"/>
      <c r="AA87" s="23"/>
      <c r="AB87" s="23"/>
      <c r="AC87" s="23"/>
      <c r="AD87" s="23"/>
      <c r="AE87" s="23"/>
      <c r="AF87" s="23"/>
      <c r="AG87" s="23"/>
      <c r="AH87" s="23"/>
      <c r="AI87" s="23"/>
    </row>
    <row r="88" spans="1:35">
      <c r="A88" s="23"/>
      <c r="B88" s="42"/>
      <c r="C88" s="49"/>
      <c r="E88" s="49"/>
      <c r="G88" s="43"/>
      <c r="H88" s="44"/>
      <c r="L88" s="42"/>
      <c r="M88" s="42"/>
      <c r="N88" s="25"/>
      <c r="O88" s="54"/>
      <c r="P88"/>
      <c r="Q88" s="25"/>
      <c r="R88" s="54"/>
      <c r="W88" s="23"/>
      <c r="X88" s="23"/>
      <c r="Y88" s="23"/>
      <c r="Z88" s="43"/>
      <c r="AA88" s="23"/>
      <c r="AB88" s="23"/>
      <c r="AC88" s="23"/>
      <c r="AD88" s="23"/>
      <c r="AE88" s="23"/>
      <c r="AF88" s="23"/>
      <c r="AG88" s="23"/>
      <c r="AH88" s="23"/>
      <c r="AI88" s="49"/>
    </row>
    <row r="89" spans="1:35">
      <c r="A89" s="23"/>
      <c r="B89" s="42"/>
      <c r="C89" s="49"/>
      <c r="E89" s="49"/>
      <c r="G89" s="43"/>
      <c r="H89" s="44"/>
      <c r="L89" s="42"/>
      <c r="M89" s="42"/>
      <c r="N89" s="25"/>
      <c r="O89" s="54"/>
      <c r="P89"/>
      <c r="Q89" s="25"/>
      <c r="R89" s="54"/>
      <c r="W89" s="23"/>
      <c r="X89" s="23"/>
      <c r="Y89" s="23"/>
      <c r="Z89" s="43"/>
      <c r="AA89" s="23"/>
      <c r="AB89" s="23"/>
      <c r="AC89" s="23"/>
      <c r="AD89" s="23"/>
      <c r="AE89" s="23"/>
      <c r="AF89" s="23"/>
      <c r="AG89" s="23"/>
      <c r="AH89" s="23"/>
      <c r="AI89" s="49"/>
    </row>
    <row r="90" spans="1:35">
      <c r="B90" s="42"/>
      <c r="C90" s="49"/>
      <c r="E90" s="49"/>
      <c r="G90" s="43"/>
      <c r="H90" s="44"/>
      <c r="L90" s="42"/>
      <c r="M90" s="42"/>
      <c r="N90" s="25"/>
      <c r="O90" s="54"/>
      <c r="P90"/>
      <c r="Q90" s="25"/>
      <c r="R90" s="54"/>
      <c r="W90" s="23"/>
      <c r="X90" s="23"/>
      <c r="Y90" s="23"/>
      <c r="Z90" s="43"/>
      <c r="AA90" s="23"/>
      <c r="AB90" s="23"/>
      <c r="AC90" s="23"/>
      <c r="AD90" s="23"/>
      <c r="AE90" s="23"/>
      <c r="AF90" s="23"/>
      <c r="AG90" s="23"/>
      <c r="AH90" s="23"/>
      <c r="AI90" s="23"/>
    </row>
    <row r="91" spans="1:35">
      <c r="A91" s="23"/>
      <c r="B91" s="42"/>
      <c r="C91" s="49"/>
      <c r="E91" s="49"/>
      <c r="G91" s="43"/>
      <c r="H91" s="44"/>
      <c r="L91" s="42"/>
      <c r="M91" s="42"/>
      <c r="N91" s="25"/>
      <c r="O91" s="54"/>
      <c r="P91"/>
      <c r="Q91" s="25"/>
      <c r="R91" s="54"/>
      <c r="W91" s="23"/>
      <c r="X91" s="23"/>
      <c r="Y91" s="23"/>
      <c r="Z91" s="43"/>
      <c r="AA91" s="23"/>
      <c r="AB91" s="23"/>
      <c r="AC91" s="23"/>
      <c r="AD91" s="23"/>
      <c r="AE91" s="23"/>
      <c r="AF91" s="23"/>
      <c r="AG91" s="23"/>
      <c r="AH91" s="23"/>
      <c r="AI91" s="49"/>
    </row>
    <row r="92" spans="1:35">
      <c r="A92" s="23"/>
      <c r="B92" s="42"/>
      <c r="C92" s="49"/>
      <c r="E92" s="49"/>
      <c r="G92" s="43"/>
      <c r="H92" s="44"/>
      <c r="L92" s="42"/>
      <c r="M92" s="42"/>
      <c r="N92" s="25"/>
      <c r="O92" s="54"/>
      <c r="P92"/>
      <c r="Q92" s="25"/>
      <c r="R92" s="54"/>
      <c r="W92" s="23"/>
      <c r="X92" s="23"/>
      <c r="Y92" s="23"/>
      <c r="Z92" s="43"/>
      <c r="AA92" s="23"/>
      <c r="AB92" s="23"/>
      <c r="AC92" s="23"/>
      <c r="AD92" s="23"/>
      <c r="AE92" s="23"/>
      <c r="AF92" s="23"/>
      <c r="AG92" s="23"/>
      <c r="AH92" s="23"/>
      <c r="AI92" s="49"/>
    </row>
    <row r="93" spans="1:35">
      <c r="A93" s="23"/>
      <c r="B93" s="42"/>
      <c r="C93" s="49"/>
      <c r="E93" s="49"/>
      <c r="G93" s="43"/>
      <c r="H93" s="44"/>
      <c r="L93" s="42"/>
      <c r="M93" s="42"/>
      <c r="N93" s="25"/>
      <c r="O93" s="54"/>
      <c r="P93"/>
      <c r="Q93" s="25"/>
      <c r="R93" s="54"/>
      <c r="W93" s="23"/>
      <c r="X93" s="23"/>
      <c r="Y93" s="23"/>
      <c r="Z93" s="43"/>
      <c r="AA93" s="23"/>
      <c r="AB93" s="23"/>
      <c r="AC93" s="23"/>
      <c r="AD93" s="23"/>
      <c r="AE93" s="23"/>
      <c r="AF93" s="23"/>
      <c r="AG93" s="23"/>
      <c r="AH93" s="23"/>
      <c r="AI93" s="49"/>
    </row>
    <row r="94" spans="1:35">
      <c r="A94" s="23"/>
      <c r="B94" s="42"/>
      <c r="C94" s="49"/>
      <c r="E94" s="49"/>
      <c r="G94" s="43"/>
      <c r="H94" s="44"/>
      <c r="L94" s="42"/>
      <c r="M94" s="42"/>
      <c r="N94" s="25"/>
      <c r="O94" s="54"/>
      <c r="P94"/>
      <c r="Q94" s="25"/>
      <c r="R94" s="54"/>
      <c r="W94" s="23"/>
      <c r="X94" s="23"/>
      <c r="Y94" s="23"/>
      <c r="Z94" s="43"/>
      <c r="AA94" s="23"/>
      <c r="AB94" s="23"/>
      <c r="AC94" s="23"/>
      <c r="AD94" s="23"/>
      <c r="AE94" s="23"/>
      <c r="AF94" s="23"/>
      <c r="AG94" s="23"/>
      <c r="AH94" s="23"/>
      <c r="AI94" s="49"/>
    </row>
    <row r="95" spans="1:35">
      <c r="A95" s="23"/>
      <c r="B95" s="42"/>
      <c r="C95" s="49"/>
      <c r="E95" s="49"/>
      <c r="G95" s="43"/>
      <c r="H95" s="44"/>
      <c r="L95" s="42"/>
      <c r="M95" s="42"/>
      <c r="N95" s="25"/>
      <c r="O95" s="54"/>
      <c r="P95"/>
      <c r="Q95" s="25"/>
      <c r="R95" s="54"/>
      <c r="W95" s="23"/>
      <c r="X95" s="23"/>
      <c r="Y95" s="23"/>
      <c r="Z95" s="43"/>
      <c r="AA95" s="23"/>
      <c r="AB95" s="23"/>
      <c r="AC95" s="23"/>
      <c r="AD95" s="23"/>
      <c r="AE95" s="23"/>
      <c r="AF95" s="23"/>
      <c r="AG95" s="23"/>
      <c r="AH95" s="23"/>
      <c r="AI95" s="49"/>
    </row>
    <row r="96" spans="1:35">
      <c r="A96" s="23"/>
      <c r="B96" s="42"/>
      <c r="C96" s="49"/>
      <c r="E96" s="49"/>
      <c r="G96" s="43"/>
      <c r="H96" s="44"/>
      <c r="L96" s="42"/>
      <c r="M96" s="42"/>
      <c r="N96" s="25"/>
      <c r="O96" s="54"/>
      <c r="P96"/>
      <c r="Q96" s="25"/>
      <c r="R96" s="54"/>
      <c r="W96" s="23"/>
      <c r="X96" s="23"/>
      <c r="Y96" s="23"/>
      <c r="Z96" s="43"/>
      <c r="AA96" s="23"/>
      <c r="AB96" s="23"/>
      <c r="AC96" s="23"/>
      <c r="AD96" s="23"/>
      <c r="AE96" s="23"/>
      <c r="AF96" s="23"/>
      <c r="AG96" s="23"/>
      <c r="AH96" s="23"/>
      <c r="AI96" s="49"/>
    </row>
    <row r="97" spans="1:35">
      <c r="A97" s="23"/>
      <c r="B97" s="42"/>
      <c r="C97" s="49"/>
      <c r="E97" s="49"/>
      <c r="G97" s="43"/>
      <c r="H97" s="44"/>
      <c r="L97" s="42"/>
      <c r="M97" s="42"/>
      <c r="N97" s="25"/>
      <c r="O97" s="54"/>
      <c r="P97"/>
      <c r="Q97" s="25"/>
      <c r="R97" s="54"/>
      <c r="W97" s="23"/>
      <c r="X97" s="23"/>
      <c r="Y97" s="23"/>
      <c r="Z97" s="43"/>
      <c r="AA97" s="23"/>
      <c r="AB97" s="23"/>
      <c r="AC97" s="23"/>
      <c r="AD97" s="23"/>
      <c r="AE97" s="23"/>
      <c r="AF97" s="23"/>
      <c r="AG97" s="23"/>
      <c r="AH97" s="23"/>
      <c r="AI97" s="49"/>
    </row>
    <row r="98" spans="1:35">
      <c r="A98" s="23"/>
      <c r="B98" s="42"/>
      <c r="C98" s="49"/>
      <c r="E98" s="49"/>
      <c r="G98" s="43"/>
      <c r="H98" s="44"/>
      <c r="L98" s="42"/>
      <c r="M98" s="42"/>
      <c r="N98" s="25"/>
      <c r="O98" s="54"/>
      <c r="P98"/>
      <c r="Q98" s="25"/>
      <c r="R98" s="54"/>
      <c r="W98" s="23"/>
      <c r="X98" s="23"/>
      <c r="Y98" s="23"/>
      <c r="Z98" s="43"/>
      <c r="AA98" s="23"/>
      <c r="AB98" s="23"/>
      <c r="AC98" s="23"/>
      <c r="AD98" s="23"/>
      <c r="AE98" s="23"/>
      <c r="AF98" s="23"/>
      <c r="AG98" s="23"/>
      <c r="AH98" s="23"/>
      <c r="AI98" s="49"/>
    </row>
    <row r="99" spans="1:35">
      <c r="A99" s="23"/>
      <c r="B99" s="42"/>
      <c r="C99" s="49"/>
      <c r="E99" s="49"/>
      <c r="G99" s="43"/>
      <c r="H99" s="44"/>
      <c r="L99" s="42"/>
      <c r="M99" s="42"/>
      <c r="N99" s="25"/>
      <c r="O99" s="54"/>
      <c r="P99"/>
      <c r="Q99" s="25"/>
      <c r="R99" s="54"/>
      <c r="W99" s="23"/>
      <c r="X99" s="23"/>
      <c r="Y99" s="23"/>
      <c r="Z99" s="43"/>
      <c r="AA99" s="23"/>
      <c r="AB99" s="23"/>
      <c r="AC99" s="23"/>
      <c r="AD99" s="23"/>
      <c r="AE99" s="23"/>
      <c r="AF99" s="23"/>
      <c r="AG99" s="23"/>
      <c r="AH99" s="23"/>
      <c r="AI99" s="49"/>
    </row>
    <row r="100" spans="1:35">
      <c r="A100" s="23"/>
      <c r="B100" s="42"/>
      <c r="C100" s="49"/>
      <c r="E100" s="49"/>
      <c r="G100" s="43"/>
      <c r="H100" s="44"/>
      <c r="L100" s="42"/>
      <c r="M100" s="42"/>
      <c r="N100" s="25"/>
      <c r="O100" s="54"/>
      <c r="P100"/>
      <c r="Q100" s="25"/>
      <c r="R100" s="54"/>
      <c r="W100" s="23"/>
      <c r="X100" s="23"/>
      <c r="Y100" s="23"/>
      <c r="Z100" s="43"/>
      <c r="AA100" s="23"/>
      <c r="AB100" s="23"/>
      <c r="AC100" s="23"/>
      <c r="AD100" s="23"/>
      <c r="AE100" s="23"/>
      <c r="AF100" s="23"/>
      <c r="AG100" s="23"/>
      <c r="AH100" s="23"/>
      <c r="AI100" s="49"/>
    </row>
    <row r="101" spans="1:35">
      <c r="B101" s="42"/>
      <c r="G101" s="43"/>
      <c r="H101" s="44"/>
      <c r="L101" s="42"/>
      <c r="M101" s="42"/>
      <c r="N101" s="25"/>
      <c r="O101" s="54"/>
      <c r="P101"/>
      <c r="Q101" s="25"/>
      <c r="R101" s="54"/>
      <c r="W101" s="23"/>
      <c r="X101" s="23"/>
      <c r="Y101" s="23"/>
      <c r="Z101" s="43"/>
      <c r="AA101" s="23"/>
      <c r="AB101" s="23"/>
      <c r="AC101" s="23"/>
      <c r="AD101" s="23"/>
      <c r="AE101" s="23"/>
      <c r="AF101" s="23"/>
      <c r="AG101" s="23"/>
      <c r="AH101" s="23"/>
      <c r="AI101" s="48"/>
    </row>
    <row r="102" spans="1:35">
      <c r="A102" s="23"/>
      <c r="B102" s="42"/>
      <c r="C102" s="49"/>
      <c r="E102" s="49"/>
      <c r="G102" s="43"/>
      <c r="H102" s="44"/>
      <c r="L102" s="42"/>
      <c r="M102" s="42"/>
      <c r="N102" s="25"/>
      <c r="O102" s="54"/>
      <c r="P102"/>
      <c r="Q102" s="25"/>
      <c r="R102" s="54"/>
      <c r="W102" s="23"/>
      <c r="X102" s="23"/>
      <c r="Y102" s="23"/>
      <c r="Z102" s="43"/>
      <c r="AA102" s="23"/>
      <c r="AB102" s="23"/>
      <c r="AC102" s="23"/>
      <c r="AD102" s="23"/>
      <c r="AE102" s="23"/>
      <c r="AF102" s="23"/>
      <c r="AG102" s="23"/>
      <c r="AH102" s="23"/>
      <c r="AI102" s="49"/>
    </row>
    <row r="103" spans="1:35">
      <c r="A103" s="23"/>
      <c r="B103" s="42"/>
      <c r="C103" s="49"/>
      <c r="E103" s="49"/>
      <c r="G103" s="43"/>
      <c r="H103" s="44"/>
      <c r="L103" s="42"/>
      <c r="M103" s="42"/>
      <c r="N103" s="25"/>
      <c r="O103" s="54"/>
      <c r="P103"/>
      <c r="Q103" s="25"/>
      <c r="R103" s="54"/>
      <c r="W103" s="23"/>
      <c r="X103" s="23"/>
      <c r="Y103" s="23"/>
      <c r="Z103" s="43"/>
      <c r="AA103" s="23"/>
      <c r="AB103" s="23"/>
      <c r="AC103" s="23"/>
      <c r="AD103" s="23"/>
      <c r="AE103" s="23"/>
      <c r="AF103" s="23"/>
      <c r="AG103" s="23"/>
      <c r="AH103" s="23"/>
      <c r="AI103" s="49"/>
    </row>
    <row r="104" spans="1:35">
      <c r="A104" s="23"/>
      <c r="B104" s="42"/>
      <c r="C104" s="49"/>
      <c r="E104" s="49"/>
      <c r="G104" s="43"/>
      <c r="H104" s="44"/>
      <c r="L104" s="42"/>
      <c r="M104" s="42"/>
      <c r="N104" s="25"/>
      <c r="O104" s="54"/>
      <c r="P104"/>
      <c r="Q104" s="25"/>
      <c r="R104" s="54"/>
      <c r="W104" s="23"/>
      <c r="X104" s="23"/>
      <c r="Y104" s="23"/>
      <c r="Z104" s="43"/>
      <c r="AA104" s="23"/>
      <c r="AB104" s="23"/>
      <c r="AC104" s="23"/>
      <c r="AD104" s="23"/>
      <c r="AE104" s="23"/>
      <c r="AF104" s="23"/>
      <c r="AG104" s="23"/>
      <c r="AH104" s="23"/>
      <c r="AI104" s="49"/>
    </row>
    <row r="105" spans="1:35">
      <c r="A105" s="23"/>
      <c r="B105" s="42"/>
      <c r="C105" s="49"/>
      <c r="E105" s="49"/>
      <c r="G105" s="43"/>
      <c r="H105" s="44"/>
      <c r="L105" s="42"/>
      <c r="M105" s="42"/>
      <c r="N105" s="25"/>
      <c r="O105" s="54"/>
      <c r="P105"/>
      <c r="Q105" s="25"/>
      <c r="R105" s="54"/>
      <c r="W105" s="23"/>
      <c r="X105" s="23"/>
      <c r="Y105" s="23"/>
      <c r="Z105" s="43"/>
      <c r="AA105" s="23"/>
      <c r="AB105" s="23"/>
      <c r="AC105" s="23"/>
      <c r="AD105" s="23"/>
      <c r="AE105" s="23"/>
      <c r="AF105" s="23"/>
      <c r="AG105" s="23"/>
      <c r="AH105" s="23"/>
      <c r="AI105" s="49"/>
    </row>
    <row r="106" spans="1:35">
      <c r="A106" s="23"/>
      <c r="B106" s="42"/>
      <c r="C106" s="49"/>
      <c r="E106" s="49"/>
      <c r="G106" s="43"/>
      <c r="H106" s="44"/>
      <c r="L106" s="42"/>
      <c r="M106" s="42"/>
      <c r="N106" s="25"/>
      <c r="O106" s="54"/>
      <c r="P106"/>
      <c r="Q106" s="25"/>
      <c r="R106" s="54"/>
      <c r="W106" s="23"/>
      <c r="X106" s="23"/>
      <c r="Y106" s="23"/>
      <c r="Z106" s="43"/>
      <c r="AA106" s="23"/>
      <c r="AB106" s="23"/>
      <c r="AC106" s="23"/>
      <c r="AD106" s="23"/>
      <c r="AE106" s="23"/>
      <c r="AF106" s="23"/>
      <c r="AG106" s="23"/>
      <c r="AH106" s="23"/>
      <c r="AI106" s="49"/>
    </row>
    <row r="107" spans="1:35">
      <c r="A107" s="23"/>
      <c r="B107" s="42"/>
      <c r="C107" s="49"/>
      <c r="E107" s="49"/>
      <c r="G107" s="43"/>
      <c r="H107" s="44"/>
      <c r="L107" s="42"/>
      <c r="M107" s="42"/>
      <c r="N107" s="25"/>
      <c r="O107" s="54"/>
      <c r="P107"/>
      <c r="Q107" s="25"/>
      <c r="R107" s="54"/>
      <c r="W107" s="23"/>
      <c r="X107" s="23"/>
      <c r="Y107" s="23"/>
      <c r="Z107" s="43"/>
      <c r="AA107" s="23"/>
      <c r="AB107" s="23"/>
      <c r="AC107" s="23"/>
      <c r="AD107" s="23"/>
      <c r="AE107" s="23"/>
      <c r="AF107" s="23"/>
      <c r="AG107" s="23"/>
      <c r="AH107" s="23"/>
      <c r="AI107" s="49"/>
    </row>
    <row r="108" spans="1:35">
      <c r="A108" s="23"/>
      <c r="B108" s="42"/>
      <c r="C108" s="49"/>
      <c r="E108" s="49"/>
      <c r="G108" s="43"/>
      <c r="H108" s="44"/>
      <c r="L108" s="42"/>
      <c r="M108" s="42"/>
      <c r="N108" s="25"/>
      <c r="O108" s="54"/>
      <c r="P108"/>
      <c r="Q108" s="25"/>
      <c r="R108" s="54"/>
      <c r="W108" s="23"/>
      <c r="X108" s="23"/>
      <c r="Y108" s="23"/>
      <c r="Z108" s="43"/>
      <c r="AA108" s="23"/>
      <c r="AB108" s="23"/>
      <c r="AC108" s="23"/>
      <c r="AD108" s="23"/>
      <c r="AE108" s="23"/>
      <c r="AF108" s="23"/>
      <c r="AG108" s="23"/>
      <c r="AH108" s="23"/>
      <c r="AI108" s="49"/>
    </row>
    <row r="109" spans="1:35">
      <c r="A109" s="23"/>
      <c r="B109" s="42"/>
      <c r="C109" s="49"/>
      <c r="E109" s="49"/>
      <c r="G109" s="43"/>
      <c r="H109" s="44"/>
      <c r="L109" s="42"/>
      <c r="M109" s="42"/>
      <c r="N109" s="25"/>
      <c r="O109" s="54"/>
      <c r="P109"/>
      <c r="Q109" s="25"/>
      <c r="R109" s="54"/>
      <c r="W109" s="23"/>
      <c r="X109" s="23"/>
      <c r="Y109" s="23"/>
      <c r="Z109" s="43"/>
      <c r="AA109" s="23"/>
      <c r="AB109" s="23"/>
      <c r="AC109" s="23"/>
      <c r="AD109" s="23"/>
      <c r="AE109" s="23"/>
      <c r="AF109" s="23"/>
      <c r="AG109" s="23"/>
      <c r="AH109" s="23"/>
      <c r="AI109" s="49"/>
    </row>
    <row r="110" spans="1:35">
      <c r="A110" s="23"/>
      <c r="B110" s="42"/>
      <c r="C110" s="49"/>
      <c r="E110" s="49"/>
      <c r="G110" s="43"/>
      <c r="H110" s="44"/>
      <c r="L110" s="42"/>
      <c r="M110" s="42"/>
      <c r="N110" s="25"/>
      <c r="O110" s="54"/>
      <c r="P110"/>
      <c r="Q110" s="25"/>
      <c r="R110" s="54"/>
      <c r="W110" s="23"/>
      <c r="X110" s="23"/>
      <c r="Y110" s="23"/>
      <c r="Z110" s="43"/>
      <c r="AA110" s="23"/>
      <c r="AB110" s="23"/>
      <c r="AC110" s="23"/>
      <c r="AD110" s="23"/>
      <c r="AE110" s="23"/>
      <c r="AF110" s="23"/>
      <c r="AG110" s="23"/>
      <c r="AH110" s="23"/>
      <c r="AI110" s="49"/>
    </row>
    <row r="111" spans="1:35">
      <c r="A111" s="23"/>
      <c r="B111" s="42"/>
      <c r="C111" s="49"/>
      <c r="E111" s="49"/>
      <c r="G111" s="43"/>
      <c r="H111" s="44"/>
      <c r="L111" s="42"/>
      <c r="M111" s="42"/>
      <c r="N111" s="25"/>
      <c r="O111" s="54"/>
      <c r="P111"/>
      <c r="Q111" s="25"/>
      <c r="R111" s="54"/>
      <c r="W111" s="23"/>
      <c r="X111" s="23"/>
      <c r="Y111" s="23"/>
      <c r="Z111" s="43"/>
      <c r="AA111" s="23"/>
      <c r="AB111" s="23"/>
      <c r="AC111" s="23"/>
      <c r="AD111" s="23"/>
      <c r="AE111" s="23"/>
      <c r="AF111" s="23"/>
      <c r="AG111" s="23"/>
      <c r="AH111" s="23"/>
      <c r="AI111" s="49"/>
    </row>
    <row r="112" spans="1:35">
      <c r="A112" s="23"/>
      <c r="B112" s="42"/>
      <c r="C112" s="49"/>
      <c r="E112" s="49"/>
      <c r="G112" s="43"/>
      <c r="H112" s="44"/>
      <c r="L112" s="42"/>
      <c r="M112" s="42"/>
      <c r="N112" s="25"/>
      <c r="O112" s="54"/>
      <c r="P112"/>
      <c r="Q112" s="25"/>
      <c r="R112" s="54"/>
      <c r="W112" s="23"/>
      <c r="X112" s="23"/>
      <c r="Y112" s="23"/>
      <c r="Z112" s="43"/>
      <c r="AA112" s="23"/>
      <c r="AB112" s="23"/>
      <c r="AC112" s="23"/>
      <c r="AD112" s="23"/>
      <c r="AE112" s="23"/>
      <c r="AF112" s="23"/>
      <c r="AG112" s="23"/>
      <c r="AH112" s="23"/>
      <c r="AI112" s="49"/>
    </row>
    <row r="113" spans="1:35">
      <c r="A113" s="23"/>
      <c r="B113" s="42"/>
      <c r="C113" s="49"/>
      <c r="E113" s="49"/>
      <c r="G113" s="43"/>
      <c r="H113" s="44"/>
      <c r="L113" s="42"/>
      <c r="M113" s="42"/>
      <c r="N113" s="25"/>
      <c r="O113" s="54"/>
      <c r="P113"/>
      <c r="Q113" s="25"/>
      <c r="R113" s="54"/>
      <c r="W113" s="23"/>
      <c r="X113" s="23"/>
      <c r="Y113" s="23"/>
      <c r="Z113" s="43"/>
      <c r="AA113" s="23"/>
      <c r="AB113" s="23"/>
      <c r="AC113" s="23"/>
      <c r="AD113" s="23"/>
      <c r="AE113" s="23"/>
      <c r="AF113" s="23"/>
      <c r="AG113" s="23"/>
      <c r="AH113" s="23"/>
      <c r="AI113" s="49"/>
    </row>
    <row r="114" spans="1:35">
      <c r="A114" s="23"/>
      <c r="B114" s="42"/>
      <c r="C114" s="49"/>
      <c r="E114" s="49"/>
      <c r="G114" s="43"/>
      <c r="H114" s="44"/>
      <c r="L114" s="42"/>
      <c r="M114" s="42"/>
      <c r="N114" s="25"/>
      <c r="O114" s="54"/>
      <c r="P114"/>
      <c r="Q114" s="25"/>
      <c r="R114" s="54"/>
      <c r="W114" s="23"/>
      <c r="X114" s="23"/>
      <c r="Y114" s="23"/>
      <c r="Z114" s="43"/>
      <c r="AA114" s="23"/>
      <c r="AB114" s="23"/>
      <c r="AC114" s="23"/>
      <c r="AD114" s="23"/>
      <c r="AE114" s="23"/>
      <c r="AF114" s="23"/>
      <c r="AG114" s="23"/>
      <c r="AH114" s="23"/>
      <c r="AI114" s="49"/>
    </row>
    <row r="115" spans="1:35">
      <c r="A115" s="23"/>
      <c r="B115" s="42"/>
      <c r="C115" s="49"/>
      <c r="E115" s="49"/>
      <c r="G115" s="43"/>
      <c r="H115" s="44"/>
      <c r="L115" s="42"/>
      <c r="M115" s="42"/>
      <c r="N115" s="25"/>
      <c r="O115" s="54"/>
      <c r="P115"/>
      <c r="Q115" s="25"/>
      <c r="R115" s="54"/>
      <c r="W115" s="23"/>
      <c r="X115" s="23"/>
      <c r="Y115" s="23"/>
      <c r="Z115" s="43"/>
      <c r="AA115" s="23"/>
      <c r="AB115" s="23"/>
      <c r="AC115" s="23"/>
      <c r="AD115" s="23"/>
      <c r="AE115" s="23"/>
      <c r="AF115" s="23"/>
      <c r="AG115" s="23"/>
      <c r="AH115" s="23"/>
      <c r="AI115" s="49"/>
    </row>
    <row r="116" spans="1:35">
      <c r="A116" s="23"/>
      <c r="B116" s="42"/>
      <c r="C116" s="49"/>
      <c r="E116" s="49"/>
      <c r="G116" s="43"/>
      <c r="H116" s="44"/>
      <c r="L116" s="42"/>
      <c r="M116" s="42"/>
      <c r="N116" s="25"/>
      <c r="O116" s="54"/>
      <c r="P116"/>
      <c r="Q116" s="25"/>
      <c r="R116" s="54"/>
      <c r="W116" s="23"/>
      <c r="X116" s="23"/>
      <c r="Y116" s="23"/>
      <c r="Z116" s="43"/>
      <c r="AA116" s="23"/>
      <c r="AB116" s="23"/>
      <c r="AC116" s="23"/>
      <c r="AD116" s="23"/>
      <c r="AE116" s="23"/>
      <c r="AF116" s="23"/>
      <c r="AG116" s="23"/>
      <c r="AH116" s="23"/>
      <c r="AI116" s="49"/>
    </row>
    <row r="117" spans="1:35">
      <c r="A117" s="23"/>
      <c r="B117" s="42"/>
      <c r="C117" s="49"/>
      <c r="E117" s="49"/>
      <c r="G117" s="43"/>
      <c r="H117" s="44"/>
      <c r="L117" s="42"/>
      <c r="M117" s="42"/>
      <c r="N117" s="25"/>
      <c r="O117" s="54"/>
      <c r="P117"/>
      <c r="Q117" s="25"/>
      <c r="R117" s="54"/>
      <c r="W117" s="23"/>
      <c r="X117" s="23"/>
      <c r="Y117" s="23"/>
      <c r="Z117" s="43"/>
      <c r="AA117" s="23"/>
      <c r="AB117" s="23"/>
      <c r="AC117" s="23"/>
      <c r="AD117" s="23"/>
      <c r="AE117" s="23"/>
      <c r="AF117" s="23"/>
      <c r="AG117" s="23"/>
      <c r="AH117" s="23"/>
      <c r="AI117" s="49"/>
    </row>
    <row r="118" spans="1:35">
      <c r="A118" s="23"/>
      <c r="B118" s="42"/>
      <c r="C118" s="49"/>
      <c r="E118" s="49"/>
      <c r="G118" s="43"/>
      <c r="H118" s="44"/>
      <c r="L118" s="42"/>
      <c r="M118" s="42"/>
      <c r="N118" s="25"/>
      <c r="O118" s="54"/>
      <c r="P118"/>
      <c r="Q118" s="25"/>
      <c r="R118" s="54"/>
      <c r="W118" s="23"/>
      <c r="X118" s="23"/>
      <c r="Y118" s="23"/>
      <c r="Z118" s="43"/>
      <c r="AA118" s="23"/>
      <c r="AB118" s="23"/>
      <c r="AC118" s="23"/>
      <c r="AD118" s="23"/>
      <c r="AE118" s="23"/>
      <c r="AF118" s="23"/>
      <c r="AG118" s="23"/>
      <c r="AH118" s="23"/>
      <c r="AI118" s="49"/>
    </row>
    <row r="119" spans="1:35">
      <c r="A119" s="23"/>
      <c r="B119" s="42"/>
      <c r="C119" s="55"/>
      <c r="E119" s="49"/>
      <c r="G119" s="43"/>
      <c r="H119" s="44"/>
      <c r="L119" s="42"/>
      <c r="M119" s="42"/>
      <c r="N119" s="25"/>
      <c r="O119" s="54"/>
      <c r="P119"/>
      <c r="Q119" s="25"/>
      <c r="R119" s="54"/>
      <c r="W119" s="23"/>
      <c r="X119" s="23"/>
      <c r="Y119" s="23"/>
      <c r="Z119" s="43"/>
      <c r="AA119" s="23"/>
      <c r="AB119" s="23"/>
      <c r="AC119" s="23"/>
      <c r="AD119" s="23"/>
      <c r="AE119" s="23"/>
      <c r="AF119" s="23"/>
      <c r="AG119" s="23"/>
      <c r="AH119" s="23"/>
      <c r="AI119" s="49"/>
    </row>
    <row r="120" spans="1:35">
      <c r="A120" s="23"/>
      <c r="B120" s="42"/>
      <c r="C120" s="49"/>
      <c r="E120" s="49"/>
      <c r="G120" s="43"/>
      <c r="H120" s="44"/>
      <c r="L120" s="42"/>
      <c r="M120" s="42"/>
      <c r="N120" s="25"/>
      <c r="O120" s="54"/>
      <c r="P120"/>
      <c r="Q120" s="25"/>
      <c r="R120" s="54"/>
      <c r="W120" s="23"/>
      <c r="X120" s="23"/>
      <c r="Y120" s="23"/>
      <c r="Z120" s="43"/>
      <c r="AA120" s="23"/>
      <c r="AB120" s="23"/>
      <c r="AC120" s="23"/>
      <c r="AD120" s="23"/>
      <c r="AE120" s="23"/>
      <c r="AF120" s="23"/>
      <c r="AG120" s="23"/>
      <c r="AH120" s="23"/>
      <c r="AI120" s="49"/>
    </row>
    <row r="121" spans="1:35">
      <c r="A121" s="23"/>
      <c r="B121" s="42"/>
      <c r="C121" s="49"/>
      <c r="E121" s="49"/>
      <c r="G121" s="43"/>
      <c r="H121" s="44"/>
      <c r="L121" s="42"/>
      <c r="M121" s="42"/>
      <c r="N121" s="25"/>
      <c r="O121" s="54"/>
      <c r="P121"/>
      <c r="Q121" s="25"/>
      <c r="R121" s="54"/>
      <c r="W121" s="23"/>
      <c r="X121" s="23"/>
      <c r="Y121" s="23"/>
      <c r="Z121" s="43"/>
      <c r="AA121" s="23"/>
      <c r="AB121" s="23"/>
      <c r="AC121" s="23"/>
      <c r="AD121" s="23"/>
      <c r="AE121" s="23"/>
      <c r="AF121" s="23"/>
      <c r="AG121" s="23"/>
      <c r="AH121" s="23"/>
      <c r="AI121" s="49"/>
    </row>
    <row r="122" spans="1:35">
      <c r="A122" s="23"/>
      <c r="B122" s="42"/>
      <c r="C122" s="49"/>
      <c r="E122" s="49"/>
      <c r="G122" s="43"/>
      <c r="H122" s="44"/>
      <c r="L122" s="42"/>
      <c r="M122" s="42"/>
      <c r="N122" s="25"/>
      <c r="O122" s="54"/>
      <c r="P122"/>
      <c r="Q122" s="25"/>
      <c r="R122" s="54"/>
      <c r="W122" s="23"/>
      <c r="X122" s="23"/>
      <c r="Y122" s="23"/>
      <c r="Z122" s="43"/>
      <c r="AA122" s="23"/>
      <c r="AB122" s="23"/>
      <c r="AC122" s="23"/>
      <c r="AD122" s="23"/>
      <c r="AE122" s="23"/>
      <c r="AF122" s="23"/>
      <c r="AG122" s="23"/>
      <c r="AH122" s="23"/>
      <c r="AI122" s="49"/>
    </row>
    <row r="123" spans="1:35">
      <c r="A123" s="23"/>
      <c r="B123" s="42"/>
      <c r="C123" s="49"/>
      <c r="E123" s="49"/>
      <c r="G123" s="43"/>
      <c r="H123" s="44"/>
      <c r="L123" s="42"/>
      <c r="M123" s="42"/>
      <c r="N123" s="25"/>
      <c r="O123" s="54"/>
      <c r="P123"/>
      <c r="Q123" s="25"/>
      <c r="R123" s="54"/>
      <c r="W123" s="23"/>
      <c r="X123" s="23"/>
      <c r="Y123" s="23"/>
      <c r="Z123" s="43"/>
      <c r="AA123" s="23"/>
      <c r="AB123" s="23"/>
      <c r="AC123" s="23"/>
      <c r="AD123" s="23"/>
      <c r="AE123" s="23"/>
      <c r="AF123" s="23"/>
      <c r="AG123" s="23"/>
      <c r="AH123" s="23"/>
      <c r="AI123" s="49"/>
    </row>
    <row r="124" spans="1:35">
      <c r="A124" s="23"/>
      <c r="B124" s="42"/>
      <c r="C124" s="49"/>
      <c r="E124" s="49"/>
      <c r="G124" s="43"/>
      <c r="H124" s="44"/>
      <c r="L124" s="42"/>
      <c r="M124" s="42"/>
      <c r="N124" s="25"/>
      <c r="O124" s="54"/>
      <c r="P124"/>
      <c r="Q124" s="25"/>
      <c r="R124" s="54"/>
      <c r="W124" s="23"/>
      <c r="X124" s="23"/>
      <c r="Y124" s="23"/>
      <c r="Z124" s="43"/>
      <c r="AA124" s="23"/>
      <c r="AB124" s="23"/>
      <c r="AC124" s="23"/>
      <c r="AD124" s="23"/>
      <c r="AE124" s="23"/>
      <c r="AF124" s="23"/>
      <c r="AG124" s="23"/>
      <c r="AH124" s="23"/>
      <c r="AI124" s="49"/>
    </row>
    <row r="125" spans="1:35">
      <c r="A125" s="23"/>
      <c r="B125" s="42"/>
      <c r="C125" s="49"/>
      <c r="E125" s="49"/>
      <c r="G125" s="43"/>
      <c r="H125" s="44"/>
      <c r="L125" s="42"/>
      <c r="M125" s="42"/>
      <c r="N125" s="25"/>
      <c r="O125" s="54"/>
      <c r="P125"/>
      <c r="Q125" s="25"/>
      <c r="R125" s="54"/>
      <c r="W125" s="23"/>
      <c r="X125" s="23"/>
      <c r="Y125" s="23"/>
      <c r="Z125" s="43"/>
      <c r="AA125" s="23"/>
      <c r="AB125" s="23"/>
      <c r="AC125" s="23"/>
      <c r="AD125" s="23"/>
      <c r="AE125" s="23"/>
      <c r="AF125" s="23"/>
      <c r="AG125" s="23"/>
      <c r="AH125" s="23"/>
      <c r="AI125" s="49"/>
    </row>
    <row r="126" spans="1:35">
      <c r="A126" s="23"/>
      <c r="B126" s="42"/>
      <c r="C126" s="49"/>
      <c r="E126" s="49"/>
      <c r="G126" s="43"/>
      <c r="H126" s="44"/>
      <c r="L126" s="42"/>
      <c r="M126" s="42"/>
      <c r="N126" s="25"/>
      <c r="O126" s="54"/>
      <c r="P126"/>
      <c r="Q126" s="25"/>
      <c r="R126" s="54"/>
      <c r="W126" s="23"/>
      <c r="X126" s="23"/>
      <c r="Y126" s="23"/>
      <c r="Z126" s="43"/>
      <c r="AA126" s="23"/>
      <c r="AB126" s="23"/>
      <c r="AC126" s="23"/>
      <c r="AD126" s="23"/>
      <c r="AE126" s="23"/>
      <c r="AF126" s="23"/>
      <c r="AG126" s="23"/>
      <c r="AH126" s="23"/>
      <c r="AI126" s="49"/>
    </row>
    <row r="127" spans="1:35">
      <c r="A127" s="23"/>
      <c r="B127" s="42"/>
      <c r="C127" s="49"/>
      <c r="E127" s="49"/>
      <c r="G127" s="43"/>
      <c r="H127" s="44"/>
      <c r="L127" s="42"/>
      <c r="M127" s="42"/>
      <c r="N127" s="25"/>
      <c r="O127" s="54"/>
      <c r="P127"/>
      <c r="Q127" s="25"/>
      <c r="R127" s="54"/>
      <c r="W127" s="23"/>
      <c r="X127" s="23"/>
      <c r="Y127" s="23"/>
      <c r="Z127" s="43"/>
      <c r="AA127" s="23"/>
      <c r="AB127" s="23"/>
      <c r="AC127" s="23"/>
      <c r="AD127" s="23"/>
      <c r="AE127" s="23"/>
      <c r="AF127" s="23"/>
      <c r="AG127" s="23"/>
      <c r="AH127" s="23"/>
      <c r="AI127" s="49"/>
    </row>
    <row r="128" spans="1:35">
      <c r="A128" s="23"/>
      <c r="B128" s="42"/>
      <c r="C128" s="49"/>
      <c r="E128" s="49"/>
      <c r="G128" s="43"/>
      <c r="H128" s="44"/>
      <c r="L128" s="42"/>
      <c r="M128" s="42"/>
      <c r="N128" s="25"/>
      <c r="O128" s="54"/>
      <c r="P128"/>
      <c r="Q128" s="25"/>
      <c r="R128" s="54"/>
      <c r="W128" s="23"/>
      <c r="X128" s="23"/>
      <c r="Y128" s="23"/>
      <c r="Z128" s="43"/>
      <c r="AA128" s="23"/>
      <c r="AB128" s="23"/>
      <c r="AC128" s="23"/>
      <c r="AD128" s="23"/>
      <c r="AE128" s="23"/>
      <c r="AF128" s="23"/>
      <c r="AG128" s="23"/>
      <c r="AH128" s="23"/>
      <c r="AI128" s="49"/>
    </row>
    <row r="129" spans="1:35">
      <c r="A129" s="23"/>
      <c r="B129" s="42"/>
      <c r="C129" s="49"/>
      <c r="E129" s="49"/>
      <c r="G129" s="43"/>
      <c r="H129" s="44"/>
      <c r="L129" s="42"/>
      <c r="M129" s="42"/>
      <c r="N129" s="25"/>
      <c r="O129" s="54"/>
      <c r="P129"/>
      <c r="Q129" s="25"/>
      <c r="R129" s="54"/>
      <c r="W129" s="23"/>
      <c r="X129" s="23"/>
      <c r="Y129" s="23"/>
      <c r="Z129" s="43"/>
      <c r="AA129" s="23"/>
      <c r="AB129" s="23"/>
      <c r="AC129" s="23"/>
      <c r="AD129" s="23"/>
      <c r="AE129" s="23"/>
      <c r="AF129" s="23"/>
      <c r="AG129" s="23"/>
      <c r="AH129" s="23"/>
      <c r="AI129" s="49"/>
    </row>
    <row r="130" spans="1:35">
      <c r="A130" s="23"/>
      <c r="B130" s="42"/>
      <c r="C130" s="49"/>
      <c r="E130" s="49"/>
      <c r="G130" s="43"/>
      <c r="H130" s="44"/>
      <c r="L130" s="42"/>
      <c r="M130" s="42"/>
      <c r="N130" s="25"/>
      <c r="O130" s="54"/>
      <c r="P130"/>
      <c r="Q130" s="25"/>
      <c r="R130" s="54"/>
      <c r="W130" s="23"/>
      <c r="X130" s="23"/>
      <c r="Y130" s="23"/>
      <c r="Z130" s="43"/>
      <c r="AA130" s="23"/>
      <c r="AB130" s="23"/>
      <c r="AC130" s="23"/>
      <c r="AD130" s="23"/>
      <c r="AE130" s="23"/>
      <c r="AF130" s="23"/>
      <c r="AG130" s="23"/>
      <c r="AH130" s="23"/>
      <c r="AI130" s="49"/>
    </row>
    <row r="131" spans="1:35">
      <c r="A131" s="23"/>
      <c r="B131" s="42"/>
      <c r="C131" s="49"/>
      <c r="E131" s="49"/>
      <c r="G131" s="43"/>
      <c r="H131" s="44"/>
      <c r="L131" s="42"/>
      <c r="M131" s="42"/>
      <c r="N131" s="25"/>
      <c r="O131" s="54"/>
      <c r="P131"/>
      <c r="Q131" s="25"/>
      <c r="R131" s="54"/>
      <c r="W131" s="23"/>
      <c r="X131" s="23"/>
      <c r="Y131" s="23"/>
      <c r="Z131" s="43"/>
      <c r="AA131" s="23"/>
      <c r="AB131" s="23"/>
      <c r="AC131" s="23"/>
      <c r="AD131" s="23"/>
      <c r="AE131" s="23"/>
      <c r="AF131" s="23"/>
      <c r="AG131" s="23"/>
      <c r="AH131" s="23"/>
      <c r="AI131" s="49"/>
    </row>
    <row r="132" spans="1:35">
      <c r="A132" s="23"/>
      <c r="B132" s="42"/>
      <c r="C132" s="49"/>
      <c r="E132" s="49"/>
      <c r="G132" s="43"/>
      <c r="H132" s="44"/>
      <c r="L132" s="42"/>
      <c r="M132" s="42"/>
      <c r="N132" s="25"/>
      <c r="O132" s="54"/>
      <c r="P132"/>
      <c r="Q132" s="25"/>
      <c r="R132" s="54"/>
      <c r="W132" s="23"/>
      <c r="X132" s="23"/>
      <c r="Y132" s="23"/>
      <c r="Z132" s="43"/>
      <c r="AA132" s="23"/>
      <c r="AB132" s="23"/>
      <c r="AC132" s="23"/>
      <c r="AD132" s="23"/>
      <c r="AE132" s="23"/>
      <c r="AF132" s="23"/>
      <c r="AG132" s="23"/>
      <c r="AH132" s="23"/>
      <c r="AI132" s="49"/>
    </row>
    <row r="133" spans="1:35">
      <c r="A133" s="23"/>
      <c r="B133" s="42"/>
      <c r="C133" s="49"/>
      <c r="E133" s="49"/>
      <c r="G133" s="43"/>
      <c r="H133" s="44"/>
      <c r="L133" s="42"/>
      <c r="M133" s="42"/>
      <c r="N133" s="25"/>
      <c r="O133" s="54"/>
      <c r="P133"/>
      <c r="Q133" s="25"/>
      <c r="R133" s="54"/>
      <c r="W133" s="23"/>
      <c r="X133" s="23"/>
      <c r="Y133" s="23"/>
      <c r="Z133" s="43"/>
      <c r="AA133" s="23"/>
      <c r="AB133" s="23"/>
      <c r="AC133" s="23"/>
      <c r="AD133" s="23"/>
      <c r="AE133" s="23"/>
      <c r="AF133" s="23"/>
      <c r="AG133" s="23"/>
      <c r="AH133" s="23"/>
      <c r="AI133" s="49"/>
    </row>
    <row r="134" spans="1:35">
      <c r="A134" s="23"/>
      <c r="B134" s="42"/>
      <c r="C134" s="49"/>
      <c r="E134" s="49"/>
      <c r="G134" s="43"/>
      <c r="H134" s="44"/>
      <c r="L134" s="42"/>
      <c r="M134" s="42"/>
      <c r="N134" s="25"/>
      <c r="O134" s="54"/>
      <c r="P134"/>
      <c r="Q134" s="25"/>
      <c r="R134" s="54"/>
      <c r="W134" s="23"/>
      <c r="X134" s="23"/>
      <c r="Y134" s="23"/>
      <c r="Z134" s="43"/>
      <c r="AA134" s="23"/>
      <c r="AB134" s="23"/>
      <c r="AC134" s="23"/>
      <c r="AD134" s="23"/>
      <c r="AE134" s="23"/>
      <c r="AF134" s="23"/>
      <c r="AG134" s="23"/>
      <c r="AH134" s="23"/>
      <c r="AI134" s="49"/>
    </row>
    <row r="135" spans="1:35">
      <c r="A135" s="23"/>
      <c r="B135" s="42"/>
      <c r="C135" s="49"/>
      <c r="E135" s="49"/>
      <c r="G135" s="43"/>
      <c r="H135" s="44"/>
      <c r="L135" s="42"/>
      <c r="M135" s="42"/>
      <c r="N135" s="25"/>
      <c r="O135" s="54"/>
      <c r="P135"/>
      <c r="Q135" s="25"/>
      <c r="R135" s="54"/>
      <c r="W135" s="23"/>
      <c r="X135" s="23"/>
      <c r="Y135" s="23"/>
      <c r="Z135" s="43"/>
      <c r="AA135" s="23"/>
      <c r="AB135" s="23"/>
      <c r="AC135" s="23"/>
      <c r="AD135" s="23"/>
      <c r="AE135" s="23"/>
      <c r="AF135" s="23"/>
      <c r="AG135" s="23"/>
      <c r="AH135" s="23"/>
      <c r="AI135" s="49"/>
    </row>
    <row r="136" spans="1:35">
      <c r="A136" s="23"/>
      <c r="B136" s="42"/>
      <c r="C136" s="49"/>
      <c r="E136" s="49"/>
      <c r="G136" s="43"/>
      <c r="H136" s="44"/>
      <c r="L136" s="42"/>
      <c r="M136" s="42"/>
      <c r="N136" s="25"/>
      <c r="O136" s="54"/>
      <c r="P136"/>
      <c r="Q136" s="25"/>
      <c r="R136" s="54"/>
      <c r="W136" s="23"/>
      <c r="X136" s="23"/>
      <c r="Y136" s="23"/>
      <c r="Z136" s="43"/>
      <c r="AA136" s="23"/>
      <c r="AB136" s="23"/>
      <c r="AC136" s="23"/>
      <c r="AD136" s="23"/>
      <c r="AE136" s="23"/>
      <c r="AF136" s="23"/>
      <c r="AG136" s="23"/>
      <c r="AH136" s="23"/>
      <c r="AI136" s="49"/>
    </row>
    <row r="137" spans="1:35">
      <c r="A137" s="23"/>
      <c r="B137" s="42"/>
      <c r="C137" s="49"/>
      <c r="E137" s="49"/>
      <c r="G137" s="43"/>
      <c r="H137" s="44"/>
      <c r="L137" s="42"/>
      <c r="M137" s="42"/>
      <c r="N137" s="25"/>
      <c r="O137" s="54"/>
      <c r="P137"/>
      <c r="Q137" s="25"/>
      <c r="R137" s="54"/>
      <c r="W137" s="23"/>
      <c r="X137" s="23"/>
      <c r="Y137" s="23"/>
      <c r="Z137" s="43"/>
      <c r="AA137" s="23"/>
      <c r="AB137" s="23"/>
      <c r="AC137" s="23"/>
      <c r="AD137" s="23"/>
      <c r="AE137" s="23"/>
      <c r="AF137" s="23"/>
      <c r="AG137" s="23"/>
      <c r="AH137" s="23"/>
      <c r="AI137" s="49"/>
    </row>
    <row r="138" spans="1:35">
      <c r="A138" s="23"/>
      <c r="B138" s="42"/>
      <c r="C138" s="49"/>
      <c r="E138" s="49"/>
      <c r="G138" s="43"/>
      <c r="H138" s="44"/>
      <c r="L138" s="42"/>
      <c r="M138" s="42"/>
      <c r="N138" s="25"/>
      <c r="O138" s="54"/>
      <c r="P138"/>
      <c r="Q138" s="25"/>
      <c r="R138" s="54"/>
      <c r="W138" s="23"/>
      <c r="X138" s="23"/>
      <c r="Y138" s="23"/>
      <c r="Z138" s="43"/>
      <c r="AA138" s="23"/>
      <c r="AB138" s="23"/>
      <c r="AC138" s="23"/>
      <c r="AD138" s="23"/>
      <c r="AE138" s="23"/>
      <c r="AF138" s="23"/>
      <c r="AG138" s="23"/>
      <c r="AH138" s="23"/>
      <c r="AI138" s="49"/>
    </row>
    <row r="139" spans="1:35">
      <c r="A139" s="23"/>
      <c r="B139" s="42"/>
      <c r="C139" s="49"/>
      <c r="E139" s="49"/>
      <c r="G139" s="43"/>
      <c r="H139" s="44"/>
      <c r="L139" s="42"/>
      <c r="M139" s="42"/>
      <c r="N139" s="25"/>
      <c r="O139" s="54"/>
      <c r="P139"/>
      <c r="Q139" s="25"/>
      <c r="R139" s="54"/>
      <c r="W139" s="23"/>
      <c r="X139" s="23"/>
      <c r="Y139" s="23"/>
      <c r="Z139" s="43"/>
      <c r="AA139" s="23"/>
      <c r="AB139" s="23"/>
      <c r="AC139" s="23"/>
      <c r="AD139" s="23"/>
      <c r="AE139" s="23"/>
      <c r="AF139" s="23"/>
      <c r="AG139" s="23"/>
      <c r="AH139" s="23"/>
      <c r="AI139" s="49"/>
    </row>
    <row r="140" spans="1:35">
      <c r="A140" s="23"/>
      <c r="B140" s="42"/>
      <c r="C140" s="49"/>
      <c r="E140" s="49"/>
      <c r="G140" s="43"/>
      <c r="H140" s="44"/>
      <c r="L140" s="42"/>
      <c r="M140" s="42"/>
      <c r="N140" s="25"/>
      <c r="O140" s="54"/>
      <c r="P140"/>
      <c r="Q140" s="25"/>
      <c r="R140" s="54"/>
      <c r="W140" s="23"/>
      <c r="X140" s="23"/>
      <c r="Y140" s="23"/>
      <c r="Z140" s="43"/>
      <c r="AA140" s="23"/>
      <c r="AB140" s="23"/>
      <c r="AC140" s="23"/>
      <c r="AD140" s="23"/>
      <c r="AE140" s="23"/>
      <c r="AF140" s="23"/>
      <c r="AG140" s="23"/>
      <c r="AH140" s="23"/>
      <c r="AI140" s="49"/>
    </row>
    <row r="141" spans="1:35">
      <c r="A141" s="23"/>
      <c r="B141" s="42"/>
      <c r="C141" s="49"/>
      <c r="E141" s="49"/>
      <c r="G141" s="43"/>
      <c r="H141" s="44"/>
      <c r="L141" s="42"/>
      <c r="M141" s="42"/>
      <c r="N141" s="25"/>
      <c r="O141" s="54"/>
      <c r="P141"/>
      <c r="Q141" s="25"/>
      <c r="R141" s="54"/>
      <c r="W141" s="23"/>
      <c r="X141" s="23"/>
      <c r="Y141" s="23"/>
      <c r="Z141" s="43"/>
      <c r="AA141" s="23"/>
      <c r="AB141" s="23"/>
      <c r="AC141" s="23"/>
      <c r="AD141" s="23"/>
      <c r="AE141" s="23"/>
      <c r="AF141" s="23"/>
      <c r="AG141" s="23"/>
      <c r="AH141" s="23"/>
      <c r="AI141" s="49"/>
    </row>
    <row r="142" spans="1:35">
      <c r="A142" s="23"/>
      <c r="B142" s="42"/>
      <c r="C142" s="49"/>
      <c r="E142" s="49"/>
      <c r="G142" s="43"/>
      <c r="H142" s="44"/>
      <c r="L142" s="42"/>
      <c r="M142" s="42"/>
      <c r="N142" s="25"/>
      <c r="O142" s="54"/>
      <c r="P142"/>
      <c r="Q142" s="25"/>
      <c r="R142" s="54"/>
      <c r="W142" s="23"/>
      <c r="X142" s="23"/>
      <c r="Y142" s="23"/>
      <c r="Z142" s="43"/>
      <c r="AA142" s="23"/>
      <c r="AB142" s="23"/>
      <c r="AC142" s="23"/>
      <c r="AD142" s="23"/>
      <c r="AE142" s="23"/>
      <c r="AF142" s="23"/>
      <c r="AG142" s="23"/>
      <c r="AH142" s="23"/>
      <c r="AI142" s="49"/>
    </row>
    <row r="143" spans="1:35">
      <c r="A143" s="23"/>
      <c r="B143" s="42"/>
      <c r="C143" s="49"/>
      <c r="E143" s="49"/>
      <c r="G143" s="43"/>
      <c r="H143" s="44"/>
      <c r="L143" s="42"/>
      <c r="M143" s="42"/>
      <c r="N143" s="25"/>
      <c r="O143" s="54"/>
      <c r="P143"/>
      <c r="Q143" s="25"/>
      <c r="R143" s="54"/>
      <c r="W143" s="23"/>
      <c r="X143" s="23"/>
      <c r="Y143" s="23"/>
      <c r="Z143" s="43"/>
      <c r="AA143" s="23"/>
      <c r="AB143" s="23"/>
      <c r="AC143" s="23"/>
      <c r="AD143" s="23"/>
      <c r="AE143" s="23"/>
      <c r="AF143" s="23"/>
      <c r="AG143" s="23"/>
      <c r="AH143" s="23"/>
      <c r="AI143" s="49"/>
    </row>
    <row r="144" spans="1:35">
      <c r="A144" s="23"/>
      <c r="B144" s="42"/>
      <c r="C144" s="49"/>
      <c r="E144" s="49"/>
      <c r="G144" s="43"/>
      <c r="H144" s="44"/>
      <c r="L144" s="42"/>
      <c r="M144" s="42"/>
      <c r="N144" s="25"/>
      <c r="O144" s="54"/>
      <c r="P144"/>
      <c r="Q144" s="25"/>
      <c r="R144" s="54"/>
      <c r="W144" s="23"/>
      <c r="X144" s="23"/>
      <c r="Y144" s="23"/>
      <c r="Z144" s="43"/>
      <c r="AA144" s="23"/>
      <c r="AB144" s="23"/>
      <c r="AC144" s="23"/>
      <c r="AD144" s="23"/>
      <c r="AE144" s="23"/>
      <c r="AF144" s="23"/>
      <c r="AG144" s="23"/>
      <c r="AH144" s="23"/>
      <c r="AI144" s="49"/>
    </row>
    <row r="145" spans="1:35">
      <c r="A145" s="23"/>
      <c r="B145" s="42"/>
      <c r="C145" s="49"/>
      <c r="E145" s="49"/>
      <c r="G145" s="43"/>
      <c r="H145" s="44"/>
      <c r="L145" s="42"/>
      <c r="M145" s="42"/>
      <c r="N145" s="25"/>
      <c r="O145" s="54"/>
      <c r="P145"/>
      <c r="Q145" s="25"/>
      <c r="R145" s="54"/>
      <c r="W145" s="23"/>
      <c r="X145" s="23"/>
      <c r="Y145" s="23"/>
      <c r="Z145" s="43"/>
      <c r="AA145" s="23"/>
      <c r="AB145" s="23"/>
      <c r="AC145" s="23"/>
      <c r="AD145" s="23"/>
      <c r="AE145" s="23"/>
      <c r="AF145" s="23"/>
      <c r="AG145" s="23"/>
      <c r="AH145" s="23"/>
      <c r="AI145" s="49"/>
    </row>
    <row r="146" spans="1:35">
      <c r="A146" s="23"/>
      <c r="B146" s="42"/>
      <c r="C146" s="49"/>
      <c r="E146" s="49"/>
      <c r="G146" s="43"/>
      <c r="H146" s="44"/>
      <c r="L146" s="42"/>
      <c r="M146" s="42"/>
      <c r="N146" s="25"/>
      <c r="O146" s="54"/>
      <c r="P146"/>
      <c r="Q146" s="25"/>
      <c r="R146" s="54"/>
      <c r="W146" s="23"/>
      <c r="X146" s="23"/>
      <c r="Y146" s="23"/>
      <c r="Z146" s="43"/>
      <c r="AA146" s="23"/>
      <c r="AB146" s="23"/>
      <c r="AC146" s="23"/>
      <c r="AD146" s="23"/>
      <c r="AE146" s="23"/>
      <c r="AF146" s="23"/>
      <c r="AG146" s="23"/>
      <c r="AH146" s="23"/>
      <c r="AI146" s="49"/>
    </row>
    <row r="147" spans="1:35">
      <c r="A147" s="23"/>
      <c r="B147" s="42"/>
      <c r="C147" s="49"/>
      <c r="E147" s="49"/>
      <c r="G147" s="43"/>
      <c r="H147" s="44"/>
      <c r="L147" s="42"/>
      <c r="M147" s="42"/>
      <c r="N147" s="25"/>
      <c r="O147" s="54"/>
      <c r="P147"/>
      <c r="Q147" s="25"/>
      <c r="R147" s="54"/>
      <c r="W147" s="23"/>
      <c r="X147" s="23"/>
      <c r="Y147" s="23"/>
      <c r="Z147" s="43"/>
      <c r="AA147" s="23"/>
      <c r="AB147" s="23"/>
      <c r="AC147" s="23"/>
      <c r="AD147" s="23"/>
      <c r="AE147" s="23"/>
      <c r="AF147" s="23"/>
      <c r="AG147" s="23"/>
      <c r="AH147" s="23"/>
      <c r="AI147" s="49"/>
    </row>
    <row r="148" spans="1:35">
      <c r="A148" s="23"/>
      <c r="B148" s="42"/>
      <c r="C148" s="49"/>
      <c r="E148" s="49"/>
      <c r="G148" s="43"/>
      <c r="H148" s="44"/>
      <c r="L148" s="42"/>
      <c r="M148" s="42"/>
      <c r="N148" s="25"/>
      <c r="O148" s="54"/>
      <c r="P148"/>
      <c r="Q148" s="25"/>
      <c r="R148" s="54"/>
      <c r="W148" s="23"/>
      <c r="X148" s="23"/>
      <c r="Y148" s="23"/>
      <c r="Z148" s="43"/>
      <c r="AA148" s="23"/>
      <c r="AB148" s="23"/>
      <c r="AC148" s="23"/>
      <c r="AD148" s="23"/>
      <c r="AE148" s="23"/>
      <c r="AF148" s="23"/>
      <c r="AG148" s="23"/>
      <c r="AH148" s="23"/>
      <c r="AI148" s="49"/>
    </row>
    <row r="149" spans="1:35">
      <c r="A149" s="23"/>
      <c r="B149" s="42"/>
      <c r="C149" s="49"/>
      <c r="E149" s="49"/>
      <c r="G149" s="43"/>
      <c r="H149" s="44"/>
      <c r="L149" s="42"/>
      <c r="M149" s="42"/>
      <c r="N149" s="25"/>
      <c r="O149" s="54"/>
      <c r="P149"/>
      <c r="Q149" s="25"/>
      <c r="R149" s="54"/>
      <c r="W149" s="23"/>
      <c r="X149" s="23"/>
      <c r="Y149" s="23"/>
      <c r="Z149" s="43"/>
      <c r="AA149" s="23"/>
      <c r="AB149" s="23"/>
      <c r="AC149" s="23"/>
      <c r="AD149" s="23"/>
      <c r="AE149" s="23"/>
      <c r="AF149" s="23"/>
      <c r="AG149" s="23"/>
      <c r="AH149" s="23"/>
      <c r="AI149" s="49"/>
    </row>
    <row r="150" spans="1:35">
      <c r="A150" s="23"/>
      <c r="B150" s="42"/>
      <c r="C150" s="49"/>
      <c r="E150" s="49"/>
      <c r="G150" s="43"/>
      <c r="H150" s="44"/>
      <c r="L150" s="42"/>
      <c r="M150" s="42"/>
      <c r="N150" s="25"/>
      <c r="O150" s="54"/>
      <c r="P150"/>
      <c r="Q150" s="25"/>
      <c r="R150" s="54"/>
      <c r="W150" s="23"/>
      <c r="X150" s="23"/>
      <c r="Y150" s="23"/>
      <c r="Z150" s="43"/>
      <c r="AA150" s="23"/>
      <c r="AB150" s="23"/>
      <c r="AC150" s="23"/>
      <c r="AD150" s="23"/>
      <c r="AE150" s="23"/>
      <c r="AF150" s="23"/>
      <c r="AG150" s="23"/>
      <c r="AH150" s="23"/>
      <c r="AI150" s="49"/>
    </row>
    <row r="151" spans="1:35">
      <c r="A151" s="23"/>
      <c r="B151" s="42"/>
      <c r="C151" s="49"/>
      <c r="E151" s="49"/>
      <c r="G151" s="43"/>
      <c r="H151" s="44"/>
      <c r="L151" s="42"/>
      <c r="M151" s="42"/>
      <c r="N151" s="25"/>
      <c r="O151" s="54"/>
      <c r="P151"/>
      <c r="Q151" s="25"/>
      <c r="R151" s="54"/>
      <c r="W151" s="23"/>
      <c r="X151" s="23"/>
      <c r="Y151" s="23"/>
      <c r="Z151" s="43"/>
      <c r="AA151" s="23"/>
      <c r="AB151" s="23"/>
      <c r="AC151" s="23"/>
      <c r="AD151" s="23"/>
      <c r="AE151" s="23"/>
      <c r="AF151" s="23"/>
      <c r="AG151" s="23"/>
      <c r="AH151" s="23"/>
      <c r="AI151" s="49"/>
    </row>
    <row r="152" spans="1:35">
      <c r="A152" s="23"/>
      <c r="B152" s="42"/>
      <c r="C152" s="49"/>
      <c r="E152" s="49"/>
      <c r="G152" s="43"/>
      <c r="H152" s="44"/>
      <c r="L152" s="42"/>
      <c r="M152" s="42"/>
      <c r="N152" s="25"/>
      <c r="O152" s="54"/>
      <c r="P152"/>
      <c r="Q152" s="25"/>
      <c r="R152" s="54"/>
      <c r="W152" s="23"/>
      <c r="X152" s="23"/>
      <c r="Y152" s="23"/>
      <c r="Z152" s="43"/>
      <c r="AA152" s="23"/>
      <c r="AB152" s="23"/>
      <c r="AC152" s="23"/>
      <c r="AD152" s="23"/>
      <c r="AE152" s="23"/>
      <c r="AF152" s="23"/>
      <c r="AG152" s="23"/>
      <c r="AH152" s="23"/>
      <c r="AI152" s="49"/>
    </row>
    <row r="153" spans="1:35">
      <c r="A153" s="23"/>
      <c r="B153" s="42"/>
      <c r="C153" s="49"/>
      <c r="E153" s="49"/>
      <c r="G153" s="43"/>
      <c r="H153" s="44"/>
      <c r="L153" s="42"/>
      <c r="M153" s="42"/>
      <c r="N153" s="25"/>
      <c r="O153" s="54"/>
      <c r="P153"/>
      <c r="Q153" s="25"/>
      <c r="R153" s="54"/>
      <c r="W153" s="23"/>
      <c r="X153" s="23"/>
      <c r="Y153" s="23"/>
      <c r="Z153" s="43"/>
      <c r="AA153" s="23"/>
      <c r="AB153" s="23"/>
      <c r="AC153" s="23"/>
      <c r="AD153" s="23"/>
      <c r="AE153" s="23"/>
      <c r="AF153" s="23"/>
      <c r="AG153" s="23"/>
      <c r="AH153" s="23"/>
      <c r="AI153" s="49"/>
    </row>
    <row r="154" spans="1:35">
      <c r="A154" s="23"/>
      <c r="B154" s="42"/>
      <c r="C154" s="49"/>
      <c r="E154" s="49"/>
      <c r="G154" s="43"/>
      <c r="H154" s="44"/>
      <c r="L154" s="42"/>
      <c r="M154" s="42"/>
      <c r="N154" s="25"/>
      <c r="O154" s="54"/>
      <c r="P154"/>
      <c r="Q154" s="25"/>
      <c r="R154" s="54"/>
      <c r="W154" s="23"/>
      <c r="X154" s="23"/>
      <c r="Y154" s="23"/>
      <c r="Z154" s="43"/>
      <c r="AA154" s="23"/>
      <c r="AB154" s="23"/>
      <c r="AC154" s="23"/>
      <c r="AD154" s="23"/>
      <c r="AE154" s="23"/>
      <c r="AF154" s="23"/>
      <c r="AG154" s="23"/>
      <c r="AH154" s="23"/>
      <c r="AI154" s="49"/>
    </row>
    <row r="155" spans="1:35">
      <c r="A155" s="23"/>
      <c r="B155" s="42"/>
      <c r="C155" s="49"/>
      <c r="E155" s="49"/>
      <c r="G155" s="43"/>
      <c r="H155" s="44"/>
      <c r="L155" s="42"/>
      <c r="M155" s="42"/>
      <c r="N155" s="25"/>
      <c r="O155" s="54"/>
      <c r="P155"/>
      <c r="Q155" s="25"/>
      <c r="R155" s="54"/>
      <c r="W155" s="23"/>
      <c r="X155" s="23"/>
      <c r="Y155" s="23"/>
      <c r="Z155" s="43"/>
      <c r="AA155" s="23"/>
      <c r="AB155" s="23"/>
      <c r="AC155" s="23"/>
      <c r="AD155" s="23"/>
      <c r="AE155" s="23"/>
      <c r="AF155" s="23"/>
      <c r="AG155" s="23"/>
      <c r="AH155" s="23"/>
      <c r="AI155" s="49"/>
    </row>
    <row r="156" spans="1:35">
      <c r="A156" s="23"/>
      <c r="B156" s="42"/>
      <c r="C156" s="49"/>
      <c r="E156" s="49"/>
      <c r="G156" s="43"/>
      <c r="H156" s="44"/>
      <c r="L156" s="42"/>
      <c r="M156" s="42"/>
      <c r="N156" s="25"/>
      <c r="O156" s="54"/>
      <c r="P156"/>
      <c r="Q156" s="25"/>
      <c r="R156" s="54"/>
      <c r="W156" s="23"/>
      <c r="X156" s="23"/>
      <c r="Y156" s="23"/>
      <c r="Z156" s="43"/>
      <c r="AA156" s="23"/>
      <c r="AB156" s="23"/>
      <c r="AC156" s="23"/>
      <c r="AD156" s="23"/>
      <c r="AE156" s="23"/>
      <c r="AF156" s="23"/>
      <c r="AG156" s="23"/>
      <c r="AH156" s="23"/>
      <c r="AI156" s="49"/>
    </row>
    <row r="157" spans="1:35">
      <c r="A157" s="23"/>
      <c r="B157" s="42"/>
      <c r="C157" s="49"/>
      <c r="E157" s="49"/>
      <c r="G157" s="43"/>
      <c r="H157" s="44"/>
      <c r="L157" s="42"/>
      <c r="M157" s="42"/>
      <c r="N157" s="25"/>
      <c r="O157" s="54"/>
      <c r="P157"/>
      <c r="Q157" s="25"/>
      <c r="R157" s="54"/>
      <c r="W157" s="23"/>
      <c r="X157" s="23"/>
      <c r="Y157" s="23"/>
      <c r="Z157" s="43"/>
      <c r="AA157" s="23"/>
      <c r="AB157" s="23"/>
      <c r="AC157" s="23"/>
      <c r="AD157" s="23"/>
      <c r="AE157" s="23"/>
      <c r="AF157" s="23"/>
      <c r="AG157" s="23"/>
      <c r="AH157" s="23"/>
      <c r="AI157" s="49"/>
    </row>
    <row r="158" spans="1:35">
      <c r="A158" s="23"/>
      <c r="B158" s="42"/>
      <c r="C158" s="49"/>
      <c r="E158" s="49"/>
      <c r="G158" s="43"/>
      <c r="H158" s="44"/>
      <c r="L158" s="42"/>
      <c r="M158" s="42"/>
      <c r="N158" s="25"/>
      <c r="O158" s="54"/>
      <c r="P158"/>
      <c r="Q158" s="25"/>
      <c r="R158" s="54"/>
      <c r="W158" s="23"/>
      <c r="X158" s="23"/>
      <c r="Y158" s="23"/>
      <c r="Z158" s="43"/>
      <c r="AA158" s="23"/>
      <c r="AB158" s="23"/>
      <c r="AC158" s="23"/>
      <c r="AD158" s="23"/>
      <c r="AE158" s="23"/>
      <c r="AF158" s="23"/>
      <c r="AG158" s="23"/>
      <c r="AH158" s="23"/>
      <c r="AI158" s="49"/>
    </row>
    <row r="159" spans="1:35">
      <c r="A159" s="23"/>
      <c r="B159" s="42"/>
      <c r="C159" s="49"/>
      <c r="E159" s="49"/>
      <c r="G159" s="43"/>
      <c r="H159" s="44"/>
      <c r="L159" s="42"/>
      <c r="M159" s="42"/>
      <c r="N159" s="25"/>
      <c r="O159" s="54"/>
      <c r="P159"/>
      <c r="Q159" s="25"/>
      <c r="R159" s="54"/>
      <c r="W159" s="23"/>
      <c r="X159" s="23"/>
      <c r="Y159" s="23"/>
      <c r="Z159" s="43"/>
      <c r="AA159" s="23"/>
      <c r="AB159" s="23"/>
      <c r="AC159" s="23"/>
      <c r="AD159" s="23"/>
      <c r="AE159" s="23"/>
      <c r="AF159" s="23"/>
      <c r="AG159" s="23"/>
      <c r="AH159" s="23"/>
      <c r="AI159" s="49"/>
    </row>
    <row r="160" spans="1:35">
      <c r="A160" s="23"/>
      <c r="B160" s="42"/>
      <c r="C160" s="49"/>
      <c r="E160" s="49"/>
      <c r="G160" s="43"/>
      <c r="H160" s="44"/>
      <c r="L160" s="42"/>
      <c r="M160" s="42"/>
      <c r="N160" s="25"/>
      <c r="O160" s="54"/>
      <c r="P160"/>
      <c r="Q160" s="25"/>
      <c r="R160" s="54"/>
      <c r="W160" s="23"/>
      <c r="X160" s="23"/>
      <c r="Y160" s="23"/>
      <c r="Z160" s="43"/>
      <c r="AA160" s="23"/>
      <c r="AB160" s="23"/>
      <c r="AC160" s="23"/>
      <c r="AD160" s="23"/>
      <c r="AE160" s="23"/>
      <c r="AF160" s="23"/>
      <c r="AG160" s="23"/>
      <c r="AH160" s="23"/>
      <c r="AI160" s="49"/>
    </row>
    <row r="161" spans="1:35">
      <c r="A161" s="50"/>
      <c r="B161" s="42"/>
      <c r="C161" s="49"/>
      <c r="E161" s="49"/>
      <c r="G161" s="43"/>
      <c r="H161" s="44"/>
      <c r="L161" s="42"/>
      <c r="M161" s="42"/>
      <c r="N161" s="25"/>
      <c r="O161" s="54"/>
      <c r="P161"/>
      <c r="Q161" s="25"/>
      <c r="R161" s="54"/>
      <c r="W161" s="23"/>
      <c r="X161" s="23"/>
      <c r="Y161" s="23"/>
      <c r="Z161" s="43"/>
      <c r="AA161" s="23"/>
      <c r="AB161" s="23"/>
      <c r="AC161" s="23"/>
      <c r="AD161" s="23"/>
      <c r="AE161" s="23"/>
      <c r="AF161" s="23"/>
      <c r="AG161" s="23"/>
      <c r="AH161" s="23"/>
      <c r="AI161" s="49"/>
    </row>
    <row r="162" spans="1:35">
      <c r="A162" s="50"/>
      <c r="B162" s="42"/>
      <c r="C162" s="49"/>
      <c r="E162" s="49"/>
      <c r="G162" s="43"/>
      <c r="H162" s="44"/>
      <c r="L162" s="42"/>
      <c r="M162" s="42"/>
      <c r="N162" s="25"/>
      <c r="O162" s="54"/>
      <c r="P162"/>
      <c r="Q162" s="25"/>
      <c r="R162" s="54"/>
      <c r="W162" s="23"/>
      <c r="X162" s="23"/>
      <c r="Y162" s="23"/>
      <c r="Z162" s="43"/>
      <c r="AA162" s="23"/>
      <c r="AB162" s="23"/>
      <c r="AC162" s="23"/>
      <c r="AD162" s="23"/>
      <c r="AE162" s="23"/>
      <c r="AF162" s="23"/>
      <c r="AG162" s="23"/>
      <c r="AH162" s="23"/>
      <c r="AI162" s="49"/>
    </row>
    <row r="163" spans="1:35">
      <c r="A163" s="50"/>
      <c r="B163" s="42"/>
      <c r="C163" s="49"/>
      <c r="E163" s="49"/>
      <c r="G163" s="43"/>
      <c r="H163" s="44"/>
      <c r="L163" s="42"/>
      <c r="M163" s="42"/>
      <c r="N163" s="25"/>
      <c r="O163" s="54"/>
      <c r="P163"/>
      <c r="Q163" s="25"/>
      <c r="R163" s="54"/>
      <c r="W163" s="23"/>
      <c r="X163" s="23"/>
      <c r="Y163" s="23"/>
      <c r="Z163" s="43"/>
      <c r="AA163" s="23"/>
      <c r="AB163" s="23"/>
      <c r="AC163" s="23"/>
      <c r="AD163" s="23"/>
      <c r="AE163" s="23"/>
      <c r="AF163" s="23"/>
      <c r="AG163" s="23"/>
      <c r="AH163" s="23"/>
      <c r="AI163" s="49"/>
    </row>
    <row r="164" spans="1:35">
      <c r="A164" s="50"/>
      <c r="B164" s="42"/>
      <c r="C164" s="49"/>
      <c r="E164" s="49"/>
      <c r="G164" s="43"/>
      <c r="H164" s="44"/>
      <c r="L164" s="42"/>
      <c r="M164" s="42"/>
      <c r="N164" s="25"/>
      <c r="O164" s="54"/>
      <c r="P164"/>
      <c r="Q164" s="25"/>
      <c r="R164" s="54"/>
      <c r="W164" s="23"/>
      <c r="X164" s="23"/>
      <c r="Y164" s="23"/>
      <c r="Z164" s="43"/>
      <c r="AA164" s="23"/>
      <c r="AB164" s="23"/>
      <c r="AC164" s="23"/>
      <c r="AD164" s="23"/>
      <c r="AE164" s="23"/>
      <c r="AF164" s="23"/>
      <c r="AG164" s="23"/>
      <c r="AH164" s="23"/>
      <c r="AI164" s="49"/>
    </row>
    <row r="165" spans="1:35">
      <c r="A165" s="50"/>
      <c r="B165" s="42"/>
      <c r="C165" s="49"/>
      <c r="E165" s="49"/>
      <c r="G165" s="43"/>
      <c r="H165" s="44"/>
      <c r="L165" s="42"/>
      <c r="M165" s="42"/>
      <c r="N165" s="25"/>
      <c r="O165" s="54"/>
      <c r="P165"/>
      <c r="Q165" s="25"/>
      <c r="R165" s="54"/>
      <c r="W165" s="23"/>
      <c r="X165" s="23"/>
      <c r="Y165" s="23"/>
      <c r="Z165" s="43"/>
      <c r="AA165" s="23"/>
      <c r="AB165" s="23"/>
      <c r="AC165" s="23"/>
      <c r="AD165" s="23"/>
      <c r="AE165" s="23"/>
      <c r="AF165" s="23"/>
      <c r="AG165" s="23"/>
      <c r="AH165" s="23"/>
      <c r="AI165" s="49"/>
    </row>
    <row r="166" spans="1:35">
      <c r="A166" s="50"/>
      <c r="B166" s="42"/>
      <c r="C166" s="49"/>
      <c r="E166" s="49"/>
      <c r="G166" s="43"/>
      <c r="H166" s="44"/>
      <c r="L166" s="42"/>
      <c r="M166" s="42"/>
      <c r="N166" s="25"/>
      <c r="O166" s="54"/>
      <c r="P166"/>
      <c r="Q166" s="25"/>
      <c r="R166" s="54"/>
      <c r="W166" s="23"/>
      <c r="X166" s="23"/>
      <c r="Y166" s="23"/>
      <c r="Z166" s="43"/>
      <c r="AA166" s="23"/>
      <c r="AB166" s="23"/>
      <c r="AC166" s="23"/>
      <c r="AD166" s="23"/>
      <c r="AE166" s="23"/>
      <c r="AF166" s="23"/>
      <c r="AG166" s="23"/>
      <c r="AH166" s="23"/>
      <c r="AI166" s="49"/>
    </row>
    <row r="167" spans="1:35">
      <c r="A167" s="50"/>
      <c r="B167" s="42"/>
      <c r="C167" s="49"/>
      <c r="E167" s="49"/>
      <c r="G167" s="43"/>
      <c r="H167" s="44"/>
      <c r="L167" s="42"/>
      <c r="M167" s="42"/>
      <c r="N167" s="25"/>
      <c r="O167" s="54"/>
      <c r="P167"/>
      <c r="Q167" s="25"/>
      <c r="R167" s="54"/>
      <c r="W167" s="23"/>
      <c r="X167" s="23"/>
      <c r="Y167" s="23"/>
      <c r="Z167" s="43"/>
      <c r="AA167" s="23"/>
      <c r="AB167" s="23"/>
      <c r="AC167" s="23"/>
      <c r="AD167" s="23"/>
      <c r="AE167" s="23"/>
      <c r="AF167" s="23"/>
      <c r="AG167" s="23"/>
      <c r="AH167" s="23"/>
      <c r="AI167" s="49"/>
    </row>
    <row r="168" spans="1:35">
      <c r="A168" s="50"/>
      <c r="B168" s="42"/>
      <c r="C168" s="49"/>
      <c r="E168" s="49"/>
      <c r="G168" s="43"/>
      <c r="H168" s="44"/>
      <c r="L168" s="42"/>
      <c r="M168" s="42"/>
      <c r="N168" s="25"/>
      <c r="O168" s="54"/>
      <c r="P168"/>
      <c r="Q168" s="25"/>
      <c r="R168" s="54"/>
      <c r="W168" s="23"/>
      <c r="X168" s="23"/>
      <c r="Y168" s="23"/>
      <c r="Z168" s="43"/>
      <c r="AA168" s="23"/>
      <c r="AB168" s="23"/>
      <c r="AC168" s="23"/>
      <c r="AD168" s="23"/>
      <c r="AE168" s="23"/>
      <c r="AF168" s="23"/>
      <c r="AG168" s="23"/>
      <c r="AH168" s="23"/>
      <c r="AI168" s="49"/>
    </row>
    <row r="169" spans="1:35">
      <c r="A169" s="50"/>
      <c r="B169" s="42"/>
      <c r="G169" s="43"/>
      <c r="H169" s="44"/>
      <c r="L169" s="42"/>
      <c r="M169" s="42"/>
      <c r="N169" s="25"/>
      <c r="O169" s="54"/>
      <c r="P169"/>
      <c r="Q169" s="25"/>
      <c r="R169" s="54"/>
      <c r="W169" s="23"/>
      <c r="X169" s="23"/>
      <c r="Y169" s="23"/>
      <c r="Z169" s="43"/>
      <c r="AA169" s="23"/>
      <c r="AB169" s="23"/>
      <c r="AC169" s="23"/>
      <c r="AD169" s="23"/>
      <c r="AE169" s="23"/>
      <c r="AF169" s="23"/>
      <c r="AG169" s="23"/>
      <c r="AH169" s="23"/>
    </row>
    <row r="170" spans="1:35">
      <c r="A170" s="50"/>
      <c r="B170" s="42"/>
      <c r="G170" s="43"/>
      <c r="H170" s="44"/>
      <c r="L170" s="42"/>
      <c r="M170" s="42"/>
      <c r="N170" s="25"/>
      <c r="O170" s="54"/>
      <c r="P170"/>
      <c r="Q170" s="25"/>
      <c r="R170" s="54"/>
      <c r="W170" s="23"/>
      <c r="X170" s="23"/>
      <c r="Y170" s="23"/>
      <c r="Z170" s="43"/>
      <c r="AA170" s="23"/>
      <c r="AB170" s="23"/>
      <c r="AC170" s="23"/>
      <c r="AD170" s="23"/>
      <c r="AE170" s="23"/>
      <c r="AF170" s="23"/>
      <c r="AG170" s="23"/>
      <c r="AH170" s="23"/>
    </row>
    <row r="171" spans="1:35">
      <c r="A171" s="50"/>
      <c r="B171" s="42"/>
      <c r="G171" s="43"/>
      <c r="H171" s="44"/>
      <c r="L171" s="42"/>
      <c r="M171" s="42"/>
      <c r="N171" s="25"/>
      <c r="O171" s="54"/>
      <c r="P171"/>
      <c r="Q171" s="25"/>
      <c r="R171" s="54"/>
      <c r="W171" s="23"/>
      <c r="X171" s="23"/>
      <c r="Y171" s="23"/>
      <c r="Z171" s="43"/>
      <c r="AA171" s="23"/>
      <c r="AB171" s="23"/>
      <c r="AC171" s="23"/>
      <c r="AD171" s="23"/>
      <c r="AE171" s="23"/>
      <c r="AF171" s="23"/>
      <c r="AG171" s="23"/>
      <c r="AH171" s="23"/>
    </row>
    <row r="172" spans="1:35">
      <c r="A172" s="50"/>
      <c r="B172" s="42"/>
      <c r="G172" s="43"/>
      <c r="H172" s="44"/>
      <c r="L172" s="42"/>
      <c r="M172" s="42"/>
      <c r="N172" s="25"/>
      <c r="O172" s="54"/>
      <c r="P172"/>
      <c r="Q172" s="25"/>
      <c r="R172" s="54"/>
      <c r="W172" s="23"/>
      <c r="X172" s="23"/>
      <c r="Y172" s="23"/>
      <c r="Z172" s="43"/>
      <c r="AA172" s="23"/>
      <c r="AB172" s="23"/>
      <c r="AC172" s="23"/>
      <c r="AD172" s="23"/>
      <c r="AE172" s="23"/>
      <c r="AF172" s="23"/>
      <c r="AG172" s="23"/>
      <c r="AH172" s="23"/>
    </row>
    <row r="173" spans="1:35">
      <c r="A173" s="23"/>
      <c r="B173" s="42"/>
      <c r="C173" s="49"/>
      <c r="E173" s="49"/>
      <c r="G173" s="43"/>
      <c r="H173" s="44"/>
      <c r="L173" s="42"/>
      <c r="M173" s="42"/>
      <c r="N173" s="25"/>
      <c r="O173" s="54"/>
      <c r="P173"/>
      <c r="Q173" s="25"/>
      <c r="R173" s="54"/>
      <c r="W173" s="23"/>
      <c r="X173" s="23"/>
      <c r="Y173" s="23"/>
      <c r="Z173" s="43"/>
      <c r="AA173" s="23"/>
      <c r="AB173" s="23"/>
      <c r="AC173" s="23"/>
      <c r="AD173" s="23"/>
      <c r="AE173" s="23"/>
      <c r="AF173" s="23"/>
      <c r="AG173" s="23"/>
      <c r="AH173" s="23"/>
      <c r="AI173" s="49"/>
    </row>
    <row r="174" spans="1:35">
      <c r="A174" s="23"/>
      <c r="B174" s="42"/>
      <c r="G174" s="43"/>
      <c r="H174" s="44"/>
      <c r="L174" s="42"/>
      <c r="M174" s="42"/>
      <c r="N174" s="25"/>
      <c r="O174" s="54"/>
      <c r="P174"/>
      <c r="Q174" s="25"/>
      <c r="R174" s="54"/>
      <c r="W174" s="23"/>
      <c r="X174" s="23"/>
      <c r="Y174" s="23"/>
      <c r="Z174" s="43"/>
      <c r="AA174" s="23"/>
      <c r="AB174" s="23"/>
      <c r="AC174" s="23"/>
      <c r="AD174" s="23"/>
      <c r="AE174" s="23"/>
      <c r="AF174" s="23"/>
      <c r="AG174" s="23"/>
      <c r="AH174" s="23"/>
      <c r="AI174" s="23"/>
    </row>
    <row r="175" spans="1:35">
      <c r="A175" s="50"/>
      <c r="B175" s="42"/>
      <c r="G175" s="43"/>
      <c r="H175" s="44"/>
      <c r="L175" s="42"/>
      <c r="M175" s="42"/>
      <c r="N175" s="25"/>
      <c r="O175" s="54"/>
      <c r="P175"/>
      <c r="Q175" s="25"/>
      <c r="R175" s="54"/>
      <c r="W175" s="23"/>
      <c r="X175" s="23"/>
      <c r="Y175" s="23"/>
      <c r="Z175" s="43"/>
      <c r="AA175" s="23"/>
      <c r="AB175" s="23"/>
      <c r="AC175" s="23"/>
      <c r="AD175" s="23"/>
      <c r="AE175" s="23"/>
      <c r="AF175" s="23"/>
      <c r="AG175" s="23"/>
      <c r="AH175" s="23"/>
    </row>
    <row r="176" spans="1:35">
      <c r="A176" s="50"/>
      <c r="B176" s="42"/>
      <c r="C176" s="49"/>
      <c r="E176" s="49"/>
      <c r="G176" s="43"/>
      <c r="H176" s="44"/>
      <c r="L176" s="42"/>
      <c r="M176" s="42"/>
      <c r="N176" s="25"/>
      <c r="O176" s="54"/>
      <c r="P176"/>
      <c r="Q176" s="25"/>
      <c r="R176" s="54"/>
      <c r="W176" s="23"/>
      <c r="X176" s="23"/>
      <c r="Y176" s="23"/>
      <c r="Z176" s="43"/>
      <c r="AA176" s="23"/>
      <c r="AB176" s="23"/>
      <c r="AC176" s="23"/>
      <c r="AD176" s="23"/>
      <c r="AE176" s="23"/>
      <c r="AF176" s="23"/>
      <c r="AG176" s="23"/>
      <c r="AH176" s="23"/>
      <c r="AI176" s="49"/>
    </row>
    <row r="177" spans="1:35">
      <c r="A177" s="50"/>
      <c r="B177" s="42"/>
      <c r="C177" s="49"/>
      <c r="E177" s="49"/>
      <c r="G177" s="43"/>
      <c r="H177" s="44"/>
      <c r="L177" s="42"/>
      <c r="M177" s="42"/>
      <c r="N177" s="25"/>
      <c r="O177" s="54"/>
      <c r="P177"/>
      <c r="Q177" s="25"/>
      <c r="R177" s="54"/>
      <c r="W177" s="23"/>
      <c r="X177" s="23"/>
      <c r="Y177" s="23"/>
      <c r="Z177" s="43"/>
      <c r="AA177" s="23"/>
      <c r="AB177" s="23"/>
      <c r="AC177" s="23"/>
      <c r="AD177" s="23"/>
      <c r="AE177" s="23"/>
      <c r="AF177" s="23"/>
      <c r="AG177" s="23"/>
      <c r="AH177" s="23"/>
      <c r="AI177" s="49"/>
    </row>
    <row r="178" spans="1:35">
      <c r="A178" s="50"/>
      <c r="B178" s="42"/>
      <c r="G178" s="43"/>
      <c r="H178" s="44"/>
      <c r="L178" s="42"/>
      <c r="M178" s="42"/>
      <c r="N178" s="25"/>
      <c r="O178" s="54"/>
      <c r="P178"/>
      <c r="Q178" s="25"/>
      <c r="R178" s="54"/>
      <c r="W178" s="23"/>
      <c r="X178" s="23"/>
      <c r="Y178" s="23"/>
      <c r="Z178" s="43"/>
      <c r="AA178" s="23"/>
      <c r="AB178" s="23"/>
      <c r="AC178" s="23"/>
      <c r="AD178" s="23"/>
      <c r="AE178" s="23"/>
      <c r="AF178" s="23"/>
      <c r="AG178" s="23"/>
      <c r="AH178" s="23"/>
    </row>
    <row r="179" spans="1:35">
      <c r="B179" s="42"/>
      <c r="G179" s="43"/>
      <c r="H179" s="44"/>
      <c r="L179" s="42"/>
      <c r="M179" s="42"/>
      <c r="N179" s="25"/>
      <c r="O179" s="54"/>
      <c r="P179"/>
      <c r="Q179" s="25"/>
      <c r="R179" s="54"/>
      <c r="W179" s="23"/>
      <c r="X179" s="23"/>
      <c r="Y179" s="23"/>
      <c r="Z179" s="43"/>
      <c r="AA179" s="23"/>
      <c r="AB179" s="23"/>
      <c r="AC179" s="23"/>
      <c r="AD179" s="23"/>
      <c r="AE179" s="23"/>
      <c r="AF179" s="23"/>
      <c r="AG179" s="23"/>
      <c r="AH179" s="23"/>
    </row>
    <row r="180" spans="1:35">
      <c r="A180" s="23"/>
      <c r="B180" s="42"/>
      <c r="G180" s="43"/>
      <c r="H180" s="44"/>
      <c r="L180" s="42"/>
      <c r="M180" s="42"/>
      <c r="N180" s="25"/>
      <c r="O180" s="54"/>
      <c r="P180"/>
      <c r="Q180" s="25"/>
      <c r="R180" s="54"/>
      <c r="W180" s="23"/>
      <c r="X180" s="23"/>
      <c r="Y180" s="23"/>
      <c r="Z180" s="43"/>
      <c r="AA180" s="23"/>
      <c r="AB180" s="23"/>
      <c r="AC180" s="23"/>
      <c r="AD180" s="23"/>
      <c r="AE180" s="23"/>
      <c r="AF180" s="23"/>
      <c r="AG180" s="23"/>
      <c r="AH180" s="23"/>
      <c r="AI180" s="23"/>
    </row>
    <row r="181" spans="1:35">
      <c r="A181" s="23"/>
      <c r="B181" s="42"/>
      <c r="C181" s="49"/>
      <c r="E181" s="49"/>
      <c r="G181" s="43"/>
      <c r="H181" s="44"/>
      <c r="L181" s="42"/>
      <c r="M181" s="42"/>
      <c r="N181" s="25"/>
      <c r="O181" s="54"/>
      <c r="P181"/>
      <c r="Q181" s="25"/>
      <c r="R181" s="54"/>
      <c r="W181" s="23"/>
      <c r="X181" s="23"/>
      <c r="Y181" s="23"/>
      <c r="Z181" s="43"/>
      <c r="AA181" s="23"/>
      <c r="AB181" s="23"/>
      <c r="AC181" s="23"/>
      <c r="AD181" s="23"/>
      <c r="AE181" s="23"/>
      <c r="AF181" s="23"/>
      <c r="AG181" s="23"/>
      <c r="AH181" s="23"/>
      <c r="AI181" s="49"/>
    </row>
    <row r="182" spans="1:35">
      <c r="A182" s="23"/>
      <c r="B182" s="42"/>
      <c r="C182" s="49"/>
      <c r="E182" s="49"/>
      <c r="G182" s="43"/>
      <c r="H182" s="44"/>
      <c r="L182" s="42"/>
      <c r="M182" s="42"/>
      <c r="N182" s="25"/>
      <c r="O182" s="54"/>
      <c r="P182"/>
      <c r="Q182" s="25"/>
      <c r="R182" s="54"/>
      <c r="W182" s="23"/>
      <c r="X182" s="23"/>
      <c r="Y182" s="23"/>
      <c r="Z182" s="43"/>
      <c r="AA182" s="23"/>
      <c r="AB182" s="23"/>
      <c r="AC182" s="23"/>
      <c r="AD182" s="23"/>
      <c r="AE182" s="23"/>
      <c r="AF182" s="23"/>
      <c r="AG182" s="23"/>
      <c r="AH182" s="23"/>
      <c r="AI182" s="49"/>
    </row>
    <row r="183" spans="1:35">
      <c r="A183" s="50"/>
      <c r="B183" s="42"/>
      <c r="G183" s="43"/>
      <c r="H183" s="44"/>
      <c r="L183" s="42"/>
      <c r="M183" s="42"/>
      <c r="N183" s="25"/>
      <c r="O183" s="54"/>
      <c r="P183"/>
      <c r="Q183" s="25"/>
      <c r="R183" s="54"/>
      <c r="W183" s="23"/>
      <c r="X183" s="23"/>
      <c r="Y183" s="23"/>
      <c r="Z183" s="43"/>
      <c r="AA183" s="23"/>
      <c r="AB183" s="23"/>
      <c r="AC183" s="23"/>
      <c r="AD183" s="23"/>
      <c r="AE183" s="23"/>
      <c r="AF183" s="23"/>
      <c r="AG183" s="23"/>
      <c r="AH183" s="23"/>
    </row>
    <row r="184" spans="1:35">
      <c r="A184" s="23"/>
      <c r="B184" s="42"/>
      <c r="C184" s="49"/>
      <c r="E184" s="49"/>
      <c r="G184" s="43"/>
      <c r="H184" s="44"/>
      <c r="L184" s="42"/>
      <c r="M184" s="42"/>
      <c r="N184" s="25"/>
      <c r="O184" s="54"/>
      <c r="P184"/>
      <c r="Q184" s="25"/>
      <c r="R184" s="54"/>
      <c r="W184" s="23"/>
      <c r="X184" s="23"/>
      <c r="Y184" s="23"/>
      <c r="Z184" s="43"/>
      <c r="AA184" s="23"/>
      <c r="AB184" s="23"/>
      <c r="AC184" s="23"/>
      <c r="AD184" s="23"/>
      <c r="AE184" s="23"/>
      <c r="AF184" s="23"/>
      <c r="AG184" s="23"/>
      <c r="AH184" s="23"/>
      <c r="AI184" s="49"/>
    </row>
    <row r="185" spans="1:35">
      <c r="A185" s="45"/>
      <c r="B185" s="42"/>
      <c r="C185" s="45"/>
      <c r="E185" s="45"/>
      <c r="G185" s="43"/>
      <c r="H185" s="44"/>
      <c r="L185" s="42"/>
      <c r="M185" s="42"/>
      <c r="N185" s="25"/>
      <c r="O185" s="54"/>
      <c r="P185"/>
      <c r="Q185" s="25"/>
      <c r="R185" s="54"/>
      <c r="W185" s="23"/>
      <c r="X185" s="23"/>
      <c r="Y185" s="23"/>
      <c r="Z185" s="43"/>
      <c r="AA185" s="23"/>
      <c r="AB185" s="23"/>
      <c r="AC185" s="23"/>
      <c r="AD185" s="23"/>
      <c r="AE185" s="23"/>
      <c r="AF185" s="23"/>
      <c r="AG185" s="23"/>
      <c r="AH185" s="23"/>
      <c r="AI185" s="48"/>
    </row>
    <row r="186" spans="1:35">
      <c r="A186" s="50"/>
      <c r="B186" s="42"/>
      <c r="C186" s="49"/>
      <c r="E186" s="49"/>
      <c r="G186" s="43"/>
      <c r="H186" s="44"/>
      <c r="L186" s="42"/>
      <c r="M186" s="42"/>
      <c r="N186" s="25"/>
      <c r="O186" s="54"/>
      <c r="P186"/>
      <c r="Q186" s="25"/>
      <c r="R186" s="54"/>
      <c r="W186" s="23"/>
      <c r="X186" s="23"/>
      <c r="Y186" s="23"/>
      <c r="Z186" s="43"/>
      <c r="AA186" s="23"/>
      <c r="AB186" s="23"/>
      <c r="AC186" s="23"/>
      <c r="AD186" s="23"/>
      <c r="AE186" s="23"/>
      <c r="AF186" s="23"/>
      <c r="AG186" s="23"/>
      <c r="AH186" s="23"/>
      <c r="AI186" s="49"/>
    </row>
    <row r="187" spans="1:35">
      <c r="A187" s="23"/>
      <c r="B187" s="42"/>
      <c r="C187" s="49"/>
      <c r="E187" s="49"/>
      <c r="G187" s="43"/>
      <c r="H187" s="44"/>
      <c r="L187" s="42"/>
      <c r="M187" s="42"/>
      <c r="N187" s="25"/>
      <c r="O187" s="54"/>
      <c r="P187"/>
      <c r="Q187" s="25"/>
      <c r="R187" s="54"/>
      <c r="W187" s="23"/>
      <c r="X187" s="23"/>
      <c r="Y187" s="23"/>
      <c r="Z187" s="43"/>
      <c r="AA187" s="23"/>
      <c r="AB187" s="23"/>
      <c r="AC187" s="23"/>
      <c r="AD187" s="23"/>
      <c r="AE187" s="23"/>
      <c r="AF187" s="23"/>
      <c r="AG187" s="23"/>
      <c r="AH187" s="23"/>
      <c r="AI187" s="49"/>
    </row>
    <row r="188" spans="1:35">
      <c r="A188" s="23"/>
      <c r="B188" s="42"/>
      <c r="G188" s="43"/>
      <c r="H188" s="44"/>
      <c r="L188" s="42"/>
      <c r="M188" s="42"/>
      <c r="N188" s="25"/>
      <c r="O188" s="54"/>
      <c r="P188"/>
      <c r="Q188" s="25"/>
      <c r="R188" s="54"/>
      <c r="W188" s="23"/>
      <c r="X188" s="23"/>
      <c r="Y188" s="23"/>
      <c r="Z188" s="43"/>
      <c r="AA188" s="23"/>
      <c r="AB188" s="23"/>
      <c r="AC188" s="23"/>
      <c r="AD188" s="23"/>
      <c r="AE188" s="23"/>
      <c r="AF188" s="23"/>
      <c r="AG188" s="23"/>
      <c r="AH188" s="23"/>
      <c r="AI188" s="23"/>
    </row>
    <row r="189" spans="1:35">
      <c r="A189" s="23"/>
      <c r="B189" s="42"/>
      <c r="C189" s="49"/>
      <c r="E189" s="49"/>
      <c r="G189" s="43"/>
      <c r="H189" s="44"/>
      <c r="L189" s="42"/>
      <c r="M189" s="42"/>
      <c r="N189" s="25"/>
      <c r="O189" s="54"/>
      <c r="P189"/>
      <c r="Q189" s="25"/>
      <c r="R189" s="54"/>
      <c r="W189" s="23"/>
      <c r="X189" s="23"/>
      <c r="Y189" s="23"/>
      <c r="Z189" s="43"/>
      <c r="AA189" s="23"/>
      <c r="AB189" s="23"/>
      <c r="AC189" s="23"/>
      <c r="AD189" s="23"/>
      <c r="AE189" s="23"/>
      <c r="AF189" s="23"/>
      <c r="AG189" s="23"/>
      <c r="AH189" s="23"/>
      <c r="AI189" s="49"/>
    </row>
    <row r="190" spans="1:35">
      <c r="A190" s="23"/>
      <c r="B190" s="42"/>
      <c r="C190" s="49"/>
      <c r="E190" s="49"/>
      <c r="G190" s="43"/>
      <c r="H190" s="44"/>
      <c r="L190" s="42"/>
      <c r="M190" s="42"/>
      <c r="N190" s="25"/>
      <c r="O190" s="54"/>
      <c r="P190"/>
      <c r="Q190" s="25"/>
      <c r="R190" s="54"/>
      <c r="W190" s="23"/>
      <c r="X190" s="23"/>
      <c r="Y190" s="23"/>
      <c r="Z190" s="43"/>
      <c r="AA190" s="23"/>
      <c r="AB190" s="23"/>
      <c r="AC190" s="23"/>
      <c r="AD190" s="23"/>
      <c r="AE190" s="23"/>
      <c r="AF190" s="23"/>
      <c r="AG190" s="23"/>
      <c r="AH190" s="23"/>
      <c r="AI190" s="49"/>
    </row>
    <row r="191" spans="1:35">
      <c r="A191" s="23"/>
      <c r="B191" s="42"/>
      <c r="G191" s="43"/>
      <c r="H191" s="44"/>
      <c r="L191" s="42"/>
      <c r="M191" s="42"/>
      <c r="N191" s="25"/>
      <c r="O191" s="54"/>
      <c r="P191"/>
      <c r="Q191" s="25"/>
      <c r="R191" s="54"/>
      <c r="W191" s="23"/>
      <c r="X191" s="23"/>
      <c r="Y191" s="23"/>
      <c r="Z191" s="43"/>
      <c r="AA191" s="23"/>
      <c r="AB191" s="23"/>
      <c r="AC191" s="23"/>
      <c r="AD191" s="23"/>
      <c r="AE191" s="23"/>
      <c r="AF191" s="23"/>
      <c r="AG191" s="23"/>
      <c r="AH191" s="23"/>
      <c r="AI191" s="23"/>
    </row>
    <row r="192" spans="1:35">
      <c r="A192" s="23"/>
      <c r="B192" s="42"/>
      <c r="C192" s="49"/>
      <c r="E192" s="49"/>
      <c r="G192" s="43"/>
      <c r="H192" s="44"/>
      <c r="L192" s="42"/>
      <c r="M192" s="42"/>
      <c r="N192" s="25"/>
      <c r="O192" s="54"/>
      <c r="P192"/>
      <c r="Q192" s="25"/>
      <c r="R192" s="54"/>
      <c r="W192" s="23"/>
      <c r="X192" s="23"/>
      <c r="Y192" s="23"/>
      <c r="Z192" s="43"/>
      <c r="AA192" s="23"/>
      <c r="AB192" s="23"/>
      <c r="AC192" s="23"/>
      <c r="AD192" s="23"/>
      <c r="AE192" s="23"/>
      <c r="AF192" s="23"/>
      <c r="AG192" s="23"/>
      <c r="AH192" s="23"/>
      <c r="AI192" s="49"/>
    </row>
    <row r="193" spans="1:35">
      <c r="A193" s="23"/>
      <c r="B193" s="42"/>
      <c r="C193" s="49"/>
      <c r="E193" s="49"/>
      <c r="G193" s="43"/>
      <c r="H193" s="44"/>
      <c r="L193" s="42"/>
      <c r="M193" s="42"/>
      <c r="N193" s="25"/>
      <c r="O193" s="54"/>
      <c r="P193"/>
      <c r="Q193" s="25"/>
      <c r="R193" s="54"/>
      <c r="W193" s="23"/>
      <c r="X193" s="23"/>
      <c r="Y193" s="23"/>
      <c r="Z193" s="43"/>
      <c r="AA193" s="23"/>
      <c r="AB193" s="23"/>
      <c r="AC193" s="23"/>
      <c r="AD193" s="23"/>
      <c r="AE193" s="23"/>
      <c r="AF193" s="23"/>
      <c r="AG193" s="23"/>
      <c r="AH193" s="23"/>
      <c r="AI193" s="49"/>
    </row>
    <row r="194" spans="1:35">
      <c r="A194" s="23"/>
      <c r="B194" s="42"/>
      <c r="C194" s="49"/>
      <c r="E194" s="49"/>
      <c r="G194" s="43"/>
      <c r="H194" s="44"/>
      <c r="L194" s="42"/>
      <c r="M194" s="42"/>
      <c r="N194" s="25"/>
      <c r="O194" s="54"/>
      <c r="P194"/>
      <c r="Q194" s="25"/>
      <c r="R194" s="54"/>
      <c r="W194" s="23"/>
      <c r="X194" s="23"/>
      <c r="Y194" s="23"/>
      <c r="Z194" s="43"/>
      <c r="AA194" s="23"/>
      <c r="AB194" s="23"/>
      <c r="AC194" s="23"/>
      <c r="AD194" s="23"/>
      <c r="AE194" s="23"/>
      <c r="AF194" s="23"/>
      <c r="AG194" s="23"/>
      <c r="AH194" s="23"/>
      <c r="AI194" s="49"/>
    </row>
    <row r="195" spans="1:35">
      <c r="A195" s="23"/>
      <c r="B195" s="42"/>
      <c r="C195" s="49"/>
      <c r="E195" s="49"/>
      <c r="G195" s="43"/>
      <c r="H195" s="44"/>
      <c r="L195" s="42"/>
      <c r="M195" s="42"/>
      <c r="N195" s="25"/>
      <c r="O195" s="54"/>
      <c r="P195"/>
      <c r="Q195" s="25"/>
      <c r="R195" s="54"/>
      <c r="W195" s="23"/>
      <c r="X195" s="23"/>
      <c r="Y195" s="23"/>
      <c r="Z195" s="43"/>
      <c r="AA195" s="23"/>
      <c r="AB195" s="23"/>
      <c r="AC195" s="23"/>
      <c r="AD195" s="23"/>
      <c r="AE195" s="23"/>
      <c r="AF195" s="23"/>
      <c r="AG195" s="23"/>
      <c r="AH195" s="23"/>
      <c r="AI195" s="49"/>
    </row>
    <row r="196" spans="1:35">
      <c r="A196" s="23"/>
      <c r="B196" s="42"/>
      <c r="C196" s="49"/>
      <c r="E196" s="49"/>
      <c r="G196" s="43"/>
      <c r="H196" s="44"/>
      <c r="L196" s="42"/>
      <c r="M196" s="42"/>
      <c r="N196" s="25"/>
      <c r="O196" s="54"/>
      <c r="P196"/>
      <c r="Q196" s="25"/>
      <c r="R196" s="54"/>
      <c r="W196" s="23"/>
      <c r="X196" s="23"/>
      <c r="Y196" s="23"/>
      <c r="Z196" s="43"/>
      <c r="AA196" s="23"/>
      <c r="AB196" s="23"/>
      <c r="AC196" s="23"/>
      <c r="AD196" s="23"/>
      <c r="AE196" s="23"/>
      <c r="AF196" s="23"/>
      <c r="AG196" s="23"/>
      <c r="AH196" s="23"/>
      <c r="AI196" s="49"/>
    </row>
    <row r="197" spans="1:35">
      <c r="A197" s="23"/>
      <c r="B197" s="42"/>
      <c r="C197" s="49"/>
      <c r="E197" s="49"/>
      <c r="G197" s="43"/>
      <c r="H197" s="44"/>
      <c r="L197" s="42"/>
      <c r="M197" s="42"/>
      <c r="N197" s="25"/>
      <c r="O197" s="54"/>
      <c r="P197"/>
      <c r="Q197" s="25"/>
      <c r="R197" s="54"/>
      <c r="W197" s="23"/>
      <c r="X197" s="23"/>
      <c r="Y197" s="23"/>
      <c r="Z197" s="43"/>
      <c r="AA197" s="23"/>
      <c r="AB197" s="23"/>
      <c r="AC197" s="23"/>
      <c r="AD197" s="23"/>
      <c r="AE197" s="23"/>
      <c r="AF197" s="23"/>
      <c r="AG197" s="23"/>
      <c r="AH197" s="23"/>
      <c r="AI197" s="49"/>
    </row>
    <row r="198" spans="1:35">
      <c r="A198" s="49"/>
      <c r="B198" s="42"/>
      <c r="G198" s="43"/>
      <c r="H198" s="44"/>
      <c r="L198" s="42"/>
      <c r="M198" s="42"/>
      <c r="N198" s="25"/>
      <c r="O198" s="54"/>
      <c r="P198"/>
      <c r="Q198" s="25"/>
      <c r="R198" s="54"/>
      <c r="W198" s="23"/>
      <c r="X198" s="23"/>
      <c r="Y198" s="23"/>
      <c r="Z198" s="43"/>
      <c r="AA198" s="23"/>
      <c r="AB198" s="23"/>
      <c r="AC198" s="23"/>
      <c r="AD198" s="23"/>
      <c r="AE198" s="23"/>
      <c r="AF198" s="23"/>
      <c r="AG198" s="23"/>
      <c r="AH198" s="23"/>
    </row>
    <row r="199" spans="1:35">
      <c r="A199" s="23"/>
      <c r="B199" s="42"/>
      <c r="C199" s="49"/>
      <c r="E199" s="49"/>
      <c r="G199" s="43"/>
      <c r="H199" s="44"/>
      <c r="L199" s="42"/>
      <c r="M199" s="42"/>
      <c r="N199" s="25"/>
      <c r="O199" s="54"/>
      <c r="P199"/>
      <c r="Q199" s="25"/>
      <c r="R199" s="54"/>
      <c r="W199" s="23"/>
      <c r="X199" s="23"/>
      <c r="Y199" s="23"/>
      <c r="Z199" s="43"/>
      <c r="AA199" s="23"/>
      <c r="AB199" s="23"/>
      <c r="AC199" s="23"/>
      <c r="AD199" s="23"/>
      <c r="AE199" s="23"/>
      <c r="AF199" s="23"/>
      <c r="AG199" s="23"/>
      <c r="AH199" s="23"/>
      <c r="AI199" s="49"/>
    </row>
    <row r="200" spans="1:35">
      <c r="B200" s="42"/>
      <c r="G200" s="43"/>
      <c r="H200" s="44"/>
      <c r="L200" s="42"/>
      <c r="M200" s="42"/>
      <c r="N200" s="25"/>
      <c r="O200" s="54"/>
      <c r="P200"/>
      <c r="Q200" s="25"/>
      <c r="R200" s="54"/>
      <c r="W200" s="23"/>
      <c r="X200" s="23"/>
      <c r="Y200" s="23"/>
      <c r="Z200" s="43"/>
      <c r="AA200" s="23"/>
      <c r="AB200" s="23"/>
      <c r="AC200" s="23"/>
      <c r="AD200" s="23"/>
      <c r="AE200" s="23"/>
      <c r="AF200" s="23"/>
      <c r="AG200" s="23"/>
      <c r="AH200" s="23"/>
    </row>
    <row r="201" spans="1:35">
      <c r="A201" s="50"/>
      <c r="B201" s="42"/>
      <c r="G201" s="43"/>
      <c r="H201" s="44"/>
      <c r="L201" s="42"/>
      <c r="M201" s="42"/>
      <c r="N201" s="25"/>
      <c r="O201" s="54"/>
      <c r="P201"/>
      <c r="Q201" s="25"/>
      <c r="R201" s="54"/>
      <c r="W201" s="23"/>
      <c r="X201" s="23"/>
      <c r="Y201" s="23"/>
      <c r="Z201" s="43"/>
      <c r="AA201" s="23"/>
      <c r="AB201" s="23"/>
      <c r="AC201" s="23"/>
      <c r="AD201" s="23"/>
      <c r="AE201" s="23"/>
      <c r="AF201" s="23"/>
      <c r="AG201" s="23"/>
      <c r="AH201" s="23"/>
    </row>
    <row r="202" spans="1:35">
      <c r="A202" s="23"/>
      <c r="B202" s="42"/>
      <c r="C202" s="49"/>
      <c r="E202" s="49"/>
      <c r="G202" s="43"/>
      <c r="H202" s="44"/>
      <c r="L202" s="42"/>
      <c r="M202" s="42"/>
      <c r="N202" s="25"/>
      <c r="O202" s="54"/>
      <c r="P202"/>
      <c r="Q202" s="25"/>
      <c r="R202" s="54"/>
      <c r="W202" s="23"/>
      <c r="X202" s="23"/>
      <c r="Y202" s="23"/>
      <c r="Z202" s="43"/>
      <c r="AA202" s="23"/>
      <c r="AB202" s="23"/>
      <c r="AC202" s="23"/>
      <c r="AD202" s="23"/>
      <c r="AE202" s="23"/>
      <c r="AF202" s="23"/>
      <c r="AG202" s="23"/>
      <c r="AH202" s="23"/>
      <c r="AI202" s="49"/>
    </row>
    <row r="203" spans="1:35">
      <c r="B203" s="42"/>
      <c r="G203" s="43"/>
      <c r="H203" s="44"/>
      <c r="L203" s="42"/>
      <c r="M203" s="42"/>
      <c r="N203" s="25"/>
      <c r="O203" s="54"/>
      <c r="P203"/>
      <c r="Q203" s="25"/>
      <c r="R203" s="54"/>
      <c r="W203" s="23"/>
      <c r="X203" s="23"/>
      <c r="Y203" s="23"/>
      <c r="Z203" s="43"/>
      <c r="AA203" s="23"/>
      <c r="AB203" s="23"/>
      <c r="AC203" s="23"/>
      <c r="AD203" s="23"/>
      <c r="AE203" s="23"/>
      <c r="AF203" s="23"/>
      <c r="AG203" s="23"/>
      <c r="AH203" s="23"/>
    </row>
    <row r="204" spans="1:35">
      <c r="B204" s="42"/>
      <c r="G204" s="43"/>
      <c r="H204" s="44"/>
      <c r="L204" s="42"/>
      <c r="M204" s="42"/>
      <c r="N204" s="25"/>
      <c r="O204" s="54"/>
      <c r="P204"/>
      <c r="Q204" s="25"/>
      <c r="R204" s="54"/>
      <c r="W204" s="23"/>
      <c r="X204" s="23"/>
      <c r="Y204" s="23"/>
      <c r="Z204" s="43"/>
      <c r="AA204" s="23"/>
      <c r="AB204" s="23"/>
      <c r="AC204" s="23"/>
      <c r="AD204" s="23"/>
      <c r="AE204" s="23"/>
      <c r="AF204" s="23"/>
      <c r="AG204" s="23"/>
      <c r="AH204" s="23"/>
    </row>
    <row r="205" spans="1:35">
      <c r="A205" s="23"/>
      <c r="B205" s="42"/>
      <c r="C205" s="49"/>
      <c r="E205" s="49"/>
      <c r="G205" s="43"/>
      <c r="H205" s="44"/>
      <c r="L205" s="42"/>
      <c r="M205" s="42"/>
      <c r="N205" s="25"/>
      <c r="O205" s="54"/>
      <c r="P205"/>
      <c r="Q205" s="25"/>
      <c r="R205" s="54"/>
      <c r="W205" s="23"/>
      <c r="X205" s="23"/>
      <c r="Y205" s="23"/>
      <c r="Z205" s="43"/>
      <c r="AA205" s="23"/>
      <c r="AB205" s="23"/>
      <c r="AC205" s="23"/>
      <c r="AD205" s="23"/>
      <c r="AE205" s="23"/>
      <c r="AF205" s="23"/>
      <c r="AG205" s="23"/>
      <c r="AH205" s="23"/>
      <c r="AI205" s="49"/>
    </row>
    <row r="206" spans="1:35">
      <c r="A206" s="23"/>
      <c r="B206" s="42"/>
      <c r="C206" s="49"/>
      <c r="E206" s="49"/>
      <c r="G206" s="43"/>
      <c r="H206" s="44"/>
      <c r="L206" s="42"/>
      <c r="M206" s="42"/>
      <c r="N206" s="25"/>
      <c r="O206" s="54"/>
      <c r="P206"/>
      <c r="Q206" s="25"/>
      <c r="R206" s="54"/>
      <c r="W206" s="23"/>
      <c r="X206" s="23"/>
      <c r="Y206" s="23"/>
      <c r="Z206" s="43"/>
      <c r="AA206" s="23"/>
      <c r="AB206" s="23"/>
      <c r="AC206" s="23"/>
      <c r="AD206" s="23"/>
      <c r="AE206" s="23"/>
      <c r="AF206" s="23"/>
      <c r="AG206" s="23"/>
      <c r="AH206" s="23"/>
      <c r="AI206" s="49"/>
    </row>
    <row r="207" spans="1:35">
      <c r="B207" s="42"/>
      <c r="G207" s="43"/>
      <c r="H207" s="44"/>
      <c r="L207" s="42"/>
      <c r="M207" s="42"/>
      <c r="N207" s="25"/>
      <c r="O207" s="54"/>
      <c r="P207"/>
      <c r="Q207" s="25"/>
      <c r="R207" s="54"/>
      <c r="W207" s="23"/>
      <c r="X207" s="23"/>
      <c r="Y207" s="23"/>
      <c r="Z207" s="43"/>
      <c r="AA207" s="23"/>
      <c r="AB207" s="23"/>
      <c r="AC207" s="23"/>
      <c r="AD207" s="23"/>
      <c r="AE207" s="23"/>
      <c r="AF207" s="23"/>
      <c r="AG207" s="23"/>
      <c r="AH207" s="23"/>
    </row>
    <row r="208" spans="1:35">
      <c r="A208" s="23"/>
      <c r="B208" s="42"/>
      <c r="G208" s="43"/>
      <c r="H208" s="44"/>
      <c r="L208" s="42"/>
      <c r="M208" s="42"/>
      <c r="N208" s="25"/>
      <c r="O208" s="54"/>
      <c r="P208"/>
      <c r="Q208" s="25"/>
      <c r="R208" s="54"/>
      <c r="W208" s="23"/>
      <c r="X208" s="23"/>
      <c r="Y208" s="23"/>
      <c r="Z208" s="43"/>
      <c r="AA208" s="23"/>
      <c r="AB208" s="23"/>
      <c r="AC208" s="23"/>
      <c r="AD208" s="23"/>
      <c r="AE208" s="23"/>
      <c r="AF208" s="23"/>
      <c r="AG208" s="23"/>
      <c r="AH208" s="23"/>
    </row>
    <row r="209" spans="1:35">
      <c r="A209" s="23"/>
      <c r="B209" s="42"/>
      <c r="G209" s="43"/>
      <c r="H209" s="44"/>
      <c r="L209" s="42"/>
      <c r="M209" s="42"/>
      <c r="N209" s="25"/>
      <c r="O209" s="54"/>
      <c r="P209"/>
      <c r="Q209" s="25"/>
      <c r="R209" s="54"/>
      <c r="W209" s="23"/>
      <c r="X209" s="23"/>
      <c r="Y209" s="23"/>
      <c r="Z209" s="43"/>
      <c r="AA209" s="23"/>
      <c r="AB209" s="23"/>
      <c r="AC209" s="23"/>
      <c r="AD209" s="23"/>
      <c r="AE209" s="23"/>
      <c r="AF209" s="23"/>
      <c r="AG209" s="23"/>
      <c r="AH209" s="23"/>
    </row>
    <row r="210" spans="1:35">
      <c r="A210" s="50"/>
      <c r="B210" s="42"/>
      <c r="G210" s="43"/>
      <c r="H210" s="44"/>
      <c r="L210" s="42"/>
      <c r="M210" s="42"/>
      <c r="N210" s="25"/>
      <c r="O210" s="54"/>
      <c r="P210"/>
      <c r="Q210" s="25"/>
      <c r="R210" s="54"/>
      <c r="W210" s="23"/>
      <c r="X210" s="23"/>
      <c r="Y210" s="23"/>
      <c r="Z210" s="43"/>
      <c r="AA210" s="23"/>
      <c r="AB210" s="23"/>
      <c r="AC210" s="23"/>
      <c r="AD210" s="23"/>
      <c r="AE210" s="23"/>
      <c r="AF210" s="23"/>
      <c r="AG210" s="23"/>
      <c r="AH210" s="23"/>
    </row>
    <row r="211" spans="1:35">
      <c r="A211" s="23"/>
      <c r="B211" s="42"/>
      <c r="C211" s="49"/>
      <c r="E211" s="49"/>
      <c r="G211" s="43"/>
      <c r="H211" s="44"/>
      <c r="L211" s="42"/>
      <c r="M211" s="42"/>
      <c r="N211" s="25"/>
      <c r="O211" s="54"/>
      <c r="P211"/>
      <c r="Q211" s="25"/>
      <c r="R211" s="54"/>
      <c r="W211" s="23"/>
      <c r="X211" s="23"/>
      <c r="Y211" s="23"/>
      <c r="Z211" s="43"/>
      <c r="AA211" s="23"/>
      <c r="AB211" s="23"/>
      <c r="AC211" s="23"/>
      <c r="AD211" s="23"/>
      <c r="AE211" s="23"/>
      <c r="AF211" s="23"/>
      <c r="AG211" s="23"/>
      <c r="AH211" s="23"/>
      <c r="AI211" s="49"/>
    </row>
    <row r="212" spans="1:35">
      <c r="A212" s="23"/>
      <c r="B212" s="42"/>
      <c r="C212" s="49"/>
      <c r="E212" s="49"/>
      <c r="G212" s="43"/>
      <c r="H212" s="44"/>
      <c r="L212" s="42"/>
      <c r="M212" s="42"/>
      <c r="N212" s="25"/>
      <c r="O212" s="54"/>
      <c r="P212"/>
      <c r="Q212" s="25"/>
      <c r="R212" s="54"/>
      <c r="W212" s="23"/>
      <c r="X212" s="23"/>
      <c r="Y212" s="23"/>
      <c r="Z212" s="43"/>
      <c r="AA212" s="23"/>
      <c r="AB212" s="23"/>
      <c r="AC212" s="23"/>
      <c r="AD212" s="23"/>
      <c r="AE212" s="23"/>
      <c r="AF212" s="23"/>
      <c r="AG212" s="23"/>
      <c r="AH212" s="23"/>
      <c r="AI212" s="49"/>
    </row>
    <row r="213" spans="1:35">
      <c r="A213" s="23"/>
      <c r="B213" s="42"/>
      <c r="C213" s="49"/>
      <c r="E213" s="49"/>
      <c r="G213" s="43"/>
      <c r="H213" s="44"/>
      <c r="L213" s="42"/>
      <c r="M213" s="42"/>
      <c r="N213" s="25"/>
      <c r="O213" s="54"/>
      <c r="P213"/>
      <c r="Q213" s="25"/>
      <c r="R213" s="54"/>
      <c r="W213" s="23"/>
      <c r="X213" s="23"/>
      <c r="Y213" s="23"/>
      <c r="Z213" s="43"/>
      <c r="AA213" s="23"/>
      <c r="AB213" s="23"/>
      <c r="AC213" s="23"/>
      <c r="AD213" s="23"/>
      <c r="AE213" s="23"/>
      <c r="AF213" s="23"/>
      <c r="AG213" s="23"/>
      <c r="AH213" s="23"/>
      <c r="AI213" s="49"/>
    </row>
    <row r="214" spans="1:35">
      <c r="B214" s="42"/>
      <c r="G214" s="43"/>
      <c r="H214" s="44"/>
      <c r="L214" s="42"/>
      <c r="M214" s="42"/>
      <c r="N214" s="25"/>
      <c r="O214" s="54"/>
      <c r="P214"/>
      <c r="Q214" s="25"/>
      <c r="R214" s="54"/>
      <c r="W214" s="23"/>
      <c r="X214" s="23"/>
      <c r="Y214" s="23"/>
      <c r="Z214" s="43"/>
      <c r="AA214" s="23"/>
      <c r="AB214" s="23"/>
      <c r="AC214" s="23"/>
      <c r="AD214" s="23"/>
      <c r="AE214" s="23"/>
      <c r="AF214" s="23"/>
      <c r="AG214" s="23"/>
      <c r="AH214" s="23"/>
    </row>
    <row r="215" spans="1:35">
      <c r="A215" s="23"/>
      <c r="B215" s="42"/>
      <c r="C215" s="49"/>
      <c r="E215" s="49"/>
      <c r="G215" s="43"/>
      <c r="H215" s="44"/>
      <c r="L215" s="42"/>
      <c r="M215" s="42"/>
      <c r="N215" s="25"/>
      <c r="O215" s="54"/>
      <c r="P215"/>
      <c r="Q215" s="25"/>
      <c r="R215" s="54"/>
      <c r="W215" s="23"/>
      <c r="X215" s="23"/>
      <c r="Y215" s="23"/>
      <c r="Z215" s="43"/>
      <c r="AA215" s="23"/>
      <c r="AB215" s="23"/>
      <c r="AC215" s="23"/>
      <c r="AD215" s="23"/>
      <c r="AE215" s="23"/>
      <c r="AF215" s="23"/>
      <c r="AG215" s="23"/>
      <c r="AH215" s="23"/>
      <c r="AI215" s="49"/>
    </row>
    <row r="216" spans="1:35">
      <c r="A216" s="23"/>
      <c r="B216" s="42"/>
      <c r="C216" s="49"/>
      <c r="E216" s="49"/>
      <c r="G216" s="43"/>
      <c r="H216" s="44"/>
      <c r="L216" s="42"/>
      <c r="M216" s="42"/>
      <c r="N216" s="25"/>
      <c r="O216" s="54"/>
      <c r="P216"/>
      <c r="Q216" s="25"/>
      <c r="R216" s="54"/>
      <c r="W216" s="23"/>
      <c r="X216" s="23"/>
      <c r="Y216" s="23"/>
      <c r="Z216" s="43"/>
      <c r="AA216" s="23"/>
      <c r="AB216" s="23"/>
      <c r="AC216" s="23"/>
      <c r="AD216" s="23"/>
      <c r="AE216" s="23"/>
      <c r="AF216" s="23"/>
      <c r="AG216" s="23"/>
      <c r="AH216" s="23"/>
      <c r="AI216" s="49"/>
    </row>
    <row r="217" spans="1:35">
      <c r="A217" s="23"/>
      <c r="B217" s="42"/>
      <c r="C217" s="49"/>
      <c r="E217" s="49"/>
      <c r="G217" s="43"/>
      <c r="H217" s="44"/>
      <c r="L217" s="42"/>
      <c r="M217" s="42"/>
      <c r="N217" s="25"/>
      <c r="O217" s="54"/>
      <c r="P217"/>
      <c r="Q217" s="25"/>
      <c r="R217" s="54"/>
      <c r="W217" s="23"/>
      <c r="X217" s="23"/>
      <c r="Y217" s="23"/>
      <c r="Z217" s="43"/>
      <c r="AA217" s="23"/>
      <c r="AB217" s="23"/>
      <c r="AC217" s="23"/>
      <c r="AD217" s="23"/>
      <c r="AE217" s="23"/>
      <c r="AF217" s="23"/>
      <c r="AG217" s="23"/>
      <c r="AH217" s="23"/>
      <c r="AI217" s="49"/>
    </row>
    <row r="218" spans="1:35">
      <c r="A218" s="50"/>
      <c r="B218" s="42"/>
      <c r="G218" s="43"/>
      <c r="H218" s="44"/>
      <c r="L218" s="42"/>
      <c r="M218" s="42"/>
      <c r="N218" s="25"/>
      <c r="O218" s="54"/>
      <c r="P218"/>
      <c r="Q218" s="25"/>
      <c r="R218" s="54"/>
      <c r="W218" s="23"/>
      <c r="X218" s="23"/>
      <c r="Y218" s="23"/>
      <c r="Z218" s="43"/>
      <c r="AA218" s="23"/>
      <c r="AB218" s="23"/>
      <c r="AC218" s="23"/>
      <c r="AD218" s="23"/>
      <c r="AE218" s="23"/>
      <c r="AF218" s="23"/>
      <c r="AG218" s="23"/>
      <c r="AH218" s="23"/>
    </row>
    <row r="219" spans="1:35">
      <c r="A219" s="49"/>
      <c r="B219" s="42"/>
      <c r="C219" s="49"/>
      <c r="E219" s="49"/>
      <c r="G219" s="43"/>
      <c r="H219" s="44"/>
      <c r="L219" s="42"/>
      <c r="M219" s="42"/>
      <c r="N219" s="25"/>
      <c r="O219" s="54"/>
      <c r="P219"/>
      <c r="Q219" s="25"/>
      <c r="R219" s="54"/>
      <c r="W219" s="23"/>
      <c r="X219" s="23"/>
      <c r="Y219" s="23"/>
      <c r="Z219" s="43"/>
      <c r="AA219" s="23"/>
      <c r="AB219" s="23"/>
      <c r="AC219" s="23"/>
      <c r="AD219" s="23"/>
      <c r="AE219" s="23"/>
      <c r="AF219" s="23"/>
      <c r="AG219" s="23"/>
      <c r="AH219" s="23"/>
      <c r="AI219" s="49"/>
    </row>
    <row r="220" spans="1:35">
      <c r="A220" s="23"/>
      <c r="B220" s="42"/>
      <c r="C220" s="49"/>
      <c r="E220" s="49"/>
      <c r="G220" s="43"/>
      <c r="H220" s="44"/>
      <c r="L220" s="42"/>
      <c r="M220" s="42"/>
      <c r="N220" s="25"/>
      <c r="O220" s="54"/>
      <c r="P220"/>
      <c r="Q220" s="25"/>
      <c r="R220" s="54"/>
      <c r="W220" s="23"/>
      <c r="X220" s="23"/>
      <c r="Y220" s="23"/>
      <c r="Z220" s="43"/>
      <c r="AA220" s="23"/>
      <c r="AB220" s="23"/>
      <c r="AC220" s="23"/>
      <c r="AD220" s="23"/>
      <c r="AE220" s="23"/>
      <c r="AF220" s="23"/>
      <c r="AG220" s="23"/>
      <c r="AH220" s="23"/>
      <c r="AI220" s="49"/>
    </row>
    <row r="221" spans="1:35">
      <c r="B221" s="42"/>
      <c r="G221" s="43"/>
      <c r="H221" s="44"/>
      <c r="L221" s="42"/>
      <c r="M221" s="42"/>
      <c r="N221" s="25"/>
      <c r="O221" s="54"/>
      <c r="P221"/>
      <c r="Q221" s="25"/>
      <c r="R221" s="54"/>
      <c r="W221" s="23"/>
      <c r="X221" s="23"/>
      <c r="Y221" s="23"/>
      <c r="Z221" s="43"/>
      <c r="AA221" s="23"/>
      <c r="AB221" s="23"/>
      <c r="AC221" s="23"/>
      <c r="AD221" s="23"/>
      <c r="AE221" s="23"/>
      <c r="AF221" s="23"/>
      <c r="AG221" s="23"/>
      <c r="AH221" s="23"/>
    </row>
    <row r="222" spans="1:35">
      <c r="A222" s="23"/>
      <c r="B222" s="42"/>
      <c r="C222" s="49"/>
      <c r="E222" s="49"/>
      <c r="G222" s="43"/>
      <c r="H222" s="44"/>
      <c r="L222" s="42"/>
      <c r="M222" s="42"/>
      <c r="N222" s="25"/>
      <c r="O222" s="54"/>
      <c r="P222"/>
      <c r="Q222" s="25"/>
      <c r="R222" s="54"/>
      <c r="W222" s="23"/>
      <c r="X222" s="23"/>
      <c r="Y222" s="23"/>
      <c r="Z222" s="43"/>
      <c r="AA222" s="23"/>
      <c r="AB222" s="23"/>
      <c r="AC222" s="23"/>
      <c r="AD222" s="23"/>
      <c r="AE222" s="23"/>
      <c r="AF222" s="23"/>
      <c r="AG222" s="23"/>
      <c r="AH222" s="23"/>
      <c r="AI222" s="49"/>
    </row>
    <row r="223" spans="1:35">
      <c r="A223" s="50"/>
      <c r="B223" s="42"/>
      <c r="C223" s="49"/>
      <c r="E223" s="49"/>
      <c r="G223" s="43"/>
      <c r="H223" s="44"/>
      <c r="L223" s="42"/>
      <c r="M223" s="42"/>
      <c r="N223" s="25"/>
      <c r="O223" s="54"/>
      <c r="P223"/>
      <c r="Q223" s="25"/>
      <c r="R223" s="54"/>
      <c r="W223" s="23"/>
      <c r="X223" s="23"/>
      <c r="Y223" s="23"/>
      <c r="Z223" s="43"/>
      <c r="AA223" s="23"/>
      <c r="AB223" s="23"/>
      <c r="AC223" s="23"/>
      <c r="AD223" s="23"/>
      <c r="AE223" s="23"/>
      <c r="AF223" s="23"/>
      <c r="AG223" s="23"/>
      <c r="AH223" s="23"/>
      <c r="AI223" s="49"/>
    </row>
    <row r="224" spans="1:35">
      <c r="A224" s="23"/>
      <c r="B224" s="42"/>
      <c r="G224" s="43"/>
      <c r="H224" s="44"/>
      <c r="L224" s="42"/>
      <c r="M224" s="42"/>
      <c r="N224" s="25"/>
      <c r="O224" s="54"/>
      <c r="P224"/>
      <c r="Q224" s="25"/>
      <c r="R224" s="54"/>
      <c r="W224" s="23"/>
      <c r="X224" s="23"/>
      <c r="Y224" s="23"/>
      <c r="Z224" s="43"/>
      <c r="AA224" s="23"/>
      <c r="AB224" s="23"/>
      <c r="AC224" s="23"/>
      <c r="AD224" s="23"/>
      <c r="AE224" s="23"/>
      <c r="AF224" s="23"/>
      <c r="AG224" s="23"/>
      <c r="AH224" s="23"/>
      <c r="AI224" s="23"/>
    </row>
    <row r="225" spans="1:35">
      <c r="A225" s="23"/>
      <c r="B225" s="42"/>
      <c r="C225" s="49"/>
      <c r="E225" s="49"/>
      <c r="G225" s="43"/>
      <c r="H225" s="44"/>
      <c r="L225" s="42"/>
      <c r="M225" s="42"/>
      <c r="N225" s="25"/>
      <c r="O225" s="54"/>
      <c r="P225"/>
      <c r="Q225" s="25"/>
      <c r="R225" s="54"/>
      <c r="W225" s="23"/>
      <c r="X225" s="23"/>
      <c r="Y225" s="23"/>
      <c r="Z225" s="43"/>
      <c r="AA225" s="23"/>
      <c r="AB225" s="23"/>
      <c r="AC225" s="23"/>
      <c r="AD225" s="23"/>
      <c r="AE225" s="23"/>
      <c r="AF225" s="23"/>
      <c r="AG225" s="23"/>
      <c r="AH225" s="23"/>
      <c r="AI225" s="49"/>
    </row>
    <row r="226" spans="1:35">
      <c r="A226" s="23"/>
      <c r="B226" s="42"/>
      <c r="G226" s="43"/>
      <c r="H226" s="44"/>
      <c r="L226" s="42"/>
      <c r="M226" s="42"/>
      <c r="N226" s="25"/>
      <c r="O226" s="54"/>
      <c r="P226"/>
      <c r="Q226" s="25"/>
      <c r="R226" s="54"/>
      <c r="W226" s="23"/>
      <c r="X226" s="23"/>
      <c r="Y226" s="23"/>
      <c r="Z226" s="43"/>
      <c r="AA226" s="23"/>
      <c r="AB226" s="23"/>
      <c r="AC226" s="23"/>
      <c r="AD226" s="23"/>
      <c r="AE226" s="23"/>
      <c r="AF226" s="23"/>
      <c r="AG226" s="23"/>
      <c r="AH226" s="23"/>
      <c r="AI226" s="23"/>
    </row>
    <row r="227" spans="1:35">
      <c r="A227" s="23"/>
      <c r="B227" s="42"/>
      <c r="C227" s="49"/>
      <c r="E227" s="49"/>
      <c r="G227" s="43"/>
      <c r="H227" s="44"/>
      <c r="L227" s="42"/>
      <c r="M227" s="42"/>
      <c r="N227" s="25"/>
      <c r="O227" s="54"/>
      <c r="P227"/>
      <c r="Q227" s="25"/>
      <c r="R227" s="54"/>
      <c r="W227" s="23"/>
      <c r="X227" s="23"/>
      <c r="Y227" s="23"/>
      <c r="Z227" s="43"/>
      <c r="AA227" s="23"/>
      <c r="AB227" s="23"/>
      <c r="AC227" s="23"/>
      <c r="AD227" s="23"/>
      <c r="AE227" s="23"/>
      <c r="AF227" s="23"/>
      <c r="AG227" s="23"/>
      <c r="AH227" s="23"/>
      <c r="AI227" s="49"/>
    </row>
    <row r="228" spans="1:35">
      <c r="A228" s="23"/>
      <c r="B228" s="42"/>
      <c r="G228" s="43"/>
      <c r="H228" s="44"/>
      <c r="L228" s="42"/>
      <c r="M228" s="42"/>
      <c r="N228" s="25"/>
      <c r="O228" s="54"/>
      <c r="P228"/>
      <c r="Q228" s="25"/>
      <c r="R228" s="54"/>
      <c r="W228" s="23"/>
      <c r="X228" s="23"/>
      <c r="Y228" s="23"/>
      <c r="Z228" s="43"/>
      <c r="AA228" s="23"/>
      <c r="AB228" s="23"/>
      <c r="AC228" s="23"/>
      <c r="AD228" s="23"/>
      <c r="AE228" s="23"/>
      <c r="AF228" s="23"/>
      <c r="AG228" s="23"/>
      <c r="AH228" s="23"/>
      <c r="AI228" s="23"/>
    </row>
    <row r="229" spans="1:35">
      <c r="A229" s="23"/>
      <c r="B229" s="42"/>
      <c r="C229" s="49"/>
      <c r="E229" s="49"/>
      <c r="G229" s="43"/>
      <c r="H229" s="44"/>
      <c r="L229" s="42"/>
      <c r="M229" s="42"/>
      <c r="N229" s="25"/>
      <c r="O229" s="54"/>
      <c r="P229"/>
      <c r="Q229" s="25"/>
      <c r="R229" s="54"/>
      <c r="W229" s="23"/>
      <c r="X229" s="23"/>
      <c r="Y229" s="23"/>
      <c r="Z229" s="43"/>
      <c r="AA229" s="23"/>
      <c r="AB229" s="23"/>
      <c r="AC229" s="23"/>
      <c r="AD229" s="23"/>
      <c r="AE229" s="23"/>
      <c r="AF229" s="23"/>
      <c r="AG229" s="23"/>
      <c r="AH229" s="23"/>
      <c r="AI229" s="49"/>
    </row>
    <row r="230" spans="1:35">
      <c r="A230" s="23"/>
      <c r="B230" s="42"/>
      <c r="C230" s="49"/>
      <c r="E230" s="49"/>
      <c r="G230" s="43"/>
      <c r="H230" s="44"/>
      <c r="L230" s="42"/>
      <c r="M230" s="42"/>
      <c r="N230" s="25"/>
      <c r="O230" s="54"/>
      <c r="P230"/>
      <c r="Q230" s="25"/>
      <c r="R230" s="54"/>
      <c r="W230" s="23"/>
      <c r="X230" s="23"/>
      <c r="Y230" s="23"/>
      <c r="Z230" s="43"/>
      <c r="AA230" s="23"/>
      <c r="AB230" s="23"/>
      <c r="AC230" s="23"/>
      <c r="AD230" s="23"/>
      <c r="AE230" s="23"/>
      <c r="AF230" s="23"/>
      <c r="AG230" s="23"/>
      <c r="AH230" s="23"/>
      <c r="AI230" s="49"/>
    </row>
    <row r="231" spans="1:35">
      <c r="A231" s="23"/>
      <c r="B231" s="42"/>
      <c r="C231" s="49"/>
      <c r="E231" s="49"/>
      <c r="G231" s="43"/>
      <c r="H231" s="44"/>
      <c r="L231" s="42"/>
      <c r="M231" s="42"/>
      <c r="N231" s="25"/>
      <c r="O231" s="54"/>
      <c r="P231"/>
      <c r="Q231" s="25"/>
      <c r="R231" s="54"/>
      <c r="W231" s="23"/>
      <c r="X231" s="23"/>
      <c r="Y231" s="23"/>
      <c r="Z231" s="43"/>
      <c r="AA231" s="23"/>
      <c r="AB231" s="23"/>
      <c r="AC231" s="23"/>
      <c r="AD231" s="23"/>
      <c r="AE231" s="23"/>
      <c r="AF231" s="23"/>
      <c r="AG231" s="23"/>
      <c r="AH231" s="23"/>
      <c r="AI231" s="49"/>
    </row>
    <row r="232" spans="1:35">
      <c r="A232" s="23"/>
      <c r="B232" s="42"/>
      <c r="G232" s="43"/>
      <c r="H232" s="44"/>
      <c r="L232" s="42"/>
      <c r="M232" s="42"/>
      <c r="N232" s="25"/>
      <c r="O232" s="54"/>
      <c r="P232"/>
      <c r="Q232" s="25"/>
      <c r="R232" s="54"/>
      <c r="W232" s="23"/>
      <c r="X232" s="23"/>
      <c r="Y232" s="23"/>
      <c r="Z232" s="43"/>
      <c r="AA232" s="23"/>
      <c r="AB232" s="23"/>
      <c r="AC232" s="23"/>
      <c r="AD232" s="23"/>
      <c r="AE232" s="23"/>
      <c r="AF232" s="23"/>
      <c r="AG232" s="23"/>
      <c r="AH232" s="23"/>
      <c r="AI232" s="23"/>
    </row>
    <row r="233" spans="1:35">
      <c r="A233" s="23"/>
      <c r="B233" s="42"/>
      <c r="G233" s="43"/>
      <c r="H233" s="44"/>
      <c r="L233" s="42"/>
      <c r="M233" s="42"/>
      <c r="N233" s="25"/>
      <c r="O233" s="54"/>
      <c r="P233"/>
      <c r="Q233" s="25"/>
      <c r="R233" s="54"/>
      <c r="W233" s="23"/>
      <c r="X233" s="23"/>
      <c r="Y233" s="23"/>
      <c r="Z233" s="43"/>
      <c r="AA233" s="23"/>
      <c r="AB233" s="23"/>
      <c r="AC233" s="23"/>
      <c r="AD233" s="23"/>
      <c r="AE233" s="23"/>
      <c r="AF233" s="23"/>
      <c r="AG233" s="23"/>
      <c r="AH233" s="23"/>
      <c r="AI233" s="23"/>
    </row>
    <row r="234" spans="1:35">
      <c r="A234" s="23"/>
      <c r="B234" s="42"/>
      <c r="C234" s="49"/>
      <c r="E234" s="49"/>
      <c r="G234" s="43"/>
      <c r="H234" s="44"/>
      <c r="L234" s="42"/>
      <c r="M234" s="42"/>
      <c r="N234" s="25"/>
      <c r="O234" s="54"/>
      <c r="P234"/>
      <c r="Q234" s="25"/>
      <c r="R234" s="54"/>
      <c r="W234" s="23"/>
      <c r="X234" s="23"/>
      <c r="Y234" s="23"/>
      <c r="Z234" s="43"/>
      <c r="AA234" s="23"/>
      <c r="AB234" s="23"/>
      <c r="AC234" s="23"/>
      <c r="AD234" s="23"/>
      <c r="AE234" s="23"/>
      <c r="AF234" s="23"/>
      <c r="AG234" s="23"/>
      <c r="AH234" s="23"/>
      <c r="AI234" s="49"/>
    </row>
    <row r="235" spans="1:35">
      <c r="A235" s="23"/>
      <c r="B235" s="42"/>
      <c r="C235" s="49"/>
      <c r="E235" s="49"/>
      <c r="G235" s="43"/>
      <c r="H235" s="44"/>
      <c r="L235" s="42"/>
      <c r="M235" s="42"/>
      <c r="N235" s="25"/>
      <c r="O235" s="54"/>
      <c r="P235"/>
      <c r="Q235" s="25"/>
      <c r="R235" s="54"/>
      <c r="W235" s="23"/>
      <c r="X235" s="23"/>
      <c r="Y235" s="23"/>
      <c r="Z235" s="43"/>
      <c r="AA235" s="23"/>
      <c r="AB235" s="23"/>
      <c r="AC235" s="23"/>
      <c r="AD235" s="23"/>
      <c r="AE235" s="23"/>
      <c r="AF235" s="23"/>
      <c r="AG235" s="23"/>
      <c r="AH235" s="23"/>
      <c r="AI235" s="49"/>
    </row>
    <row r="236" spans="1:35">
      <c r="A236" s="23"/>
      <c r="B236" s="42"/>
      <c r="C236" s="49"/>
      <c r="E236" s="49"/>
      <c r="G236" s="43"/>
      <c r="H236" s="44"/>
      <c r="L236" s="42"/>
      <c r="M236" s="42"/>
      <c r="N236" s="25"/>
      <c r="O236" s="54"/>
      <c r="P236"/>
      <c r="Q236" s="25"/>
      <c r="R236" s="54"/>
      <c r="W236" s="23"/>
      <c r="X236" s="23"/>
      <c r="Y236" s="23"/>
      <c r="Z236" s="43"/>
      <c r="AA236" s="23"/>
      <c r="AB236" s="23"/>
      <c r="AC236" s="23"/>
      <c r="AD236" s="23"/>
      <c r="AE236" s="23"/>
      <c r="AF236" s="23"/>
      <c r="AG236" s="23"/>
      <c r="AH236" s="23"/>
      <c r="AI236" s="49"/>
    </row>
    <row r="237" spans="1:35">
      <c r="A237" s="23"/>
      <c r="B237" s="42"/>
      <c r="C237" s="49"/>
      <c r="E237" s="49"/>
      <c r="G237" s="43"/>
      <c r="H237" s="44"/>
      <c r="L237" s="42"/>
      <c r="M237" s="42"/>
      <c r="N237" s="25"/>
      <c r="O237" s="54"/>
      <c r="P237"/>
      <c r="Q237" s="25"/>
      <c r="R237" s="54"/>
      <c r="W237" s="23"/>
      <c r="X237" s="23"/>
      <c r="Y237" s="23"/>
      <c r="Z237" s="43"/>
      <c r="AA237" s="23"/>
      <c r="AB237" s="23"/>
      <c r="AC237" s="23"/>
      <c r="AD237" s="23"/>
      <c r="AE237" s="23"/>
      <c r="AF237" s="23"/>
      <c r="AG237" s="23"/>
      <c r="AH237" s="23"/>
      <c r="AI237" s="49"/>
    </row>
    <row r="238" spans="1:35">
      <c r="A238" s="23"/>
      <c r="B238" s="42"/>
      <c r="C238" s="49"/>
      <c r="E238" s="49"/>
      <c r="G238" s="43"/>
      <c r="H238" s="44"/>
      <c r="L238" s="42"/>
      <c r="M238" s="42"/>
      <c r="N238" s="25"/>
      <c r="O238" s="54"/>
      <c r="P238"/>
      <c r="Q238" s="25"/>
      <c r="R238" s="54"/>
      <c r="W238" s="23"/>
      <c r="X238" s="23"/>
      <c r="Y238" s="23"/>
      <c r="Z238" s="43"/>
      <c r="AA238" s="23"/>
      <c r="AB238" s="23"/>
      <c r="AC238" s="23"/>
      <c r="AD238" s="23"/>
      <c r="AE238" s="23"/>
      <c r="AF238" s="23"/>
      <c r="AG238" s="23"/>
      <c r="AH238" s="23"/>
      <c r="AI238" s="49"/>
    </row>
    <row r="239" spans="1:35">
      <c r="B239" s="42"/>
      <c r="G239" s="43"/>
      <c r="H239" s="44"/>
      <c r="L239" s="42"/>
      <c r="M239" s="42"/>
      <c r="N239" s="25"/>
      <c r="O239" s="54"/>
      <c r="P239"/>
      <c r="Q239" s="25"/>
      <c r="R239" s="54"/>
      <c r="W239" s="23"/>
      <c r="X239" s="23"/>
      <c r="Y239" s="23"/>
      <c r="Z239" s="43"/>
      <c r="AA239" s="23"/>
      <c r="AB239" s="23"/>
      <c r="AC239" s="23"/>
      <c r="AD239" s="23"/>
      <c r="AE239" s="23"/>
      <c r="AF239" s="23"/>
      <c r="AG239" s="23"/>
      <c r="AH239" s="23"/>
    </row>
    <row r="240" spans="1:35">
      <c r="A240" s="23"/>
      <c r="B240" s="42"/>
      <c r="C240" s="49"/>
      <c r="E240" s="49"/>
      <c r="G240" s="43"/>
      <c r="H240" s="44"/>
      <c r="L240" s="42"/>
      <c r="M240" s="42"/>
      <c r="N240" s="25"/>
      <c r="O240" s="54"/>
      <c r="P240"/>
      <c r="Q240" s="25"/>
      <c r="R240" s="54"/>
      <c r="W240" s="23"/>
      <c r="X240" s="23"/>
      <c r="Y240" s="23"/>
      <c r="Z240" s="43"/>
      <c r="AA240" s="23"/>
      <c r="AB240" s="23"/>
      <c r="AC240" s="23"/>
      <c r="AD240" s="23"/>
      <c r="AE240" s="23"/>
      <c r="AF240" s="23"/>
      <c r="AG240" s="23"/>
      <c r="AH240" s="23"/>
      <c r="AI240" s="49"/>
    </row>
    <row r="241" spans="1:35">
      <c r="A241" s="23"/>
      <c r="B241" s="42"/>
      <c r="C241" s="49"/>
      <c r="E241" s="49"/>
      <c r="G241" s="43"/>
      <c r="H241" s="44"/>
      <c r="L241" s="42"/>
      <c r="M241" s="42"/>
      <c r="N241" s="25"/>
      <c r="O241" s="54"/>
      <c r="P241"/>
      <c r="Q241" s="25"/>
      <c r="R241" s="54"/>
      <c r="W241" s="23"/>
      <c r="X241" s="23"/>
      <c r="Y241" s="23"/>
      <c r="Z241" s="43"/>
      <c r="AA241" s="23"/>
      <c r="AB241" s="23"/>
      <c r="AC241" s="23"/>
      <c r="AD241" s="23"/>
      <c r="AE241" s="23"/>
      <c r="AF241" s="23"/>
      <c r="AG241" s="23"/>
      <c r="AH241" s="23"/>
      <c r="AI241" s="49"/>
    </row>
    <row r="242" spans="1:35">
      <c r="A242" s="23"/>
      <c r="B242" s="42"/>
      <c r="G242" s="43"/>
      <c r="H242" s="44"/>
      <c r="L242" s="42"/>
      <c r="M242" s="42"/>
      <c r="N242" s="25"/>
      <c r="O242" s="54"/>
      <c r="P242"/>
      <c r="Q242" s="25"/>
      <c r="R242" s="54"/>
      <c r="W242" s="23"/>
      <c r="X242" s="23"/>
      <c r="Y242" s="23"/>
      <c r="Z242" s="43"/>
      <c r="AA242" s="23"/>
      <c r="AB242" s="23"/>
      <c r="AC242" s="23"/>
      <c r="AD242" s="23"/>
      <c r="AE242" s="23"/>
      <c r="AF242" s="23"/>
      <c r="AG242" s="23"/>
      <c r="AH242" s="23"/>
    </row>
    <row r="243" spans="1:35">
      <c r="A243" s="23"/>
      <c r="B243" s="42"/>
      <c r="G243" s="43"/>
      <c r="H243" s="44"/>
      <c r="L243" s="42"/>
      <c r="M243" s="42"/>
      <c r="N243" s="25"/>
      <c r="O243" s="54"/>
      <c r="P243"/>
      <c r="Q243" s="25"/>
      <c r="R243" s="54"/>
      <c r="W243" s="23"/>
      <c r="X243" s="23"/>
      <c r="Y243" s="23"/>
      <c r="Z243" s="43"/>
      <c r="AA243" s="23"/>
      <c r="AB243" s="23"/>
      <c r="AC243" s="23"/>
      <c r="AD243" s="23"/>
      <c r="AE243" s="23"/>
      <c r="AF243" s="23"/>
      <c r="AG243" s="23"/>
      <c r="AH243" s="23"/>
    </row>
    <row r="244" spans="1:35">
      <c r="A244" s="23"/>
      <c r="B244" s="42"/>
      <c r="C244" s="49"/>
      <c r="E244" s="49"/>
      <c r="G244" s="43"/>
      <c r="H244" s="44"/>
      <c r="L244" s="42"/>
      <c r="M244" s="42"/>
      <c r="N244" s="25"/>
      <c r="O244" s="54"/>
      <c r="P244"/>
      <c r="Q244" s="25"/>
      <c r="R244" s="54"/>
      <c r="W244" s="23"/>
      <c r="X244" s="23"/>
      <c r="Y244" s="23"/>
      <c r="Z244" s="43"/>
      <c r="AA244" s="23"/>
      <c r="AB244" s="23"/>
      <c r="AC244" s="23"/>
      <c r="AD244" s="23"/>
      <c r="AE244" s="23"/>
      <c r="AF244" s="23"/>
      <c r="AG244" s="23"/>
      <c r="AH244" s="23"/>
      <c r="AI244" s="49"/>
    </row>
    <row r="245" spans="1:35">
      <c r="A245" s="23"/>
      <c r="B245" s="42"/>
      <c r="C245" s="49"/>
      <c r="E245" s="49"/>
      <c r="G245" s="43"/>
      <c r="H245" s="44"/>
      <c r="L245" s="42"/>
      <c r="M245" s="42"/>
      <c r="N245" s="25"/>
      <c r="O245" s="54"/>
      <c r="P245"/>
      <c r="Q245" s="25"/>
      <c r="R245" s="54"/>
      <c r="W245" s="23"/>
      <c r="X245" s="23"/>
      <c r="Y245" s="23"/>
      <c r="Z245" s="43"/>
      <c r="AA245" s="23"/>
      <c r="AB245" s="23"/>
      <c r="AC245" s="23"/>
      <c r="AD245" s="23"/>
      <c r="AE245" s="23"/>
      <c r="AF245" s="23"/>
      <c r="AG245" s="23"/>
      <c r="AH245" s="23"/>
      <c r="AI245" s="49"/>
    </row>
    <row r="246" spans="1:35">
      <c r="A246" s="23"/>
      <c r="B246" s="42"/>
      <c r="C246" s="49"/>
      <c r="E246" s="49"/>
      <c r="G246" s="43"/>
      <c r="H246" s="44"/>
      <c r="L246" s="42"/>
      <c r="M246" s="42"/>
      <c r="N246" s="25"/>
      <c r="O246" s="54"/>
      <c r="P246"/>
      <c r="Q246" s="25"/>
      <c r="R246" s="54"/>
      <c r="W246" s="23"/>
      <c r="X246" s="23"/>
      <c r="Y246" s="23"/>
      <c r="Z246" s="43"/>
      <c r="AA246" s="23"/>
      <c r="AB246" s="23"/>
      <c r="AC246" s="23"/>
      <c r="AD246" s="23"/>
      <c r="AE246" s="23"/>
      <c r="AF246" s="23"/>
      <c r="AG246" s="23"/>
      <c r="AH246" s="23"/>
      <c r="AI246" s="49"/>
    </row>
    <row r="247" spans="1:35">
      <c r="A247" s="23"/>
      <c r="B247" s="42"/>
      <c r="C247" s="49"/>
      <c r="E247" s="49"/>
      <c r="G247" s="43"/>
      <c r="H247" s="44"/>
      <c r="L247" s="42"/>
      <c r="M247" s="42"/>
      <c r="N247" s="25"/>
      <c r="O247" s="54"/>
      <c r="P247"/>
      <c r="Q247" s="25"/>
      <c r="R247" s="54"/>
      <c r="W247" s="23"/>
      <c r="X247" s="23"/>
      <c r="Y247" s="23"/>
      <c r="Z247" s="43"/>
      <c r="AA247" s="23"/>
      <c r="AB247" s="23"/>
      <c r="AC247" s="23"/>
      <c r="AD247" s="23"/>
      <c r="AE247" s="23"/>
      <c r="AF247" s="23"/>
      <c r="AG247" s="23"/>
      <c r="AH247" s="23"/>
      <c r="AI247" s="49"/>
    </row>
    <row r="248" spans="1:35">
      <c r="A248" s="23"/>
      <c r="B248" s="42"/>
      <c r="C248" s="55"/>
      <c r="E248" s="49"/>
      <c r="G248" s="43"/>
      <c r="H248" s="44"/>
      <c r="L248" s="42"/>
      <c r="M248" s="42"/>
      <c r="N248" s="25"/>
      <c r="O248" s="54"/>
      <c r="P248"/>
      <c r="Q248" s="25"/>
      <c r="R248" s="54"/>
      <c r="W248" s="23"/>
      <c r="X248" s="23"/>
      <c r="Y248" s="23"/>
      <c r="Z248" s="43"/>
      <c r="AA248" s="23"/>
      <c r="AB248" s="23"/>
      <c r="AC248" s="23"/>
      <c r="AD248" s="23"/>
      <c r="AE248" s="23"/>
      <c r="AF248" s="23"/>
      <c r="AG248" s="23"/>
      <c r="AH248" s="23"/>
      <c r="AI248" s="49"/>
    </row>
    <row r="249" spans="1:35">
      <c r="A249" s="23"/>
      <c r="B249" s="42"/>
      <c r="C249" s="49"/>
      <c r="E249" s="49"/>
      <c r="G249" s="43"/>
      <c r="H249" s="44"/>
      <c r="L249" s="42"/>
      <c r="M249" s="42"/>
      <c r="N249" s="25"/>
      <c r="O249" s="54"/>
      <c r="P249"/>
      <c r="Q249" s="25"/>
      <c r="R249" s="54"/>
      <c r="W249" s="23"/>
      <c r="X249" s="23"/>
      <c r="Y249" s="23"/>
      <c r="Z249" s="43"/>
      <c r="AA249" s="23"/>
      <c r="AB249" s="23"/>
      <c r="AC249" s="23"/>
      <c r="AD249" s="23"/>
      <c r="AE249" s="23"/>
      <c r="AF249" s="23"/>
      <c r="AG249" s="23"/>
      <c r="AH249" s="23"/>
      <c r="AI249" s="49"/>
    </row>
    <row r="250" spans="1:35">
      <c r="A250" s="23"/>
      <c r="B250" s="42"/>
      <c r="C250" s="49"/>
      <c r="E250" s="49"/>
      <c r="G250" s="43"/>
      <c r="H250" s="44"/>
      <c r="L250" s="42"/>
      <c r="M250" s="42"/>
      <c r="N250" s="25"/>
      <c r="O250" s="54"/>
      <c r="P250"/>
      <c r="Q250" s="25"/>
      <c r="R250" s="54"/>
      <c r="W250" s="23"/>
      <c r="X250" s="23"/>
      <c r="Y250" s="23"/>
      <c r="Z250" s="43"/>
      <c r="AA250" s="23"/>
      <c r="AB250" s="23"/>
      <c r="AC250" s="23"/>
      <c r="AD250" s="23"/>
      <c r="AE250" s="23"/>
      <c r="AF250" s="23"/>
      <c r="AG250" s="23"/>
      <c r="AH250" s="23"/>
      <c r="AI250" s="49"/>
    </row>
    <row r="251" spans="1:35">
      <c r="B251" s="42"/>
      <c r="G251" s="43"/>
      <c r="H251" s="44"/>
      <c r="L251" s="42"/>
      <c r="M251" s="42"/>
      <c r="N251" s="25"/>
      <c r="O251" s="54"/>
      <c r="P251"/>
      <c r="Q251" s="25"/>
      <c r="R251" s="54"/>
      <c r="W251" s="23"/>
      <c r="X251" s="23"/>
      <c r="Y251" s="23"/>
      <c r="Z251" s="43"/>
      <c r="AA251" s="23"/>
      <c r="AB251" s="23"/>
      <c r="AC251" s="23"/>
      <c r="AD251" s="23"/>
      <c r="AE251" s="23"/>
      <c r="AF251" s="23"/>
      <c r="AG251" s="23"/>
      <c r="AH251" s="23"/>
    </row>
    <row r="252" spans="1:35">
      <c r="B252" s="42"/>
      <c r="G252" s="43"/>
      <c r="H252" s="44"/>
      <c r="L252" s="42"/>
      <c r="M252" s="42"/>
      <c r="N252" s="25"/>
      <c r="O252" s="54"/>
      <c r="P252"/>
      <c r="Q252" s="25"/>
      <c r="R252" s="54"/>
      <c r="W252" s="23"/>
      <c r="X252" s="23"/>
      <c r="Y252" s="23"/>
      <c r="Z252" s="43"/>
      <c r="AA252" s="23"/>
      <c r="AB252" s="23"/>
      <c r="AC252" s="23"/>
      <c r="AD252" s="23"/>
      <c r="AE252" s="23"/>
      <c r="AF252" s="23"/>
      <c r="AG252" s="23"/>
      <c r="AH252" s="23"/>
    </row>
    <row r="253" spans="1:35">
      <c r="B253" s="42"/>
      <c r="G253" s="43"/>
      <c r="H253" s="44"/>
      <c r="L253" s="42"/>
      <c r="M253" s="42"/>
      <c r="N253" s="25"/>
      <c r="O253" s="54"/>
      <c r="P253"/>
      <c r="Q253" s="25"/>
      <c r="R253" s="54"/>
      <c r="W253" s="23"/>
      <c r="X253" s="23"/>
      <c r="Y253" s="23"/>
      <c r="Z253" s="43"/>
      <c r="AA253" s="23"/>
      <c r="AB253" s="23"/>
      <c r="AC253" s="23"/>
      <c r="AD253" s="23"/>
      <c r="AE253" s="23"/>
      <c r="AF253" s="23"/>
      <c r="AG253" s="23"/>
      <c r="AH253" s="23"/>
    </row>
    <row r="254" spans="1:35">
      <c r="B254" s="42"/>
      <c r="G254" s="43"/>
      <c r="H254" s="44"/>
      <c r="L254" s="42"/>
      <c r="M254" s="42"/>
      <c r="N254" s="25"/>
      <c r="O254" s="54"/>
      <c r="P254"/>
      <c r="Q254" s="25"/>
      <c r="R254" s="54"/>
      <c r="W254" s="23"/>
      <c r="X254" s="23"/>
      <c r="Y254" s="23"/>
      <c r="Z254" s="43"/>
      <c r="AA254" s="23"/>
      <c r="AB254" s="23"/>
      <c r="AC254" s="23"/>
      <c r="AD254" s="23"/>
      <c r="AE254" s="23"/>
      <c r="AF254" s="23"/>
      <c r="AG254" s="23"/>
      <c r="AH254" s="23"/>
    </row>
    <row r="255" spans="1:35">
      <c r="B255" s="42"/>
      <c r="G255" s="43"/>
      <c r="H255" s="44"/>
      <c r="L255" s="42"/>
      <c r="M255" s="42"/>
      <c r="N255" s="25"/>
      <c r="O255" s="54"/>
      <c r="P255"/>
      <c r="Q255" s="25"/>
      <c r="R255" s="54"/>
      <c r="W255" s="23"/>
      <c r="X255" s="23"/>
      <c r="Y255" s="23"/>
      <c r="Z255" s="43"/>
      <c r="AA255" s="23"/>
      <c r="AB255" s="23"/>
      <c r="AC255" s="23"/>
      <c r="AD255" s="23"/>
      <c r="AE255" s="23"/>
      <c r="AF255" s="23"/>
      <c r="AG255" s="23"/>
      <c r="AH255" s="23"/>
    </row>
    <row r="256" spans="1:35">
      <c r="B256" s="42"/>
      <c r="G256" s="43"/>
      <c r="H256" s="44"/>
      <c r="L256" s="42"/>
      <c r="M256" s="42"/>
      <c r="N256" s="25"/>
      <c r="O256" s="54"/>
      <c r="P256"/>
      <c r="Q256" s="25"/>
      <c r="R256" s="54"/>
      <c r="W256" s="23"/>
      <c r="X256" s="23"/>
      <c r="Y256" s="23"/>
      <c r="Z256" s="43"/>
      <c r="AA256" s="23"/>
      <c r="AB256" s="23"/>
      <c r="AC256" s="23"/>
      <c r="AD256" s="23"/>
      <c r="AE256" s="23"/>
      <c r="AF256" s="23"/>
      <c r="AG256" s="23"/>
      <c r="AH256" s="23"/>
    </row>
    <row r="257" spans="1:35">
      <c r="B257" s="42"/>
      <c r="G257" s="43"/>
      <c r="H257" s="44"/>
      <c r="L257" s="42"/>
      <c r="M257" s="42"/>
      <c r="N257" s="25"/>
      <c r="O257" s="54"/>
      <c r="P257"/>
      <c r="Q257" s="25"/>
      <c r="R257" s="54"/>
      <c r="W257" s="23"/>
      <c r="X257" s="23"/>
      <c r="Y257" s="23"/>
      <c r="Z257" s="43"/>
      <c r="AA257" s="23"/>
      <c r="AB257" s="23"/>
      <c r="AC257" s="23"/>
      <c r="AD257" s="23"/>
      <c r="AE257" s="23"/>
      <c r="AF257" s="23"/>
      <c r="AG257" s="23"/>
      <c r="AH257" s="23"/>
    </row>
    <row r="258" spans="1:35">
      <c r="B258" s="42"/>
      <c r="G258" s="43"/>
      <c r="H258" s="44"/>
      <c r="L258" s="42"/>
      <c r="M258" s="42"/>
      <c r="N258" s="25"/>
      <c r="O258" s="54"/>
      <c r="P258"/>
      <c r="Q258" s="25"/>
      <c r="R258" s="54"/>
      <c r="W258" s="23"/>
      <c r="X258" s="23"/>
      <c r="Y258" s="23"/>
      <c r="Z258" s="43"/>
      <c r="AA258" s="23"/>
      <c r="AB258" s="23"/>
      <c r="AC258" s="23"/>
      <c r="AD258" s="23"/>
      <c r="AE258" s="23"/>
      <c r="AF258" s="23"/>
      <c r="AG258" s="23"/>
      <c r="AH258" s="23"/>
    </row>
    <row r="259" spans="1:35">
      <c r="B259" s="42"/>
      <c r="G259" s="43"/>
      <c r="H259" s="44"/>
      <c r="L259" s="42"/>
      <c r="M259" s="42"/>
      <c r="N259" s="25"/>
      <c r="O259" s="54"/>
      <c r="P259"/>
      <c r="Q259" s="25"/>
      <c r="R259" s="54"/>
      <c r="W259" s="23"/>
      <c r="X259" s="23"/>
      <c r="Y259" s="23"/>
      <c r="Z259" s="43"/>
      <c r="AA259" s="23"/>
      <c r="AB259" s="23"/>
      <c r="AC259" s="23"/>
      <c r="AD259" s="23"/>
      <c r="AE259" s="23"/>
      <c r="AF259" s="23"/>
      <c r="AG259" s="23"/>
      <c r="AH259" s="23"/>
    </row>
    <row r="260" spans="1:35">
      <c r="B260" s="42"/>
      <c r="G260" s="43"/>
      <c r="H260" s="44"/>
      <c r="L260" s="42"/>
      <c r="M260" s="42"/>
      <c r="N260" s="25"/>
      <c r="O260" s="54"/>
      <c r="P260"/>
      <c r="Q260" s="25"/>
      <c r="R260" s="54"/>
      <c r="W260" s="23"/>
      <c r="X260" s="23"/>
      <c r="Y260" s="23"/>
      <c r="Z260" s="43"/>
      <c r="AA260" s="23"/>
      <c r="AB260" s="23"/>
      <c r="AC260" s="23"/>
      <c r="AD260" s="23"/>
      <c r="AE260" s="23"/>
      <c r="AF260" s="23"/>
      <c r="AG260" s="23"/>
      <c r="AH260" s="23"/>
    </row>
    <row r="261" spans="1:35">
      <c r="B261" s="42"/>
      <c r="G261" s="43"/>
      <c r="H261" s="44"/>
      <c r="L261" s="42"/>
      <c r="M261" s="42"/>
      <c r="N261" s="25"/>
      <c r="O261" s="54"/>
      <c r="P261"/>
      <c r="Q261" s="25"/>
      <c r="R261" s="54"/>
      <c r="W261" s="23"/>
      <c r="X261" s="23"/>
      <c r="Y261" s="23"/>
      <c r="Z261" s="43"/>
      <c r="AA261" s="23"/>
      <c r="AB261" s="23"/>
      <c r="AC261" s="23"/>
      <c r="AD261" s="23"/>
      <c r="AE261" s="23"/>
      <c r="AF261" s="23"/>
      <c r="AG261" s="23"/>
      <c r="AH261" s="23"/>
    </row>
    <row r="262" spans="1:35">
      <c r="B262" s="42"/>
      <c r="G262" s="43"/>
      <c r="H262" s="44"/>
      <c r="L262" s="42"/>
      <c r="M262" s="42"/>
      <c r="N262" s="25"/>
      <c r="O262" s="54"/>
      <c r="P262"/>
      <c r="Q262" s="25"/>
      <c r="R262" s="54"/>
      <c r="W262" s="23"/>
      <c r="X262" s="23"/>
      <c r="Y262" s="23"/>
      <c r="Z262" s="43"/>
      <c r="AA262" s="23"/>
      <c r="AB262" s="23"/>
      <c r="AC262" s="23"/>
      <c r="AD262" s="23"/>
      <c r="AE262" s="23"/>
      <c r="AF262" s="23"/>
      <c r="AG262" s="23"/>
      <c r="AH262" s="23"/>
    </row>
    <row r="263" spans="1:35">
      <c r="B263" s="42"/>
      <c r="G263" s="43"/>
      <c r="H263" s="44"/>
      <c r="L263" s="42"/>
      <c r="M263" s="42"/>
      <c r="N263" s="25"/>
      <c r="O263" s="54"/>
      <c r="P263"/>
      <c r="Q263" s="25"/>
      <c r="R263" s="54"/>
      <c r="W263" s="23"/>
      <c r="X263" s="23"/>
      <c r="Y263" s="23"/>
      <c r="Z263" s="43"/>
      <c r="AA263" s="23"/>
      <c r="AB263" s="23"/>
      <c r="AC263" s="23"/>
      <c r="AD263" s="23"/>
      <c r="AE263" s="23"/>
      <c r="AF263" s="23"/>
      <c r="AG263" s="23"/>
      <c r="AH263" s="23"/>
    </row>
    <row r="264" spans="1:35">
      <c r="B264" s="42"/>
      <c r="G264" s="43"/>
      <c r="H264" s="44"/>
      <c r="L264" s="42"/>
      <c r="M264" s="42"/>
      <c r="N264" s="25"/>
      <c r="O264" s="54"/>
      <c r="P264"/>
      <c r="Q264" s="25"/>
      <c r="R264" s="54"/>
      <c r="W264" s="23"/>
      <c r="X264" s="23"/>
      <c r="Y264" s="23"/>
      <c r="Z264" s="43"/>
      <c r="AA264" s="23"/>
      <c r="AB264" s="23"/>
      <c r="AC264" s="23"/>
      <c r="AD264" s="23"/>
      <c r="AE264" s="23"/>
      <c r="AF264" s="23"/>
      <c r="AG264" s="23"/>
      <c r="AH264" s="23"/>
    </row>
    <row r="265" spans="1:35">
      <c r="B265" s="42"/>
      <c r="G265" s="43"/>
      <c r="H265" s="44"/>
      <c r="L265" s="42"/>
      <c r="M265" s="42"/>
      <c r="N265" s="25"/>
      <c r="O265" s="54"/>
      <c r="P265"/>
      <c r="Q265" s="25"/>
      <c r="R265" s="54"/>
      <c r="W265" s="23"/>
      <c r="X265" s="23"/>
      <c r="Y265" s="23"/>
      <c r="Z265" s="43"/>
      <c r="AA265" s="23"/>
      <c r="AB265" s="23"/>
      <c r="AC265" s="23"/>
      <c r="AD265" s="23"/>
      <c r="AE265" s="23"/>
      <c r="AF265" s="23"/>
      <c r="AG265" s="23"/>
      <c r="AH265" s="23"/>
    </row>
    <row r="266" spans="1:35">
      <c r="B266" s="42"/>
      <c r="G266" s="43"/>
      <c r="H266" s="44"/>
      <c r="L266" s="42"/>
      <c r="M266" s="42"/>
      <c r="N266" s="25"/>
      <c r="O266" s="54"/>
      <c r="P266"/>
      <c r="Q266" s="25"/>
      <c r="R266" s="54"/>
      <c r="W266" s="23"/>
      <c r="X266" s="23"/>
      <c r="Y266" s="23"/>
      <c r="Z266" s="43"/>
      <c r="AA266" s="23"/>
      <c r="AB266" s="23"/>
      <c r="AC266" s="23"/>
      <c r="AD266" s="23"/>
      <c r="AE266" s="23"/>
      <c r="AF266" s="23"/>
      <c r="AG266" s="23"/>
      <c r="AH266" s="23"/>
    </row>
    <row r="267" spans="1:35">
      <c r="B267" s="42"/>
      <c r="G267" s="43"/>
      <c r="H267" s="44"/>
      <c r="L267" s="42"/>
      <c r="M267" s="42"/>
      <c r="N267" s="25"/>
      <c r="O267" s="54"/>
      <c r="P267"/>
      <c r="Q267" s="25"/>
      <c r="R267" s="54"/>
      <c r="W267" s="23"/>
      <c r="X267" s="23"/>
      <c r="Y267" s="23"/>
      <c r="Z267" s="43"/>
      <c r="AA267" s="23"/>
      <c r="AB267" s="23"/>
      <c r="AC267" s="23"/>
      <c r="AD267" s="23"/>
      <c r="AE267" s="23"/>
      <c r="AF267" s="23"/>
      <c r="AG267" s="23"/>
      <c r="AH267" s="23"/>
    </row>
    <row r="268" spans="1:35">
      <c r="B268" s="42"/>
      <c r="G268" s="43"/>
      <c r="H268" s="44"/>
      <c r="L268" s="42"/>
      <c r="M268" s="42"/>
      <c r="N268" s="25"/>
      <c r="O268" s="54"/>
      <c r="P268"/>
      <c r="Q268" s="25"/>
      <c r="R268" s="54"/>
      <c r="W268" s="23"/>
      <c r="X268" s="23"/>
      <c r="Y268" s="23"/>
      <c r="Z268" s="43"/>
      <c r="AA268" s="23"/>
      <c r="AB268" s="23"/>
      <c r="AC268" s="23"/>
      <c r="AD268" s="23"/>
      <c r="AE268" s="23"/>
      <c r="AF268" s="23"/>
      <c r="AG268" s="23"/>
      <c r="AH268" s="23"/>
    </row>
    <row r="269" spans="1:35">
      <c r="B269" s="42"/>
      <c r="G269" s="43"/>
      <c r="H269" s="44"/>
      <c r="L269" s="42"/>
      <c r="M269" s="42"/>
      <c r="N269" s="25"/>
      <c r="O269" s="54"/>
      <c r="P269"/>
      <c r="Q269" s="25"/>
      <c r="R269" s="54"/>
      <c r="W269" s="23"/>
      <c r="X269" s="23"/>
      <c r="Y269" s="23"/>
      <c r="Z269" s="43"/>
      <c r="AA269" s="23"/>
      <c r="AB269" s="23"/>
      <c r="AC269" s="23"/>
      <c r="AD269" s="23"/>
      <c r="AE269" s="23"/>
      <c r="AF269" s="23"/>
      <c r="AG269" s="23"/>
      <c r="AH269" s="23"/>
    </row>
    <row r="270" spans="1:35">
      <c r="B270" s="42"/>
      <c r="G270" s="43"/>
      <c r="H270" s="44"/>
      <c r="L270" s="42"/>
      <c r="M270" s="42"/>
      <c r="N270" s="25"/>
      <c r="O270" s="54"/>
      <c r="P270"/>
      <c r="Q270" s="25"/>
      <c r="R270" s="54"/>
      <c r="W270" s="23"/>
      <c r="X270" s="23"/>
      <c r="Y270" s="23"/>
      <c r="Z270" s="43"/>
      <c r="AA270" s="23"/>
      <c r="AB270" s="23"/>
      <c r="AC270" s="23"/>
      <c r="AD270" s="23"/>
      <c r="AE270" s="23"/>
      <c r="AF270" s="23"/>
      <c r="AG270" s="23"/>
      <c r="AH270" s="23"/>
    </row>
    <row r="271" spans="1:35">
      <c r="A271" s="23"/>
      <c r="B271" s="42"/>
      <c r="C271" s="49"/>
      <c r="E271" s="49"/>
      <c r="G271" s="43"/>
      <c r="H271" s="44"/>
      <c r="L271" s="42"/>
      <c r="M271" s="42"/>
      <c r="N271" s="25"/>
      <c r="O271" s="54"/>
      <c r="P271"/>
      <c r="Q271" s="25"/>
      <c r="R271" s="54"/>
      <c r="W271" s="23"/>
      <c r="X271" s="23"/>
      <c r="Y271" s="23"/>
      <c r="Z271" s="43"/>
      <c r="AA271" s="23"/>
      <c r="AB271" s="23"/>
      <c r="AC271" s="23"/>
      <c r="AD271" s="23"/>
      <c r="AE271" s="23"/>
      <c r="AF271" s="23"/>
      <c r="AG271" s="23"/>
      <c r="AH271" s="23"/>
      <c r="AI271" s="49"/>
    </row>
    <row r="272" spans="1:35">
      <c r="B272" s="42"/>
      <c r="G272" s="43"/>
      <c r="H272" s="44"/>
      <c r="L272" s="42"/>
      <c r="M272" s="42"/>
      <c r="N272" s="25"/>
      <c r="O272" s="54"/>
      <c r="P272"/>
      <c r="Q272" s="25"/>
      <c r="R272" s="54"/>
      <c r="W272" s="23"/>
      <c r="X272" s="23"/>
      <c r="Y272" s="23"/>
      <c r="Z272" s="43"/>
      <c r="AA272" s="23"/>
      <c r="AB272" s="23"/>
      <c r="AC272" s="23"/>
      <c r="AD272" s="23"/>
      <c r="AE272" s="23"/>
      <c r="AF272" s="23"/>
      <c r="AG272" s="23"/>
      <c r="AH272" s="23"/>
    </row>
    <row r="273" spans="1:35">
      <c r="A273" s="23"/>
      <c r="B273" s="42"/>
      <c r="C273" s="49"/>
      <c r="E273" s="49"/>
      <c r="G273" s="43"/>
      <c r="H273" s="44"/>
      <c r="L273" s="42"/>
      <c r="M273" s="42"/>
      <c r="N273" s="25"/>
      <c r="O273" s="54"/>
      <c r="P273"/>
      <c r="Q273" s="25"/>
      <c r="R273" s="54"/>
      <c r="W273" s="23"/>
      <c r="X273" s="23"/>
      <c r="Y273" s="23"/>
      <c r="Z273" s="43"/>
      <c r="AA273" s="23"/>
      <c r="AB273" s="23"/>
      <c r="AC273" s="23"/>
      <c r="AD273" s="23"/>
      <c r="AE273" s="23"/>
      <c r="AF273" s="23"/>
      <c r="AG273" s="23"/>
      <c r="AH273" s="23"/>
      <c r="AI273" s="49"/>
    </row>
    <row r="274" spans="1:35">
      <c r="A274" s="23"/>
      <c r="B274" s="42"/>
      <c r="C274" s="49"/>
      <c r="E274" s="49"/>
      <c r="G274" s="43"/>
      <c r="H274" s="44"/>
      <c r="L274" s="42"/>
      <c r="M274" s="42"/>
      <c r="N274" s="25"/>
      <c r="O274" s="54"/>
      <c r="P274"/>
      <c r="Q274" s="25"/>
      <c r="R274" s="54"/>
      <c r="W274" s="23"/>
      <c r="X274" s="23"/>
      <c r="Y274" s="23"/>
      <c r="Z274" s="43"/>
      <c r="AA274" s="23"/>
      <c r="AB274" s="23"/>
      <c r="AC274" s="23"/>
      <c r="AD274" s="23"/>
      <c r="AE274" s="23"/>
      <c r="AF274" s="23"/>
      <c r="AG274" s="23"/>
      <c r="AH274" s="23"/>
      <c r="AI274" s="49"/>
    </row>
    <row r="275" spans="1:35">
      <c r="A275" s="23"/>
      <c r="B275" s="42"/>
      <c r="C275" s="49"/>
      <c r="E275" s="49"/>
      <c r="G275" s="43"/>
      <c r="H275" s="44"/>
      <c r="L275" s="42"/>
      <c r="M275" s="42"/>
      <c r="N275" s="25"/>
      <c r="O275" s="54"/>
      <c r="P275"/>
      <c r="Q275" s="25"/>
      <c r="R275" s="54"/>
      <c r="W275" s="23"/>
      <c r="X275" s="23"/>
      <c r="Y275" s="23"/>
      <c r="Z275" s="43"/>
      <c r="AA275" s="23"/>
      <c r="AB275" s="23"/>
      <c r="AC275" s="23"/>
      <c r="AD275" s="23"/>
      <c r="AE275" s="23"/>
      <c r="AF275" s="23"/>
      <c r="AG275" s="23"/>
      <c r="AH275" s="23"/>
      <c r="AI275" s="49"/>
    </row>
    <row r="276" spans="1:35">
      <c r="B276" s="42"/>
      <c r="G276" s="43"/>
      <c r="H276" s="44"/>
      <c r="L276" s="42"/>
      <c r="M276" s="42"/>
      <c r="N276" s="25"/>
      <c r="O276" s="54"/>
      <c r="P276"/>
      <c r="Q276" s="25"/>
      <c r="R276" s="54"/>
      <c r="W276" s="23"/>
      <c r="X276" s="23"/>
      <c r="Y276" s="23"/>
      <c r="Z276" s="43"/>
      <c r="AA276" s="23"/>
      <c r="AB276" s="23"/>
      <c r="AC276" s="23"/>
      <c r="AD276" s="23"/>
      <c r="AE276" s="23"/>
      <c r="AF276" s="23"/>
      <c r="AG276" s="23"/>
      <c r="AH276" s="23"/>
    </row>
    <row r="277" spans="1:35">
      <c r="B277" s="42"/>
      <c r="G277" s="43"/>
      <c r="H277" s="44"/>
      <c r="L277" s="42"/>
      <c r="M277" s="42"/>
      <c r="N277" s="25"/>
      <c r="O277" s="54"/>
      <c r="P277"/>
      <c r="Q277" s="25"/>
      <c r="R277" s="54"/>
      <c r="W277" s="23"/>
      <c r="X277" s="23"/>
      <c r="Y277" s="23"/>
      <c r="Z277" s="43"/>
      <c r="AA277" s="23"/>
      <c r="AB277" s="23"/>
      <c r="AC277" s="23"/>
      <c r="AD277" s="23"/>
      <c r="AE277" s="23"/>
      <c r="AF277" s="23"/>
      <c r="AG277" s="23"/>
      <c r="AH277" s="23"/>
    </row>
    <row r="278" spans="1:35">
      <c r="B278" s="42"/>
      <c r="G278" s="43"/>
      <c r="H278" s="44"/>
      <c r="L278" s="42"/>
      <c r="M278" s="42"/>
      <c r="N278" s="25"/>
      <c r="O278" s="54"/>
      <c r="P278"/>
      <c r="Q278" s="25"/>
      <c r="R278" s="54"/>
      <c r="W278" s="23"/>
      <c r="X278" s="23"/>
      <c r="Y278" s="23"/>
      <c r="Z278" s="43"/>
      <c r="AA278" s="23"/>
      <c r="AB278" s="23"/>
      <c r="AC278" s="23"/>
      <c r="AD278" s="23"/>
      <c r="AE278" s="23"/>
      <c r="AF278" s="23"/>
      <c r="AG278" s="23"/>
      <c r="AH278" s="23"/>
    </row>
    <row r="279" spans="1:35">
      <c r="B279" s="42"/>
      <c r="G279" s="43"/>
      <c r="H279" s="44"/>
      <c r="L279" s="42"/>
      <c r="M279" s="42"/>
      <c r="N279" s="25"/>
      <c r="O279" s="54"/>
      <c r="P279"/>
      <c r="Q279" s="25"/>
      <c r="R279" s="54"/>
      <c r="W279" s="23"/>
      <c r="X279" s="23"/>
      <c r="Y279" s="23"/>
      <c r="Z279" s="43"/>
      <c r="AA279" s="23"/>
      <c r="AB279" s="23"/>
      <c r="AC279" s="23"/>
      <c r="AD279" s="23"/>
      <c r="AE279" s="23"/>
      <c r="AF279" s="23"/>
      <c r="AG279" s="23"/>
      <c r="AH279" s="23"/>
    </row>
    <row r="280" spans="1:35">
      <c r="B280" s="42"/>
      <c r="G280" s="43"/>
      <c r="H280" s="44"/>
      <c r="L280" s="42"/>
      <c r="M280" s="42"/>
      <c r="N280" s="25"/>
      <c r="O280" s="54"/>
      <c r="P280"/>
      <c r="Q280" s="25"/>
      <c r="R280" s="54"/>
      <c r="W280" s="23"/>
      <c r="X280" s="23"/>
      <c r="Y280" s="23"/>
      <c r="Z280" s="43"/>
      <c r="AA280" s="23"/>
      <c r="AB280" s="23"/>
      <c r="AC280" s="23"/>
      <c r="AD280" s="23"/>
      <c r="AE280" s="23"/>
      <c r="AF280" s="23"/>
      <c r="AG280" s="23"/>
      <c r="AH280" s="23"/>
    </row>
    <row r="281" spans="1:35">
      <c r="A281" s="23"/>
      <c r="B281" s="42"/>
      <c r="C281" s="49"/>
      <c r="E281" s="49"/>
      <c r="G281" s="43"/>
      <c r="H281" s="44"/>
      <c r="L281" s="42"/>
      <c r="M281" s="42"/>
      <c r="N281" s="25"/>
      <c r="O281" s="54"/>
      <c r="P281"/>
      <c r="Q281" s="25"/>
      <c r="R281" s="54"/>
      <c r="W281" s="23"/>
      <c r="X281" s="23"/>
      <c r="Y281" s="23"/>
      <c r="Z281" s="43"/>
      <c r="AA281" s="23"/>
      <c r="AB281" s="23"/>
      <c r="AC281" s="23"/>
      <c r="AD281" s="23"/>
      <c r="AE281" s="23"/>
      <c r="AF281" s="23"/>
      <c r="AG281" s="23"/>
      <c r="AH281" s="23"/>
      <c r="AI281" s="49"/>
    </row>
    <row r="282" spans="1:35">
      <c r="A282" s="23"/>
      <c r="B282" s="42"/>
      <c r="C282" s="49"/>
      <c r="E282" s="49"/>
      <c r="G282" s="43"/>
      <c r="H282" s="44"/>
      <c r="L282" s="42"/>
      <c r="M282" s="42"/>
      <c r="N282" s="25"/>
      <c r="O282" s="54"/>
      <c r="P282"/>
      <c r="Q282" s="25"/>
      <c r="R282" s="54"/>
      <c r="W282" s="23"/>
      <c r="X282" s="23"/>
      <c r="Y282" s="23"/>
      <c r="Z282" s="43"/>
      <c r="AA282" s="23"/>
      <c r="AB282" s="23"/>
      <c r="AC282" s="23"/>
      <c r="AD282" s="23"/>
      <c r="AE282" s="23"/>
      <c r="AF282" s="23"/>
      <c r="AG282" s="23"/>
      <c r="AH282" s="23"/>
      <c r="AI282" s="49"/>
    </row>
    <row r="283" spans="1:35">
      <c r="A283" s="23"/>
      <c r="B283" s="42"/>
      <c r="C283" s="49"/>
      <c r="E283" s="49"/>
      <c r="G283" s="43"/>
      <c r="H283" s="44"/>
      <c r="L283" s="42"/>
      <c r="M283" s="42"/>
      <c r="N283" s="25"/>
      <c r="O283" s="54"/>
      <c r="P283"/>
      <c r="Q283" s="25"/>
      <c r="R283" s="54"/>
      <c r="W283" s="23"/>
      <c r="X283" s="23"/>
      <c r="Y283" s="23"/>
      <c r="Z283" s="43"/>
      <c r="AA283" s="23"/>
      <c r="AB283" s="23"/>
      <c r="AC283" s="23"/>
      <c r="AD283" s="23"/>
      <c r="AE283" s="23"/>
      <c r="AF283" s="23"/>
      <c r="AG283" s="23"/>
      <c r="AH283" s="23"/>
      <c r="AI283" s="49"/>
    </row>
    <row r="284" spans="1:35">
      <c r="A284" s="23"/>
      <c r="B284" s="42"/>
      <c r="C284" s="49"/>
      <c r="E284" s="49"/>
      <c r="G284" s="43"/>
      <c r="H284" s="44"/>
      <c r="L284" s="42"/>
      <c r="M284" s="42"/>
      <c r="N284" s="25"/>
      <c r="O284" s="54"/>
      <c r="P284"/>
      <c r="Q284" s="25"/>
      <c r="R284" s="54"/>
      <c r="W284" s="23"/>
      <c r="X284" s="23"/>
      <c r="Y284" s="23"/>
      <c r="Z284" s="43"/>
      <c r="AA284" s="23"/>
      <c r="AB284" s="23"/>
      <c r="AC284" s="23"/>
      <c r="AD284" s="23"/>
      <c r="AE284" s="23"/>
      <c r="AF284" s="23"/>
      <c r="AG284" s="23"/>
      <c r="AH284" s="23"/>
      <c r="AI284" s="49"/>
    </row>
    <row r="285" spans="1:35">
      <c r="A285" s="23"/>
      <c r="B285" s="42"/>
      <c r="C285" s="49"/>
      <c r="E285" s="49"/>
      <c r="G285" s="43"/>
      <c r="H285" s="44"/>
      <c r="L285" s="42"/>
      <c r="M285" s="42"/>
      <c r="N285" s="25"/>
      <c r="O285" s="54"/>
      <c r="P285"/>
      <c r="Q285" s="25"/>
      <c r="R285" s="54"/>
      <c r="W285" s="23"/>
      <c r="X285" s="23"/>
      <c r="Y285" s="23"/>
      <c r="Z285" s="43"/>
      <c r="AA285" s="23"/>
      <c r="AB285" s="23"/>
      <c r="AC285" s="23"/>
      <c r="AD285" s="23"/>
      <c r="AE285" s="23"/>
      <c r="AF285" s="23"/>
      <c r="AG285" s="23"/>
      <c r="AH285" s="23"/>
      <c r="AI285" s="49"/>
    </row>
    <row r="286" spans="1:35">
      <c r="B286" s="42"/>
      <c r="C286" s="49"/>
      <c r="E286" s="49"/>
      <c r="G286" s="43"/>
      <c r="H286" s="44"/>
      <c r="L286" s="42"/>
      <c r="M286" s="42"/>
      <c r="N286" s="25"/>
      <c r="O286" s="54"/>
      <c r="P286"/>
      <c r="Q286" s="25"/>
      <c r="R286" s="54"/>
      <c r="W286" s="23"/>
      <c r="X286" s="23"/>
      <c r="Y286" s="23"/>
      <c r="Z286" s="43"/>
      <c r="AA286" s="23"/>
      <c r="AB286" s="23"/>
      <c r="AC286" s="23"/>
      <c r="AD286" s="23"/>
      <c r="AE286" s="23"/>
      <c r="AF286" s="23"/>
      <c r="AG286" s="23"/>
      <c r="AH286" s="23"/>
      <c r="AI286" s="23"/>
    </row>
    <row r="287" spans="1:35">
      <c r="A287" s="23"/>
      <c r="B287" s="42"/>
      <c r="C287" s="49"/>
      <c r="E287" s="49"/>
      <c r="G287" s="43"/>
      <c r="H287" s="44"/>
      <c r="L287" s="42"/>
      <c r="M287" s="42"/>
      <c r="N287" s="25"/>
      <c r="O287" s="54"/>
      <c r="P287"/>
      <c r="Q287" s="25"/>
      <c r="R287" s="54"/>
      <c r="W287" s="23"/>
      <c r="X287" s="23"/>
      <c r="Y287" s="23"/>
      <c r="Z287" s="43"/>
      <c r="AA287" s="23"/>
      <c r="AB287" s="23"/>
      <c r="AC287" s="23"/>
      <c r="AD287" s="23"/>
      <c r="AE287" s="23"/>
      <c r="AF287" s="23"/>
      <c r="AG287" s="23"/>
      <c r="AH287" s="23"/>
      <c r="AI287" s="49"/>
    </row>
    <row r="288" spans="1:35">
      <c r="A288" s="23"/>
      <c r="B288" s="42"/>
      <c r="C288" s="49"/>
      <c r="E288" s="49"/>
      <c r="G288" s="43"/>
      <c r="H288" s="44"/>
      <c r="L288" s="42"/>
      <c r="M288" s="42"/>
      <c r="N288" s="25"/>
      <c r="O288" s="54"/>
      <c r="P288"/>
      <c r="Q288" s="25"/>
      <c r="R288" s="54"/>
      <c r="W288" s="23"/>
      <c r="X288" s="23"/>
      <c r="Y288" s="23"/>
      <c r="Z288" s="43"/>
      <c r="AA288" s="23"/>
      <c r="AB288" s="23"/>
      <c r="AC288" s="23"/>
      <c r="AD288" s="23"/>
      <c r="AE288" s="23"/>
      <c r="AF288" s="23"/>
      <c r="AG288" s="23"/>
      <c r="AH288" s="23"/>
      <c r="AI288" s="49"/>
    </row>
    <row r="289" spans="1:35">
      <c r="A289" s="23"/>
      <c r="B289" s="42"/>
      <c r="C289" s="49"/>
      <c r="E289" s="49"/>
      <c r="G289" s="43"/>
      <c r="H289" s="44"/>
      <c r="L289" s="42"/>
      <c r="M289" s="42"/>
      <c r="N289" s="25"/>
      <c r="O289" s="54"/>
      <c r="P289"/>
      <c r="Q289" s="25"/>
      <c r="R289" s="54"/>
      <c r="W289" s="23"/>
      <c r="X289" s="23"/>
      <c r="Y289" s="23"/>
      <c r="Z289" s="43"/>
      <c r="AA289" s="23"/>
      <c r="AB289" s="23"/>
      <c r="AC289" s="23"/>
      <c r="AD289" s="23"/>
      <c r="AE289" s="23"/>
      <c r="AF289" s="23"/>
      <c r="AG289" s="23"/>
      <c r="AH289" s="23"/>
      <c r="AI289" s="49"/>
    </row>
    <row r="290" spans="1:35">
      <c r="B290" s="42"/>
      <c r="C290" s="49"/>
      <c r="E290" s="49"/>
      <c r="G290" s="43"/>
      <c r="H290" s="44"/>
      <c r="L290" s="42"/>
      <c r="M290" s="42"/>
      <c r="N290" s="25"/>
      <c r="O290" s="54"/>
      <c r="P290"/>
      <c r="Q290" s="25"/>
      <c r="R290" s="54"/>
      <c r="W290" s="23"/>
      <c r="X290" s="23"/>
      <c r="Y290" s="23"/>
      <c r="Z290" s="43"/>
      <c r="AA290" s="23"/>
      <c r="AB290" s="23"/>
      <c r="AC290" s="23"/>
      <c r="AD290" s="23"/>
      <c r="AE290" s="23"/>
      <c r="AF290" s="23"/>
      <c r="AG290" s="23"/>
      <c r="AH290" s="23"/>
      <c r="AI290" s="23"/>
    </row>
    <row r="291" spans="1:35">
      <c r="A291" s="23"/>
      <c r="B291" s="42"/>
      <c r="C291" s="49"/>
      <c r="E291" s="49"/>
      <c r="G291" s="43"/>
      <c r="H291" s="44"/>
      <c r="L291" s="42"/>
      <c r="M291" s="42"/>
      <c r="N291" s="25"/>
      <c r="O291" s="54"/>
      <c r="P291"/>
      <c r="Q291" s="25"/>
      <c r="R291" s="54"/>
      <c r="W291" s="23"/>
      <c r="X291" s="23"/>
      <c r="Y291" s="23"/>
      <c r="Z291" s="43"/>
      <c r="AA291" s="23"/>
      <c r="AB291" s="23"/>
      <c r="AC291" s="23"/>
      <c r="AD291" s="23"/>
      <c r="AE291" s="23"/>
      <c r="AF291" s="23"/>
      <c r="AG291" s="23"/>
      <c r="AH291" s="23"/>
      <c r="AI291" s="49"/>
    </row>
    <row r="292" spans="1:35">
      <c r="A292" s="23"/>
      <c r="B292" s="42"/>
      <c r="C292" s="49"/>
      <c r="E292" s="49"/>
      <c r="G292" s="43"/>
      <c r="H292" s="44"/>
      <c r="L292" s="42"/>
      <c r="M292" s="42"/>
      <c r="N292" s="25"/>
      <c r="O292" s="54"/>
      <c r="P292"/>
      <c r="Q292" s="25"/>
      <c r="R292" s="54"/>
      <c r="W292" s="23"/>
      <c r="X292" s="23"/>
      <c r="Y292" s="23"/>
      <c r="Z292" s="43"/>
      <c r="AA292" s="23"/>
      <c r="AB292" s="23"/>
      <c r="AC292" s="23"/>
      <c r="AD292" s="23"/>
      <c r="AE292" s="23"/>
      <c r="AF292" s="23"/>
      <c r="AG292" s="23"/>
      <c r="AH292" s="23"/>
      <c r="AI292" s="49"/>
    </row>
    <row r="293" spans="1:35">
      <c r="B293" s="42"/>
      <c r="C293" s="49"/>
      <c r="E293" s="49"/>
      <c r="G293" s="43"/>
      <c r="H293" s="44"/>
      <c r="L293" s="42"/>
      <c r="M293" s="42"/>
      <c r="N293" s="25"/>
      <c r="O293" s="54"/>
      <c r="P293"/>
      <c r="Q293" s="25"/>
      <c r="R293" s="54"/>
      <c r="W293" s="23"/>
      <c r="X293" s="23"/>
      <c r="Y293" s="23"/>
      <c r="Z293" s="43"/>
      <c r="AA293" s="23"/>
      <c r="AB293" s="23"/>
      <c r="AC293" s="23"/>
      <c r="AD293" s="23"/>
      <c r="AE293" s="23"/>
      <c r="AF293" s="23"/>
      <c r="AG293" s="23"/>
      <c r="AH293" s="23"/>
      <c r="AI293" s="23"/>
    </row>
    <row r="294" spans="1:35">
      <c r="A294" s="23"/>
      <c r="B294" s="42"/>
      <c r="G294" s="43"/>
      <c r="H294" s="44"/>
      <c r="L294" s="42"/>
      <c r="M294" s="42"/>
      <c r="N294" s="25"/>
      <c r="O294" s="54"/>
      <c r="P294"/>
      <c r="Q294" s="25"/>
      <c r="R294" s="54"/>
      <c r="W294" s="23"/>
      <c r="X294" s="23"/>
      <c r="Y294" s="23"/>
      <c r="Z294" s="43"/>
      <c r="AA294" s="23"/>
      <c r="AB294" s="23"/>
      <c r="AC294" s="23"/>
      <c r="AD294" s="23"/>
      <c r="AE294" s="23"/>
      <c r="AF294" s="23"/>
      <c r="AG294" s="23"/>
      <c r="AH294" s="23"/>
      <c r="AI294" s="23"/>
    </row>
    <row r="295" spans="1:35">
      <c r="A295" s="23"/>
      <c r="B295" s="42"/>
      <c r="C295" s="49"/>
      <c r="E295" s="49"/>
      <c r="G295" s="43"/>
      <c r="H295" s="44"/>
      <c r="L295" s="42"/>
      <c r="M295" s="42"/>
      <c r="N295" s="25"/>
      <c r="O295" s="54"/>
      <c r="P295"/>
      <c r="Q295" s="25"/>
      <c r="R295" s="54"/>
      <c r="W295" s="23"/>
      <c r="X295" s="23"/>
      <c r="Y295" s="23"/>
      <c r="Z295" s="43"/>
      <c r="AA295" s="23"/>
      <c r="AB295" s="23"/>
      <c r="AC295" s="23"/>
      <c r="AD295" s="23"/>
      <c r="AE295" s="23"/>
      <c r="AF295" s="23"/>
      <c r="AG295" s="23"/>
      <c r="AH295" s="23"/>
      <c r="AI295" s="49"/>
    </row>
    <row r="296" spans="1:35">
      <c r="A296" s="23"/>
      <c r="B296" s="42"/>
      <c r="C296" s="49"/>
      <c r="E296" s="49"/>
      <c r="G296" s="43"/>
      <c r="H296" s="44"/>
      <c r="L296" s="42"/>
      <c r="M296" s="42"/>
      <c r="N296" s="25"/>
      <c r="O296" s="54"/>
      <c r="P296"/>
      <c r="Q296" s="25"/>
      <c r="R296" s="54"/>
      <c r="W296" s="23"/>
      <c r="X296" s="23"/>
      <c r="Y296" s="23"/>
      <c r="Z296" s="43"/>
      <c r="AA296" s="23"/>
      <c r="AB296" s="23"/>
      <c r="AC296" s="23"/>
      <c r="AD296" s="23"/>
      <c r="AE296" s="23"/>
      <c r="AF296" s="23"/>
      <c r="AG296" s="23"/>
      <c r="AH296" s="23"/>
      <c r="AI296" s="49"/>
    </row>
    <row r="297" spans="1:35">
      <c r="A297" s="23"/>
      <c r="B297" s="42"/>
      <c r="C297" s="49"/>
      <c r="E297" s="49"/>
      <c r="G297" s="43"/>
      <c r="H297" s="44"/>
      <c r="L297" s="42"/>
      <c r="M297" s="42"/>
      <c r="N297" s="25"/>
      <c r="O297" s="54"/>
      <c r="P297"/>
      <c r="Q297" s="25"/>
      <c r="R297" s="54"/>
      <c r="W297" s="23"/>
      <c r="X297" s="23"/>
      <c r="Y297" s="23"/>
      <c r="Z297" s="43"/>
      <c r="AA297" s="23"/>
      <c r="AB297" s="23"/>
      <c r="AC297" s="23"/>
      <c r="AD297" s="23"/>
      <c r="AE297" s="23"/>
      <c r="AF297" s="23"/>
      <c r="AG297" s="23"/>
      <c r="AH297" s="23"/>
      <c r="AI297" s="49"/>
    </row>
    <row r="298" spans="1:35">
      <c r="A298" s="23"/>
      <c r="B298" s="42"/>
      <c r="C298" s="49"/>
      <c r="E298" s="49"/>
      <c r="G298" s="43"/>
      <c r="H298" s="44"/>
      <c r="L298" s="42"/>
      <c r="M298" s="42"/>
      <c r="N298" s="25"/>
      <c r="O298" s="54"/>
      <c r="P298"/>
      <c r="Q298" s="25"/>
      <c r="R298" s="54"/>
      <c r="W298" s="23"/>
      <c r="X298" s="23"/>
      <c r="Y298" s="23"/>
      <c r="Z298" s="43"/>
      <c r="AA298" s="23"/>
      <c r="AB298" s="23"/>
      <c r="AC298" s="23"/>
      <c r="AD298" s="23"/>
      <c r="AE298" s="23"/>
      <c r="AF298" s="23"/>
      <c r="AG298" s="23"/>
      <c r="AH298" s="23"/>
      <c r="AI298" s="49"/>
    </row>
    <row r="299" spans="1:35">
      <c r="A299" s="23"/>
      <c r="B299" s="42"/>
      <c r="C299" s="49"/>
      <c r="E299" s="49"/>
      <c r="G299" s="43"/>
      <c r="H299" s="44"/>
      <c r="L299" s="42"/>
      <c r="M299" s="42"/>
      <c r="N299" s="25"/>
      <c r="O299" s="54"/>
      <c r="P299"/>
      <c r="Q299" s="25"/>
      <c r="R299" s="54"/>
      <c r="W299" s="23"/>
      <c r="X299" s="23"/>
      <c r="Y299" s="23"/>
      <c r="Z299" s="43"/>
      <c r="AA299" s="23"/>
      <c r="AB299" s="23"/>
      <c r="AC299" s="23"/>
      <c r="AD299" s="23"/>
      <c r="AE299" s="23"/>
      <c r="AF299" s="23"/>
      <c r="AG299" s="23"/>
      <c r="AH299" s="23"/>
      <c r="AI299" s="49"/>
    </row>
    <row r="300" spans="1:35">
      <c r="B300" s="42"/>
      <c r="G300" s="43"/>
      <c r="H300" s="44"/>
      <c r="L300" s="42"/>
      <c r="M300" s="42"/>
      <c r="N300" s="25"/>
      <c r="O300" s="54"/>
      <c r="P300"/>
      <c r="Q300" s="25"/>
      <c r="R300" s="54"/>
      <c r="W300" s="23"/>
      <c r="X300" s="23"/>
      <c r="Y300" s="23"/>
      <c r="Z300" s="43"/>
      <c r="AA300" s="23"/>
      <c r="AB300" s="23"/>
      <c r="AC300" s="23"/>
      <c r="AD300" s="23"/>
      <c r="AE300" s="23"/>
      <c r="AF300" s="23"/>
      <c r="AG300" s="23"/>
      <c r="AH300" s="23"/>
      <c r="AI300" s="48"/>
    </row>
    <row r="301" spans="1:35">
      <c r="A301" s="23"/>
      <c r="B301" s="42"/>
      <c r="C301" s="49"/>
      <c r="E301" s="49"/>
      <c r="G301" s="43"/>
      <c r="H301" s="44"/>
      <c r="L301" s="42"/>
      <c r="M301" s="42"/>
      <c r="N301" s="25"/>
      <c r="O301" s="54"/>
      <c r="P301"/>
      <c r="Q301" s="25"/>
      <c r="R301" s="54"/>
      <c r="W301" s="23"/>
      <c r="X301" s="23"/>
      <c r="Y301" s="23"/>
      <c r="Z301" s="43"/>
      <c r="AA301" s="23"/>
      <c r="AB301" s="23"/>
      <c r="AC301" s="23"/>
      <c r="AD301" s="23"/>
      <c r="AE301" s="23"/>
      <c r="AF301" s="23"/>
      <c r="AG301" s="23"/>
      <c r="AH301" s="23"/>
      <c r="AI301" s="49"/>
    </row>
    <row r="302" spans="1:35">
      <c r="A302" s="23"/>
      <c r="B302" s="42"/>
      <c r="C302" s="49"/>
      <c r="E302" s="49"/>
      <c r="G302" s="43"/>
      <c r="H302" s="44"/>
      <c r="L302" s="42"/>
      <c r="M302" s="42"/>
      <c r="N302" s="25"/>
      <c r="O302" s="54"/>
      <c r="P302"/>
      <c r="Q302" s="25"/>
      <c r="R302" s="54"/>
      <c r="W302" s="23"/>
      <c r="X302" s="23"/>
      <c r="Y302" s="23"/>
      <c r="Z302" s="43"/>
      <c r="AA302" s="23"/>
      <c r="AB302" s="23"/>
      <c r="AC302" s="23"/>
      <c r="AD302" s="23"/>
      <c r="AE302" s="23"/>
      <c r="AF302" s="23"/>
      <c r="AG302" s="23"/>
      <c r="AH302" s="23"/>
      <c r="AI302" s="49"/>
    </row>
    <row r="303" spans="1:35">
      <c r="A303" s="23"/>
      <c r="B303" s="42"/>
      <c r="C303" s="49"/>
      <c r="E303" s="49"/>
      <c r="G303" s="43"/>
      <c r="H303" s="44"/>
      <c r="L303" s="42"/>
      <c r="M303" s="42"/>
      <c r="N303" s="25"/>
      <c r="O303" s="54"/>
      <c r="P303"/>
      <c r="Q303" s="25"/>
      <c r="R303" s="54"/>
      <c r="W303" s="23"/>
      <c r="X303" s="23"/>
      <c r="Y303" s="23"/>
      <c r="Z303" s="43"/>
      <c r="AA303" s="23"/>
      <c r="AB303" s="23"/>
      <c r="AC303" s="23"/>
      <c r="AD303" s="23"/>
      <c r="AE303" s="23"/>
      <c r="AF303" s="23"/>
      <c r="AG303" s="23"/>
      <c r="AH303" s="23"/>
      <c r="AI303" s="49"/>
    </row>
    <row r="304" spans="1:35">
      <c r="B304" s="42"/>
      <c r="C304" s="49"/>
      <c r="E304" s="49"/>
      <c r="G304" s="43"/>
      <c r="H304" s="44"/>
      <c r="L304" s="42"/>
      <c r="M304" s="42"/>
      <c r="N304" s="25"/>
      <c r="O304" s="54"/>
      <c r="P304"/>
      <c r="Q304" s="25"/>
      <c r="R304" s="54"/>
      <c r="W304" s="23"/>
      <c r="X304" s="23"/>
      <c r="Y304" s="23"/>
      <c r="Z304" s="43"/>
      <c r="AA304" s="23"/>
      <c r="AB304" s="23"/>
      <c r="AC304" s="23"/>
      <c r="AD304" s="23"/>
      <c r="AE304" s="23"/>
      <c r="AF304" s="23"/>
      <c r="AG304" s="23"/>
      <c r="AH304" s="23"/>
      <c r="AI304" s="23"/>
    </row>
    <row r="305" spans="1:35">
      <c r="B305" s="42"/>
      <c r="G305" s="43"/>
      <c r="H305" s="44"/>
      <c r="L305" s="42"/>
      <c r="M305" s="42"/>
      <c r="N305" s="25"/>
      <c r="O305" s="54"/>
      <c r="P305"/>
      <c r="Q305" s="25"/>
      <c r="R305" s="54"/>
      <c r="W305" s="23"/>
      <c r="X305" s="23"/>
      <c r="Y305" s="23"/>
      <c r="Z305" s="43"/>
      <c r="AA305" s="23"/>
      <c r="AB305" s="23"/>
      <c r="AC305" s="23"/>
      <c r="AD305" s="23"/>
      <c r="AE305" s="23"/>
      <c r="AF305" s="23"/>
      <c r="AG305" s="23"/>
      <c r="AH305" s="23"/>
      <c r="AI305" s="48"/>
    </row>
    <row r="306" spans="1:35">
      <c r="A306" s="23"/>
      <c r="B306" s="42"/>
      <c r="C306" s="49"/>
      <c r="E306" s="49"/>
      <c r="G306" s="43"/>
      <c r="H306" s="44"/>
      <c r="L306" s="42"/>
      <c r="M306" s="42"/>
      <c r="N306" s="25"/>
      <c r="O306" s="54"/>
      <c r="P306"/>
      <c r="Q306" s="25"/>
      <c r="R306" s="54"/>
      <c r="W306" s="23"/>
      <c r="X306" s="23"/>
      <c r="Y306" s="23"/>
      <c r="Z306" s="43"/>
      <c r="AA306" s="23"/>
      <c r="AB306" s="23"/>
      <c r="AC306" s="23"/>
      <c r="AD306" s="23"/>
      <c r="AE306" s="23"/>
      <c r="AF306" s="23"/>
      <c r="AG306" s="23"/>
      <c r="AH306" s="23"/>
      <c r="AI306" s="49"/>
    </row>
    <row r="307" spans="1:35">
      <c r="A307" s="23"/>
      <c r="B307" s="42"/>
      <c r="C307" s="49"/>
      <c r="E307" s="49"/>
      <c r="G307" s="43"/>
      <c r="H307" s="44"/>
      <c r="L307" s="42"/>
      <c r="M307" s="42"/>
      <c r="N307" s="25"/>
      <c r="O307" s="54"/>
      <c r="P307"/>
      <c r="Q307" s="25"/>
      <c r="R307" s="54"/>
      <c r="W307" s="23"/>
      <c r="X307" s="23"/>
      <c r="Y307" s="23"/>
      <c r="Z307" s="43"/>
      <c r="AA307" s="23"/>
      <c r="AB307" s="23"/>
      <c r="AC307" s="23"/>
      <c r="AD307" s="23"/>
      <c r="AE307" s="23"/>
      <c r="AF307" s="23"/>
      <c r="AG307" s="23"/>
      <c r="AH307" s="23"/>
      <c r="AI307" s="49"/>
    </row>
    <row r="308" spans="1:35">
      <c r="A308" s="23"/>
      <c r="B308" s="42"/>
      <c r="C308" s="49"/>
      <c r="E308" s="49"/>
      <c r="G308" s="43"/>
      <c r="H308" s="44"/>
      <c r="L308" s="42"/>
      <c r="M308" s="42"/>
      <c r="N308" s="25"/>
      <c r="O308" s="54"/>
      <c r="P308"/>
      <c r="Q308" s="25"/>
      <c r="R308" s="54"/>
      <c r="W308" s="23"/>
      <c r="X308" s="23"/>
      <c r="Y308" s="23"/>
      <c r="Z308" s="43"/>
      <c r="AA308" s="23"/>
      <c r="AB308" s="23"/>
      <c r="AC308" s="23"/>
      <c r="AD308" s="23"/>
      <c r="AE308" s="23"/>
      <c r="AF308" s="23"/>
      <c r="AG308" s="23"/>
      <c r="AH308" s="23"/>
      <c r="AI308" s="49"/>
    </row>
    <row r="309" spans="1:35">
      <c r="A309" s="23"/>
      <c r="B309" s="42"/>
      <c r="C309" s="49"/>
      <c r="E309" s="49"/>
      <c r="G309" s="43"/>
      <c r="H309" s="44"/>
      <c r="L309" s="42"/>
      <c r="M309" s="42"/>
      <c r="N309" s="25"/>
      <c r="O309" s="54"/>
      <c r="P309"/>
      <c r="Q309" s="25"/>
      <c r="R309" s="54"/>
      <c r="W309" s="23"/>
      <c r="X309" s="23"/>
      <c r="Y309" s="23"/>
      <c r="Z309" s="43"/>
      <c r="AA309" s="23"/>
      <c r="AB309" s="23"/>
      <c r="AC309" s="23"/>
      <c r="AD309" s="23"/>
      <c r="AE309" s="23"/>
      <c r="AF309" s="23"/>
      <c r="AG309" s="23"/>
      <c r="AH309" s="23"/>
      <c r="AI309" s="49"/>
    </row>
    <row r="310" spans="1:35">
      <c r="A310" s="23"/>
      <c r="B310" s="42"/>
      <c r="C310" s="49"/>
      <c r="E310" s="49"/>
      <c r="G310" s="43"/>
      <c r="H310" s="44"/>
      <c r="L310" s="42"/>
      <c r="M310" s="42"/>
      <c r="N310" s="25"/>
      <c r="O310" s="54"/>
      <c r="P310"/>
      <c r="Q310" s="25"/>
      <c r="R310" s="54"/>
      <c r="W310" s="23"/>
      <c r="X310" s="23"/>
      <c r="Y310" s="23"/>
      <c r="Z310" s="43"/>
      <c r="AA310" s="23"/>
      <c r="AB310" s="23"/>
      <c r="AC310" s="23"/>
      <c r="AD310" s="23"/>
      <c r="AE310" s="23"/>
      <c r="AF310" s="23"/>
      <c r="AG310" s="23"/>
      <c r="AH310" s="23"/>
      <c r="AI310" s="49"/>
    </row>
    <row r="311" spans="1:35">
      <c r="B311" s="42"/>
      <c r="G311" s="43"/>
      <c r="H311" s="44"/>
      <c r="L311" s="42"/>
      <c r="M311" s="42"/>
      <c r="N311" s="25"/>
      <c r="O311" s="54"/>
      <c r="P311"/>
      <c r="Q311" s="25"/>
      <c r="R311" s="54"/>
      <c r="W311" s="23"/>
      <c r="X311" s="23"/>
      <c r="Y311" s="23"/>
      <c r="Z311" s="43"/>
      <c r="AA311" s="23"/>
      <c r="AB311" s="23"/>
      <c r="AC311" s="23"/>
      <c r="AD311" s="23"/>
      <c r="AE311" s="23"/>
      <c r="AF311" s="23"/>
      <c r="AG311" s="23"/>
      <c r="AH311" s="23"/>
      <c r="AI311" s="48"/>
    </row>
    <row r="312" spans="1:35">
      <c r="B312" s="42"/>
      <c r="G312" s="43"/>
      <c r="H312" s="44"/>
      <c r="L312" s="42"/>
      <c r="M312" s="42"/>
      <c r="N312" s="25"/>
      <c r="O312" s="54"/>
      <c r="P312"/>
      <c r="Q312" s="25"/>
      <c r="R312" s="54"/>
      <c r="W312" s="23"/>
      <c r="X312" s="23"/>
      <c r="Y312" s="23"/>
      <c r="Z312" s="43"/>
      <c r="AA312" s="23"/>
      <c r="AB312" s="23"/>
      <c r="AC312" s="23"/>
      <c r="AD312" s="23"/>
      <c r="AE312" s="23"/>
      <c r="AF312" s="23"/>
      <c r="AG312" s="23"/>
      <c r="AH312" s="23"/>
      <c r="AI312" s="48"/>
    </row>
    <row r="313" spans="1:35">
      <c r="A313" s="23"/>
      <c r="B313" s="42"/>
      <c r="C313" s="49"/>
      <c r="E313" s="49"/>
      <c r="G313" s="43"/>
      <c r="H313" s="44"/>
      <c r="L313" s="42"/>
      <c r="M313" s="42"/>
      <c r="N313" s="25"/>
      <c r="O313" s="54"/>
      <c r="P313"/>
      <c r="Q313" s="25"/>
      <c r="R313" s="54"/>
      <c r="W313" s="23"/>
      <c r="X313" s="23"/>
      <c r="Y313" s="23"/>
      <c r="Z313" s="43"/>
      <c r="AA313" s="23"/>
      <c r="AB313" s="23"/>
      <c r="AC313" s="23"/>
      <c r="AD313" s="23"/>
      <c r="AE313" s="23"/>
      <c r="AF313" s="23"/>
      <c r="AG313" s="23"/>
      <c r="AH313" s="23"/>
      <c r="AI313" s="49"/>
    </row>
    <row r="314" spans="1:35">
      <c r="B314" s="42"/>
      <c r="C314" s="49"/>
      <c r="E314" s="49"/>
      <c r="G314" s="43"/>
      <c r="H314" s="44"/>
      <c r="L314" s="42"/>
      <c r="M314" s="42"/>
      <c r="N314" s="25"/>
      <c r="O314" s="54"/>
      <c r="P314"/>
      <c r="Q314" s="25"/>
      <c r="R314" s="54"/>
      <c r="W314" s="23"/>
      <c r="X314" s="23"/>
      <c r="Y314" s="23"/>
      <c r="Z314" s="43"/>
      <c r="AA314" s="23"/>
      <c r="AB314" s="23"/>
      <c r="AC314" s="23"/>
      <c r="AD314" s="23"/>
      <c r="AE314" s="23"/>
      <c r="AF314" s="23"/>
      <c r="AG314" s="23"/>
      <c r="AH314" s="23"/>
      <c r="AI314" s="23"/>
    </row>
    <row r="315" spans="1:35">
      <c r="A315" s="23"/>
      <c r="B315" s="42"/>
      <c r="C315" s="49"/>
      <c r="E315" s="49"/>
      <c r="G315" s="43"/>
      <c r="H315" s="44"/>
      <c r="L315" s="42"/>
      <c r="M315" s="42"/>
      <c r="N315" s="25"/>
      <c r="O315" s="54"/>
      <c r="P315"/>
      <c r="Q315" s="25"/>
      <c r="R315" s="54"/>
      <c r="W315" s="23"/>
      <c r="X315" s="23"/>
      <c r="Y315" s="23"/>
      <c r="Z315" s="43"/>
      <c r="AA315" s="23"/>
      <c r="AB315" s="23"/>
      <c r="AC315" s="23"/>
      <c r="AD315" s="23"/>
      <c r="AE315" s="23"/>
      <c r="AF315" s="23"/>
      <c r="AG315" s="23"/>
      <c r="AH315" s="23"/>
      <c r="AI315" s="49"/>
    </row>
    <row r="316" spans="1:35">
      <c r="A316" s="23"/>
      <c r="B316" s="42"/>
      <c r="C316" s="49"/>
      <c r="E316" s="49"/>
      <c r="G316" s="43"/>
      <c r="H316" s="44"/>
      <c r="L316" s="42"/>
      <c r="M316" s="42"/>
      <c r="N316" s="25"/>
      <c r="O316" s="54"/>
      <c r="P316"/>
      <c r="Q316" s="25"/>
      <c r="R316" s="54"/>
      <c r="W316" s="23"/>
      <c r="X316" s="23"/>
      <c r="Y316" s="23"/>
      <c r="Z316" s="43"/>
      <c r="AA316" s="23"/>
      <c r="AB316" s="23"/>
      <c r="AC316" s="23"/>
      <c r="AD316" s="23"/>
      <c r="AE316" s="23"/>
      <c r="AF316" s="23"/>
      <c r="AG316" s="23"/>
      <c r="AH316" s="23"/>
      <c r="AI316" s="49"/>
    </row>
    <row r="317" spans="1:35">
      <c r="A317" s="23"/>
      <c r="B317" s="42"/>
      <c r="C317" s="49"/>
      <c r="E317" s="49"/>
      <c r="G317" s="43"/>
      <c r="H317" s="44"/>
      <c r="L317" s="42"/>
      <c r="M317" s="42"/>
      <c r="N317" s="25"/>
      <c r="O317" s="54"/>
      <c r="P317"/>
      <c r="Q317" s="25"/>
      <c r="R317" s="54"/>
      <c r="W317" s="23"/>
      <c r="X317" s="23"/>
      <c r="Y317" s="23"/>
      <c r="Z317" s="43"/>
      <c r="AA317" s="23"/>
      <c r="AB317" s="23"/>
      <c r="AC317" s="23"/>
      <c r="AD317" s="23"/>
      <c r="AE317" s="23"/>
      <c r="AF317" s="23"/>
      <c r="AG317" s="23"/>
      <c r="AH317" s="23"/>
      <c r="AI317" s="49"/>
    </row>
    <row r="318" spans="1:35">
      <c r="B318" s="42"/>
      <c r="G318" s="43"/>
      <c r="H318" s="44"/>
      <c r="L318" s="42"/>
      <c r="M318" s="42"/>
      <c r="N318" s="25"/>
      <c r="O318" s="54"/>
      <c r="P318"/>
      <c r="Q318" s="25"/>
      <c r="R318" s="54"/>
      <c r="W318" s="23"/>
      <c r="X318" s="23"/>
      <c r="Y318" s="23"/>
      <c r="Z318" s="43"/>
      <c r="AA318" s="23"/>
      <c r="AB318" s="23"/>
      <c r="AC318" s="23"/>
      <c r="AD318" s="23"/>
      <c r="AE318" s="23"/>
      <c r="AF318" s="23"/>
      <c r="AG318" s="23"/>
      <c r="AH318" s="23"/>
      <c r="AI318" s="48"/>
    </row>
    <row r="319" spans="1:35">
      <c r="A319" s="23"/>
      <c r="B319" s="42"/>
      <c r="C319" s="49"/>
      <c r="E319" s="49"/>
      <c r="G319" s="43"/>
      <c r="H319" s="44"/>
      <c r="L319" s="42"/>
      <c r="M319" s="42"/>
      <c r="N319" s="25"/>
      <c r="O319" s="54"/>
      <c r="P319"/>
      <c r="Q319" s="25"/>
      <c r="R319" s="54"/>
      <c r="W319" s="23"/>
      <c r="X319" s="23"/>
      <c r="Y319" s="23"/>
      <c r="Z319" s="43"/>
      <c r="AA319" s="23"/>
      <c r="AB319" s="23"/>
      <c r="AC319" s="23"/>
      <c r="AD319" s="23"/>
      <c r="AE319" s="23"/>
      <c r="AF319" s="23"/>
      <c r="AG319" s="23"/>
      <c r="AH319" s="23"/>
      <c r="AI319" s="49"/>
    </row>
    <row r="320" spans="1:35">
      <c r="A320" s="23"/>
      <c r="B320" s="42"/>
      <c r="C320" s="49"/>
      <c r="E320" s="49"/>
      <c r="G320" s="43"/>
      <c r="H320" s="44"/>
      <c r="L320" s="42"/>
      <c r="M320" s="42"/>
      <c r="N320" s="25"/>
      <c r="O320" s="54"/>
      <c r="P320"/>
      <c r="Q320" s="25"/>
      <c r="R320" s="54"/>
      <c r="W320" s="23"/>
      <c r="X320" s="23"/>
      <c r="Y320" s="23"/>
      <c r="Z320" s="43"/>
      <c r="AA320" s="23"/>
      <c r="AB320" s="23"/>
      <c r="AC320" s="23"/>
      <c r="AD320" s="23"/>
      <c r="AE320" s="23"/>
      <c r="AF320" s="23"/>
      <c r="AG320" s="23"/>
      <c r="AH320" s="23"/>
      <c r="AI320" s="49"/>
    </row>
    <row r="321" spans="1:35">
      <c r="B321" s="42"/>
      <c r="G321" s="43"/>
      <c r="H321" s="44"/>
      <c r="L321" s="42"/>
      <c r="M321" s="42"/>
      <c r="N321" s="25"/>
      <c r="O321" s="54"/>
      <c r="P321"/>
      <c r="Q321" s="25"/>
      <c r="R321" s="54"/>
      <c r="W321" s="23"/>
      <c r="X321" s="23"/>
      <c r="Y321" s="23"/>
      <c r="Z321" s="43"/>
      <c r="AA321" s="23"/>
      <c r="AB321" s="23"/>
      <c r="AC321" s="23"/>
      <c r="AD321" s="23"/>
      <c r="AE321" s="23"/>
      <c r="AF321" s="23"/>
      <c r="AG321" s="23"/>
      <c r="AH321" s="23"/>
      <c r="AI321" s="48"/>
    </row>
    <row r="322" spans="1:35">
      <c r="B322" s="42"/>
      <c r="G322" s="43"/>
      <c r="H322" s="44"/>
      <c r="L322" s="42"/>
      <c r="M322" s="42"/>
      <c r="N322" s="25"/>
      <c r="O322" s="54"/>
      <c r="P322"/>
      <c r="Q322" s="25"/>
      <c r="R322" s="54"/>
      <c r="W322" s="23"/>
      <c r="X322" s="23"/>
      <c r="Y322" s="23"/>
      <c r="Z322" s="43"/>
      <c r="AA322" s="23"/>
      <c r="AB322" s="23"/>
      <c r="AC322" s="23"/>
      <c r="AD322" s="23"/>
      <c r="AE322" s="23"/>
      <c r="AF322" s="23"/>
      <c r="AG322" s="23"/>
      <c r="AH322" s="23"/>
      <c r="AI322" s="48"/>
    </row>
    <row r="323" spans="1:35">
      <c r="A323" s="23"/>
      <c r="B323" s="42"/>
      <c r="C323" s="49"/>
      <c r="E323" s="49"/>
      <c r="G323" s="43"/>
      <c r="H323" s="44"/>
      <c r="L323" s="42"/>
      <c r="M323" s="42"/>
      <c r="N323" s="25"/>
      <c r="O323" s="54"/>
      <c r="P323"/>
      <c r="Q323" s="25"/>
      <c r="R323" s="54"/>
      <c r="W323" s="23"/>
      <c r="X323" s="23"/>
      <c r="Y323" s="23"/>
      <c r="Z323" s="43"/>
      <c r="AA323" s="23"/>
      <c r="AB323" s="23"/>
      <c r="AC323" s="23"/>
      <c r="AD323" s="23"/>
      <c r="AE323" s="23"/>
      <c r="AF323" s="23"/>
      <c r="AG323" s="23"/>
      <c r="AH323" s="23"/>
      <c r="AI323" s="49"/>
    </row>
    <row r="324" spans="1:35">
      <c r="B324" s="42"/>
      <c r="G324" s="43"/>
      <c r="H324" s="44"/>
      <c r="L324" s="42"/>
      <c r="M324" s="42"/>
      <c r="N324" s="25"/>
      <c r="O324" s="54"/>
      <c r="P324"/>
      <c r="Q324" s="25"/>
      <c r="R324" s="54"/>
      <c r="W324" s="23"/>
      <c r="X324" s="23"/>
      <c r="Y324" s="23"/>
      <c r="Z324" s="43"/>
      <c r="AA324" s="23"/>
      <c r="AB324" s="23"/>
      <c r="AC324" s="23"/>
      <c r="AD324" s="23"/>
      <c r="AE324" s="23"/>
      <c r="AF324" s="23"/>
      <c r="AG324" s="23"/>
      <c r="AH324" s="23"/>
      <c r="AI324" s="48"/>
    </row>
    <row r="325" spans="1:35">
      <c r="A325" s="23"/>
      <c r="B325" s="42"/>
      <c r="C325" s="49"/>
      <c r="E325" s="49"/>
      <c r="G325" s="43"/>
      <c r="H325" s="44"/>
      <c r="L325" s="42"/>
      <c r="M325" s="42"/>
      <c r="N325" s="25"/>
      <c r="O325" s="54"/>
      <c r="P325"/>
      <c r="Q325" s="25"/>
      <c r="R325" s="54"/>
      <c r="W325" s="23"/>
      <c r="X325" s="23"/>
      <c r="Y325" s="23"/>
      <c r="Z325" s="43"/>
      <c r="AA325" s="23"/>
      <c r="AB325" s="23"/>
      <c r="AC325" s="23"/>
      <c r="AD325" s="23"/>
      <c r="AE325" s="23"/>
      <c r="AF325" s="23"/>
      <c r="AG325" s="23"/>
      <c r="AH325" s="23"/>
      <c r="AI325" s="49"/>
    </row>
    <row r="326" spans="1:35">
      <c r="A326" s="23"/>
      <c r="B326" s="42"/>
      <c r="C326" s="49"/>
      <c r="E326" s="49"/>
      <c r="G326" s="43"/>
      <c r="H326" s="44"/>
      <c r="L326" s="42"/>
      <c r="M326" s="42"/>
      <c r="N326" s="25"/>
      <c r="O326" s="54"/>
      <c r="P326"/>
      <c r="Q326" s="25"/>
      <c r="R326" s="54"/>
      <c r="W326" s="23"/>
      <c r="X326" s="23"/>
      <c r="Y326" s="23"/>
      <c r="Z326" s="43"/>
      <c r="AA326" s="23"/>
      <c r="AB326" s="23"/>
      <c r="AC326" s="23"/>
      <c r="AD326" s="23"/>
      <c r="AE326" s="23"/>
      <c r="AF326" s="23"/>
      <c r="AG326" s="23"/>
      <c r="AH326" s="23"/>
      <c r="AI326" s="49"/>
    </row>
    <row r="327" spans="1:35">
      <c r="A327" s="23"/>
      <c r="B327" s="42"/>
      <c r="C327" s="49"/>
      <c r="E327" s="49"/>
      <c r="G327" s="43"/>
      <c r="H327" s="44"/>
      <c r="L327" s="42"/>
      <c r="M327" s="42"/>
      <c r="N327" s="25"/>
      <c r="O327" s="54"/>
      <c r="P327"/>
      <c r="Q327" s="25"/>
      <c r="R327" s="54"/>
      <c r="W327" s="23"/>
      <c r="X327" s="23"/>
      <c r="Y327" s="23"/>
      <c r="Z327" s="43"/>
      <c r="AA327" s="23"/>
      <c r="AB327" s="23"/>
      <c r="AC327" s="23"/>
      <c r="AD327" s="23"/>
      <c r="AE327" s="23"/>
      <c r="AF327" s="23"/>
      <c r="AG327" s="23"/>
      <c r="AH327" s="23"/>
      <c r="AI327" s="49"/>
    </row>
    <row r="328" spans="1:35">
      <c r="A328" s="23"/>
      <c r="B328" s="42"/>
      <c r="C328" s="49"/>
      <c r="E328" s="49"/>
      <c r="G328" s="43"/>
      <c r="H328" s="44"/>
      <c r="L328" s="42"/>
      <c r="M328" s="42"/>
      <c r="N328" s="25"/>
      <c r="O328" s="54"/>
      <c r="P328"/>
      <c r="Q328" s="25"/>
      <c r="R328" s="54"/>
      <c r="W328" s="23"/>
      <c r="X328" s="23"/>
      <c r="Y328" s="23"/>
      <c r="Z328" s="43"/>
      <c r="AA328" s="23"/>
      <c r="AB328" s="23"/>
      <c r="AC328" s="23"/>
      <c r="AD328" s="23"/>
      <c r="AE328" s="23"/>
      <c r="AF328" s="23"/>
      <c r="AG328" s="23"/>
      <c r="AH328" s="23"/>
      <c r="AI328" s="49"/>
    </row>
    <row r="329" spans="1:35">
      <c r="A329" s="23"/>
      <c r="B329" s="42"/>
      <c r="C329" s="49"/>
      <c r="E329" s="49"/>
      <c r="G329" s="43"/>
      <c r="H329" s="44"/>
      <c r="L329" s="42"/>
      <c r="M329" s="42"/>
      <c r="N329" s="25"/>
      <c r="O329" s="54"/>
      <c r="P329"/>
      <c r="Q329" s="25"/>
      <c r="R329" s="54"/>
      <c r="W329" s="23"/>
      <c r="X329" s="23"/>
      <c r="Y329" s="23"/>
      <c r="Z329" s="43"/>
      <c r="AA329" s="23"/>
      <c r="AB329" s="23"/>
      <c r="AC329" s="23"/>
      <c r="AD329" s="23"/>
      <c r="AE329" s="23"/>
      <c r="AF329" s="23"/>
      <c r="AG329" s="23"/>
      <c r="AH329" s="23"/>
      <c r="AI329" s="49"/>
    </row>
    <row r="330" spans="1:35">
      <c r="B330" s="42"/>
      <c r="G330" s="43"/>
      <c r="H330" s="44"/>
      <c r="L330" s="42"/>
      <c r="M330" s="42"/>
      <c r="N330" s="25"/>
      <c r="O330" s="54"/>
      <c r="P330"/>
      <c r="Q330" s="25"/>
      <c r="R330" s="54"/>
      <c r="W330" s="23"/>
      <c r="X330" s="23"/>
      <c r="Y330" s="23"/>
      <c r="Z330" s="43"/>
      <c r="AA330" s="23"/>
      <c r="AB330" s="23"/>
      <c r="AC330" s="23"/>
      <c r="AD330" s="23"/>
      <c r="AE330" s="23"/>
      <c r="AF330" s="23"/>
      <c r="AG330" s="23"/>
      <c r="AH330" s="23"/>
    </row>
    <row r="331" spans="1:35">
      <c r="A331" s="23"/>
      <c r="B331" s="42"/>
      <c r="C331" s="49"/>
      <c r="E331" s="49"/>
      <c r="G331" s="43"/>
      <c r="H331" s="44"/>
      <c r="L331" s="42"/>
      <c r="M331" s="42"/>
      <c r="N331" s="25"/>
      <c r="O331" s="54"/>
      <c r="P331"/>
      <c r="Q331" s="25"/>
      <c r="R331" s="54"/>
      <c r="W331" s="23"/>
      <c r="X331" s="23"/>
      <c r="Y331" s="23"/>
      <c r="Z331" s="43"/>
      <c r="AA331" s="23"/>
      <c r="AB331" s="23"/>
      <c r="AC331" s="23"/>
      <c r="AD331" s="23"/>
      <c r="AE331" s="23"/>
      <c r="AF331" s="23"/>
      <c r="AG331" s="23"/>
      <c r="AH331" s="23"/>
      <c r="AI331" s="49"/>
    </row>
    <row r="332" spans="1:35">
      <c r="A332" s="23"/>
      <c r="B332" s="42"/>
      <c r="C332" s="49"/>
      <c r="E332" s="49"/>
      <c r="G332" s="43"/>
      <c r="H332" s="44"/>
      <c r="L332" s="42"/>
      <c r="M332" s="42"/>
      <c r="N332" s="25"/>
      <c r="O332" s="54"/>
      <c r="P332"/>
      <c r="Q332" s="25"/>
      <c r="R332" s="54"/>
      <c r="W332" s="23"/>
      <c r="X332" s="23"/>
      <c r="Y332" s="23"/>
      <c r="Z332" s="43"/>
      <c r="AA332" s="23"/>
      <c r="AB332" s="23"/>
      <c r="AC332" s="23"/>
      <c r="AD332" s="23"/>
      <c r="AE332" s="23"/>
      <c r="AF332" s="23"/>
      <c r="AG332" s="23"/>
      <c r="AH332" s="23"/>
      <c r="AI332" s="49"/>
    </row>
    <row r="333" spans="1:35">
      <c r="A333" s="23"/>
      <c r="B333" s="42"/>
      <c r="C333" s="49"/>
      <c r="E333" s="49"/>
      <c r="G333" s="43"/>
      <c r="H333" s="44"/>
      <c r="L333" s="42"/>
      <c r="M333" s="42"/>
      <c r="N333" s="25"/>
      <c r="O333" s="54"/>
      <c r="P333"/>
      <c r="Q333" s="25"/>
      <c r="R333" s="54"/>
      <c r="W333" s="23"/>
      <c r="X333" s="23"/>
      <c r="Y333" s="23"/>
      <c r="Z333" s="43"/>
      <c r="AA333" s="23"/>
      <c r="AB333" s="23"/>
      <c r="AC333" s="23"/>
      <c r="AD333" s="23"/>
      <c r="AE333" s="23"/>
      <c r="AF333" s="23"/>
      <c r="AG333" s="23"/>
      <c r="AH333" s="23"/>
      <c r="AI333" s="49"/>
    </row>
    <row r="334" spans="1:35">
      <c r="A334" s="23"/>
      <c r="B334" s="42"/>
      <c r="C334" s="49"/>
      <c r="E334" s="49"/>
      <c r="G334" s="43"/>
      <c r="H334" s="44"/>
      <c r="L334" s="42"/>
      <c r="M334" s="42"/>
      <c r="N334" s="25"/>
      <c r="O334" s="54"/>
      <c r="P334"/>
      <c r="Q334" s="25"/>
      <c r="R334" s="54"/>
      <c r="W334" s="23"/>
      <c r="X334" s="23"/>
      <c r="Y334" s="23"/>
      <c r="Z334" s="43"/>
      <c r="AA334" s="23"/>
      <c r="AB334" s="23"/>
      <c r="AC334" s="23"/>
      <c r="AD334" s="23"/>
      <c r="AE334" s="23"/>
      <c r="AF334" s="23"/>
      <c r="AG334" s="23"/>
      <c r="AH334" s="23"/>
      <c r="AI334" s="49"/>
    </row>
    <row r="335" spans="1:35">
      <c r="A335" s="23"/>
      <c r="B335" s="42"/>
      <c r="C335" s="49"/>
      <c r="E335" s="49"/>
      <c r="G335" s="43"/>
      <c r="H335" s="44"/>
      <c r="L335" s="42"/>
      <c r="M335" s="42"/>
      <c r="N335" s="25"/>
      <c r="O335" s="54"/>
      <c r="P335"/>
      <c r="Q335" s="25"/>
      <c r="R335" s="54"/>
      <c r="W335" s="23"/>
      <c r="X335" s="23"/>
      <c r="Y335" s="23"/>
      <c r="Z335" s="43"/>
      <c r="AA335" s="23"/>
      <c r="AB335" s="23"/>
      <c r="AC335" s="23"/>
      <c r="AD335" s="23"/>
      <c r="AE335" s="23"/>
      <c r="AF335" s="23"/>
      <c r="AG335" s="23"/>
      <c r="AH335" s="23"/>
      <c r="AI335" s="49"/>
    </row>
    <row r="336" spans="1:35">
      <c r="B336" s="42"/>
      <c r="G336" s="43"/>
      <c r="H336" s="44"/>
      <c r="L336" s="42"/>
      <c r="M336" s="42"/>
      <c r="N336" s="25"/>
      <c r="O336" s="54"/>
      <c r="P336"/>
      <c r="Q336" s="25"/>
      <c r="R336" s="54"/>
      <c r="W336" s="23"/>
      <c r="X336" s="23"/>
      <c r="Y336" s="23"/>
      <c r="Z336" s="43"/>
      <c r="AA336" s="23"/>
      <c r="AB336" s="23"/>
      <c r="AC336" s="23"/>
      <c r="AD336" s="23"/>
      <c r="AE336" s="23"/>
      <c r="AF336" s="23"/>
      <c r="AG336" s="23"/>
      <c r="AH336" s="23"/>
      <c r="AI336" s="48"/>
    </row>
    <row r="337" spans="1:35">
      <c r="A337" s="23"/>
      <c r="B337" s="42"/>
      <c r="C337" s="49"/>
      <c r="E337" s="49"/>
      <c r="G337" s="43"/>
      <c r="H337" s="44"/>
      <c r="L337" s="42"/>
      <c r="M337" s="42"/>
      <c r="N337" s="25"/>
      <c r="O337" s="54"/>
      <c r="P337"/>
      <c r="Q337" s="25"/>
      <c r="R337" s="54"/>
      <c r="W337" s="23"/>
      <c r="X337" s="23"/>
      <c r="Y337" s="23"/>
      <c r="Z337" s="43"/>
      <c r="AA337" s="23"/>
      <c r="AB337" s="23"/>
      <c r="AC337" s="23"/>
      <c r="AD337" s="23"/>
      <c r="AE337" s="23"/>
      <c r="AF337" s="23"/>
      <c r="AG337" s="23"/>
      <c r="AH337" s="23"/>
      <c r="AI337" s="49"/>
    </row>
    <row r="338" spans="1:35">
      <c r="B338" s="42"/>
      <c r="C338" s="49"/>
      <c r="E338" s="49"/>
      <c r="G338" s="43"/>
      <c r="H338" s="44"/>
      <c r="L338" s="42"/>
      <c r="M338" s="42"/>
      <c r="N338" s="25"/>
      <c r="O338" s="54"/>
      <c r="P338"/>
      <c r="Q338" s="25"/>
      <c r="R338" s="54"/>
      <c r="W338" s="23"/>
      <c r="X338" s="23"/>
      <c r="Y338" s="23"/>
      <c r="Z338" s="43"/>
      <c r="AA338" s="23"/>
      <c r="AB338" s="23"/>
      <c r="AC338" s="23"/>
      <c r="AD338" s="23"/>
      <c r="AE338" s="23"/>
      <c r="AF338" s="23"/>
      <c r="AG338" s="23"/>
      <c r="AH338" s="23"/>
      <c r="AI338" s="23"/>
    </row>
    <row r="339" spans="1:35">
      <c r="B339" s="42"/>
      <c r="G339" s="43"/>
      <c r="H339" s="44"/>
      <c r="L339" s="42"/>
      <c r="M339" s="42"/>
      <c r="N339" s="25"/>
      <c r="O339" s="54"/>
      <c r="P339"/>
      <c r="Q339" s="25"/>
      <c r="R339" s="54"/>
      <c r="W339" s="23"/>
      <c r="X339" s="23"/>
      <c r="Y339" s="23"/>
      <c r="Z339" s="43"/>
      <c r="AA339" s="23"/>
      <c r="AB339" s="23"/>
      <c r="AC339" s="23"/>
      <c r="AD339" s="23"/>
      <c r="AE339" s="23"/>
      <c r="AF339" s="23"/>
      <c r="AG339" s="23"/>
      <c r="AH339" s="23"/>
    </row>
    <row r="340" spans="1:35">
      <c r="A340" s="23"/>
      <c r="B340" s="42"/>
      <c r="C340" s="49"/>
      <c r="E340" s="49"/>
      <c r="G340" s="43"/>
      <c r="H340" s="44"/>
      <c r="L340" s="42"/>
      <c r="M340" s="42"/>
      <c r="N340" s="25"/>
      <c r="O340" s="54"/>
      <c r="P340"/>
      <c r="Q340" s="25"/>
      <c r="R340" s="54"/>
      <c r="W340" s="23"/>
      <c r="X340" s="23"/>
      <c r="Y340" s="23"/>
      <c r="Z340" s="43"/>
      <c r="AA340" s="23"/>
      <c r="AB340" s="23"/>
      <c r="AC340" s="23"/>
      <c r="AD340" s="23"/>
      <c r="AE340" s="23"/>
      <c r="AF340" s="23"/>
      <c r="AG340" s="23"/>
      <c r="AH340" s="23"/>
      <c r="AI340" s="49"/>
    </row>
    <row r="341" spans="1:35">
      <c r="A341" s="23"/>
      <c r="B341" s="42"/>
      <c r="C341" s="49"/>
      <c r="E341" s="49"/>
      <c r="G341" s="43"/>
      <c r="H341" s="44"/>
      <c r="L341" s="42"/>
      <c r="M341" s="42"/>
      <c r="N341" s="25"/>
      <c r="O341" s="54"/>
      <c r="P341"/>
      <c r="Q341" s="25"/>
      <c r="R341" s="54"/>
      <c r="W341" s="23"/>
      <c r="X341" s="23"/>
      <c r="Y341" s="23"/>
      <c r="Z341" s="43"/>
      <c r="AA341" s="23"/>
      <c r="AB341" s="23"/>
      <c r="AC341" s="23"/>
      <c r="AD341" s="23"/>
      <c r="AE341" s="23"/>
      <c r="AF341" s="23"/>
      <c r="AG341" s="23"/>
      <c r="AH341" s="23"/>
      <c r="AI341" s="49"/>
    </row>
    <row r="342" spans="1:35">
      <c r="A342" s="23"/>
      <c r="B342" s="42"/>
      <c r="C342" s="49"/>
      <c r="E342" s="49"/>
      <c r="G342" s="43"/>
      <c r="H342" s="44"/>
      <c r="L342" s="42"/>
      <c r="M342" s="42"/>
      <c r="N342" s="25"/>
      <c r="O342" s="54"/>
      <c r="P342"/>
      <c r="Q342" s="25"/>
      <c r="R342" s="54"/>
      <c r="W342" s="23"/>
      <c r="X342" s="23"/>
      <c r="Y342" s="23"/>
      <c r="Z342" s="43"/>
      <c r="AA342" s="23"/>
      <c r="AB342" s="23"/>
      <c r="AC342" s="23"/>
      <c r="AD342" s="23"/>
      <c r="AE342" s="23"/>
      <c r="AF342" s="23"/>
      <c r="AG342" s="23"/>
      <c r="AH342" s="23"/>
      <c r="AI342" s="49"/>
    </row>
    <row r="343" spans="1:35">
      <c r="B343" s="42"/>
      <c r="G343" s="43"/>
      <c r="H343" s="44"/>
      <c r="L343" s="42"/>
      <c r="M343" s="42"/>
      <c r="N343" s="25"/>
      <c r="O343" s="54"/>
      <c r="P343"/>
      <c r="Q343" s="25"/>
      <c r="R343" s="54"/>
      <c r="W343" s="23"/>
      <c r="X343" s="23"/>
      <c r="Y343" s="23"/>
      <c r="Z343" s="43"/>
      <c r="AA343" s="23"/>
      <c r="AB343" s="23"/>
      <c r="AC343" s="23"/>
      <c r="AD343" s="23"/>
      <c r="AE343" s="23"/>
      <c r="AF343" s="23"/>
      <c r="AG343" s="23"/>
      <c r="AH343" s="23"/>
    </row>
    <row r="344" spans="1:35">
      <c r="B344" s="42"/>
      <c r="C344" s="49"/>
      <c r="E344" s="49"/>
      <c r="G344" s="43"/>
      <c r="H344" s="44"/>
      <c r="L344" s="42"/>
      <c r="M344" s="42"/>
      <c r="N344" s="25"/>
      <c r="O344" s="54"/>
      <c r="P344"/>
      <c r="Q344" s="25"/>
      <c r="R344" s="54"/>
      <c r="W344" s="23"/>
      <c r="X344" s="23"/>
      <c r="Y344" s="23"/>
      <c r="Z344" s="43"/>
      <c r="AA344" s="23"/>
      <c r="AB344" s="23"/>
      <c r="AC344" s="23"/>
      <c r="AD344" s="23"/>
      <c r="AE344" s="23"/>
      <c r="AF344" s="23"/>
      <c r="AG344" s="23"/>
      <c r="AH344" s="23"/>
      <c r="AI344" s="23"/>
    </row>
    <row r="345" spans="1:35">
      <c r="A345" s="23"/>
      <c r="B345" s="42"/>
      <c r="C345" s="49"/>
      <c r="E345" s="49"/>
      <c r="G345" s="43"/>
      <c r="H345" s="44"/>
      <c r="L345" s="42"/>
      <c r="M345" s="42"/>
      <c r="N345" s="25"/>
      <c r="O345" s="54"/>
      <c r="P345"/>
      <c r="Q345" s="25"/>
      <c r="R345" s="54"/>
      <c r="W345" s="23"/>
      <c r="X345" s="23"/>
      <c r="Y345" s="23"/>
      <c r="Z345" s="43"/>
      <c r="AA345" s="23"/>
      <c r="AB345" s="23"/>
      <c r="AC345" s="23"/>
      <c r="AD345" s="23"/>
      <c r="AE345" s="23"/>
      <c r="AF345" s="23"/>
      <c r="AG345" s="23"/>
      <c r="AH345" s="23"/>
      <c r="AI345" s="49"/>
    </row>
    <row r="346" spans="1:35">
      <c r="A346" s="23"/>
      <c r="B346" s="42"/>
      <c r="C346" s="49"/>
      <c r="E346" s="49"/>
      <c r="G346" s="43"/>
      <c r="H346" s="44"/>
      <c r="L346" s="42"/>
      <c r="M346" s="42"/>
      <c r="N346" s="25"/>
      <c r="O346" s="54"/>
      <c r="P346"/>
      <c r="Q346" s="25"/>
      <c r="R346" s="54"/>
      <c r="W346" s="23"/>
      <c r="X346" s="23"/>
      <c r="Y346" s="23"/>
      <c r="Z346" s="43"/>
      <c r="AA346" s="23"/>
      <c r="AB346" s="23"/>
      <c r="AC346" s="23"/>
      <c r="AD346" s="23"/>
      <c r="AE346" s="23"/>
      <c r="AF346" s="23"/>
      <c r="AG346" s="23"/>
      <c r="AH346" s="23"/>
      <c r="AI346" s="49"/>
    </row>
    <row r="347" spans="1:35">
      <c r="A347" s="23"/>
      <c r="B347" s="42"/>
      <c r="C347" s="49"/>
      <c r="E347" s="49"/>
      <c r="G347" s="43"/>
      <c r="H347" s="44"/>
      <c r="L347" s="42"/>
      <c r="M347" s="42"/>
      <c r="N347" s="25"/>
      <c r="O347" s="54"/>
      <c r="P347"/>
      <c r="Q347" s="25"/>
      <c r="R347" s="54"/>
      <c r="W347" s="23"/>
      <c r="X347" s="23"/>
      <c r="Y347" s="23"/>
      <c r="Z347" s="43"/>
      <c r="AA347" s="23"/>
      <c r="AB347" s="23"/>
      <c r="AC347" s="23"/>
      <c r="AD347" s="23"/>
      <c r="AE347" s="23"/>
      <c r="AF347" s="23"/>
      <c r="AG347" s="23"/>
      <c r="AH347" s="23"/>
      <c r="AI347" s="49"/>
    </row>
    <row r="348" spans="1:35">
      <c r="B348" s="42"/>
      <c r="G348" s="43"/>
      <c r="H348" s="44"/>
      <c r="L348" s="42"/>
      <c r="M348" s="42"/>
      <c r="N348" s="25"/>
      <c r="O348" s="54"/>
      <c r="P348"/>
      <c r="Q348" s="25"/>
      <c r="R348" s="54"/>
      <c r="W348" s="23"/>
      <c r="X348" s="23"/>
      <c r="Y348" s="23"/>
      <c r="Z348" s="43"/>
      <c r="AA348" s="23"/>
      <c r="AB348" s="23"/>
      <c r="AC348" s="23"/>
      <c r="AD348" s="23"/>
      <c r="AE348" s="23"/>
      <c r="AF348" s="23"/>
      <c r="AG348" s="23"/>
      <c r="AH348" s="23"/>
    </row>
    <row r="349" spans="1:35">
      <c r="A349" s="23"/>
      <c r="B349" s="42"/>
      <c r="C349" s="49"/>
      <c r="E349" s="49"/>
      <c r="G349" s="43"/>
      <c r="H349" s="44"/>
      <c r="L349" s="42"/>
      <c r="M349" s="42"/>
      <c r="N349" s="25"/>
      <c r="O349" s="54"/>
      <c r="P349"/>
      <c r="Q349" s="25"/>
      <c r="R349" s="54"/>
      <c r="W349" s="23"/>
      <c r="X349" s="23"/>
      <c r="Y349" s="23"/>
      <c r="Z349" s="43"/>
      <c r="AA349" s="23"/>
      <c r="AB349" s="23"/>
      <c r="AC349" s="23"/>
      <c r="AD349" s="23"/>
      <c r="AE349" s="23"/>
      <c r="AF349" s="23"/>
      <c r="AG349" s="23"/>
      <c r="AH349" s="23"/>
      <c r="AI349" s="49"/>
    </row>
    <row r="350" spans="1:35">
      <c r="A350" s="23"/>
      <c r="B350" s="42"/>
      <c r="C350" s="49"/>
      <c r="E350" s="49"/>
      <c r="G350" s="43"/>
      <c r="H350" s="44"/>
      <c r="L350" s="42"/>
      <c r="M350" s="42"/>
      <c r="N350" s="25"/>
      <c r="O350" s="54"/>
      <c r="P350"/>
      <c r="Q350" s="25"/>
      <c r="R350" s="54"/>
      <c r="W350" s="23"/>
      <c r="X350" s="23"/>
      <c r="Y350" s="23"/>
      <c r="Z350" s="43"/>
      <c r="AA350" s="23"/>
      <c r="AB350" s="23"/>
      <c r="AC350" s="23"/>
      <c r="AD350" s="23"/>
      <c r="AE350" s="23"/>
      <c r="AF350" s="23"/>
      <c r="AG350" s="23"/>
      <c r="AH350" s="23"/>
      <c r="AI350" s="49"/>
    </row>
    <row r="351" spans="1:35">
      <c r="B351" s="42"/>
      <c r="C351" s="49"/>
      <c r="E351" s="49"/>
      <c r="G351" s="43"/>
      <c r="H351" s="44"/>
      <c r="L351" s="42"/>
      <c r="M351" s="42"/>
      <c r="N351" s="25"/>
      <c r="O351" s="54"/>
      <c r="P351"/>
      <c r="Q351" s="25"/>
      <c r="R351" s="54"/>
      <c r="W351" s="23"/>
      <c r="X351" s="23"/>
      <c r="Y351" s="23"/>
      <c r="Z351" s="43"/>
      <c r="AA351" s="23"/>
      <c r="AB351" s="23"/>
      <c r="AC351" s="23"/>
      <c r="AD351" s="23"/>
      <c r="AE351" s="23"/>
      <c r="AF351" s="23"/>
      <c r="AG351" s="23"/>
      <c r="AH351" s="23"/>
      <c r="AI351" s="23"/>
    </row>
    <row r="352" spans="1:35">
      <c r="A352" s="23"/>
      <c r="B352" s="42"/>
      <c r="C352" s="49"/>
      <c r="E352" s="49"/>
      <c r="G352" s="43"/>
      <c r="H352" s="44"/>
      <c r="L352" s="42"/>
      <c r="M352" s="42"/>
      <c r="N352" s="25"/>
      <c r="O352" s="54"/>
      <c r="P352"/>
      <c r="Q352" s="25"/>
      <c r="R352" s="54"/>
      <c r="W352" s="23"/>
      <c r="X352" s="23"/>
      <c r="Y352" s="23"/>
      <c r="Z352" s="43"/>
      <c r="AA352" s="23"/>
      <c r="AB352" s="23"/>
      <c r="AC352" s="23"/>
      <c r="AD352" s="23"/>
      <c r="AE352" s="23"/>
      <c r="AF352" s="23"/>
      <c r="AG352" s="23"/>
      <c r="AH352" s="23"/>
      <c r="AI352" s="49"/>
    </row>
    <row r="353" spans="1:35">
      <c r="B353" s="42"/>
      <c r="G353" s="43"/>
      <c r="H353" s="44"/>
      <c r="L353" s="42"/>
      <c r="M353" s="42"/>
      <c r="N353" s="25"/>
      <c r="O353" s="54"/>
      <c r="P353"/>
      <c r="Q353" s="25"/>
      <c r="R353" s="54"/>
      <c r="W353" s="23"/>
      <c r="X353" s="23"/>
      <c r="Y353" s="23"/>
      <c r="Z353" s="43"/>
      <c r="AA353" s="23"/>
      <c r="AB353" s="23"/>
      <c r="AC353" s="23"/>
      <c r="AD353" s="23"/>
      <c r="AE353" s="23"/>
      <c r="AF353" s="23"/>
      <c r="AG353" s="23"/>
      <c r="AH353" s="23"/>
    </row>
    <row r="354" spans="1:35">
      <c r="A354" s="23"/>
      <c r="B354" s="42"/>
      <c r="C354" s="49"/>
      <c r="E354" s="49"/>
      <c r="G354" s="43"/>
      <c r="H354" s="44"/>
      <c r="L354" s="42"/>
      <c r="M354" s="42"/>
      <c r="N354" s="25"/>
      <c r="O354" s="54"/>
      <c r="P354"/>
      <c r="Q354" s="25"/>
      <c r="R354" s="54"/>
      <c r="W354" s="23"/>
      <c r="X354" s="23"/>
      <c r="Y354" s="23"/>
      <c r="Z354" s="43"/>
      <c r="AA354" s="23"/>
      <c r="AB354" s="23"/>
      <c r="AC354" s="23"/>
      <c r="AD354" s="23"/>
      <c r="AE354" s="23"/>
      <c r="AF354" s="23"/>
      <c r="AG354" s="23"/>
      <c r="AH354" s="23"/>
      <c r="AI354" s="49"/>
    </row>
    <row r="355" spans="1:35">
      <c r="A355" s="23"/>
      <c r="B355" s="42"/>
      <c r="C355" s="49"/>
      <c r="E355" s="49"/>
      <c r="G355" s="43"/>
      <c r="H355" s="44"/>
      <c r="L355" s="42"/>
      <c r="M355" s="42"/>
      <c r="N355" s="25"/>
      <c r="O355" s="54"/>
      <c r="P355"/>
      <c r="Q355" s="25"/>
      <c r="R355" s="54"/>
      <c r="W355" s="23"/>
      <c r="X355" s="23"/>
      <c r="Y355" s="23"/>
      <c r="Z355" s="43"/>
      <c r="AA355" s="23"/>
      <c r="AB355" s="23"/>
      <c r="AC355" s="23"/>
      <c r="AD355" s="23"/>
      <c r="AE355" s="23"/>
      <c r="AF355" s="23"/>
      <c r="AG355" s="23"/>
      <c r="AH355" s="23"/>
      <c r="AI355" s="49"/>
    </row>
    <row r="356" spans="1:35">
      <c r="A356" s="23"/>
      <c r="B356" s="42"/>
      <c r="G356" s="43"/>
      <c r="H356" s="44"/>
      <c r="L356" s="42"/>
      <c r="M356" s="42"/>
      <c r="N356" s="25"/>
      <c r="O356" s="54"/>
      <c r="P356"/>
      <c r="Q356" s="25"/>
      <c r="R356" s="54"/>
      <c r="W356" s="23"/>
      <c r="X356" s="23"/>
      <c r="Y356" s="23"/>
      <c r="Z356" s="43"/>
      <c r="AA356" s="23"/>
      <c r="AB356" s="23"/>
      <c r="AC356" s="23"/>
      <c r="AD356" s="23"/>
      <c r="AE356" s="23"/>
      <c r="AF356" s="23"/>
      <c r="AG356" s="23"/>
      <c r="AH356" s="23"/>
      <c r="AI356" s="23"/>
    </row>
    <row r="357" spans="1:35">
      <c r="B357" s="42"/>
      <c r="G357" s="43"/>
      <c r="H357" s="44"/>
      <c r="L357" s="42"/>
      <c r="M357" s="42"/>
      <c r="N357" s="25"/>
      <c r="O357" s="54"/>
      <c r="P357"/>
      <c r="Q357" s="25"/>
      <c r="R357" s="54"/>
      <c r="W357" s="23"/>
      <c r="X357" s="23"/>
      <c r="Y357" s="23"/>
      <c r="Z357" s="43"/>
      <c r="AA357" s="23"/>
      <c r="AB357" s="23"/>
      <c r="AC357" s="23"/>
      <c r="AD357" s="23"/>
      <c r="AE357" s="23"/>
      <c r="AF357" s="23"/>
      <c r="AG357" s="23"/>
      <c r="AH357" s="23"/>
    </row>
    <row r="358" spans="1:35">
      <c r="B358" s="42"/>
      <c r="C358" s="49"/>
      <c r="E358" s="49"/>
      <c r="G358" s="43"/>
      <c r="H358" s="44"/>
      <c r="L358" s="42"/>
      <c r="M358" s="42"/>
      <c r="N358" s="25"/>
      <c r="O358" s="54"/>
      <c r="P358"/>
      <c r="Q358" s="25"/>
      <c r="R358" s="54"/>
      <c r="W358" s="23"/>
      <c r="X358" s="23"/>
      <c r="Y358" s="23"/>
      <c r="Z358" s="43"/>
      <c r="AA358" s="23"/>
      <c r="AB358" s="23"/>
      <c r="AC358" s="23"/>
      <c r="AD358" s="23"/>
      <c r="AE358" s="23"/>
      <c r="AF358" s="23"/>
      <c r="AG358" s="23"/>
      <c r="AH358" s="23"/>
      <c r="AI358" s="23"/>
    </row>
    <row r="359" spans="1:35">
      <c r="A359" s="23"/>
      <c r="B359" s="42"/>
      <c r="C359" s="49"/>
      <c r="E359" s="49"/>
      <c r="G359" s="43"/>
      <c r="H359" s="44"/>
      <c r="L359" s="42"/>
      <c r="M359" s="42"/>
      <c r="N359" s="25"/>
      <c r="O359" s="54"/>
      <c r="P359"/>
      <c r="Q359" s="25"/>
      <c r="R359" s="54"/>
      <c r="W359" s="23"/>
      <c r="X359" s="23"/>
      <c r="Y359" s="23"/>
      <c r="Z359" s="43"/>
      <c r="AA359" s="23"/>
      <c r="AB359" s="23"/>
      <c r="AC359" s="23"/>
      <c r="AD359" s="23"/>
      <c r="AE359" s="23"/>
      <c r="AF359" s="23"/>
      <c r="AG359" s="23"/>
      <c r="AH359" s="23"/>
      <c r="AI359" s="49"/>
    </row>
    <row r="360" spans="1:35">
      <c r="B360" s="42"/>
      <c r="G360" s="43"/>
      <c r="H360" s="44"/>
      <c r="L360" s="42"/>
      <c r="M360" s="42"/>
      <c r="N360" s="25"/>
      <c r="O360" s="54"/>
      <c r="P360"/>
      <c r="Q360" s="25"/>
      <c r="R360" s="54"/>
      <c r="W360" s="23"/>
      <c r="X360" s="23"/>
      <c r="Y360" s="23"/>
      <c r="Z360" s="43"/>
      <c r="AA360" s="23"/>
      <c r="AB360" s="23"/>
      <c r="AC360" s="23"/>
      <c r="AD360" s="23"/>
      <c r="AE360" s="23"/>
      <c r="AF360" s="23"/>
      <c r="AG360" s="23"/>
      <c r="AH360" s="23"/>
      <c r="AI360" s="48"/>
    </row>
    <row r="361" spans="1:35">
      <c r="B361" s="42"/>
      <c r="C361" s="49"/>
      <c r="E361" s="49"/>
      <c r="G361" s="43"/>
      <c r="H361" s="44"/>
      <c r="L361" s="42"/>
      <c r="M361" s="42"/>
      <c r="N361" s="25"/>
      <c r="O361" s="54"/>
      <c r="P361"/>
      <c r="Q361" s="25"/>
      <c r="R361" s="54"/>
      <c r="W361" s="23"/>
      <c r="X361" s="23"/>
      <c r="Y361" s="23"/>
      <c r="Z361" s="43"/>
      <c r="AA361" s="23"/>
      <c r="AB361" s="23"/>
      <c r="AC361" s="23"/>
      <c r="AD361" s="23"/>
      <c r="AE361" s="23"/>
      <c r="AF361" s="23"/>
      <c r="AG361" s="23"/>
      <c r="AH361" s="23"/>
      <c r="AI361" s="23"/>
    </row>
    <row r="362" spans="1:35">
      <c r="B362" s="42"/>
      <c r="G362" s="43"/>
      <c r="H362" s="44"/>
      <c r="L362" s="42"/>
      <c r="M362" s="42"/>
      <c r="N362" s="25"/>
      <c r="O362" s="54"/>
      <c r="P362"/>
      <c r="Q362" s="25"/>
      <c r="R362" s="54"/>
      <c r="W362" s="23"/>
      <c r="X362" s="23"/>
      <c r="Y362" s="23"/>
      <c r="Z362" s="43"/>
      <c r="AA362" s="23"/>
      <c r="AB362" s="23"/>
      <c r="AC362" s="23"/>
      <c r="AD362" s="23"/>
      <c r="AE362" s="23"/>
      <c r="AF362" s="23"/>
      <c r="AG362" s="23"/>
      <c r="AH362" s="23"/>
    </row>
    <row r="363" spans="1:35">
      <c r="A363" s="45"/>
      <c r="B363" s="42"/>
      <c r="C363" s="45"/>
      <c r="E363" s="45"/>
      <c r="G363" s="43"/>
      <c r="H363" s="44"/>
      <c r="L363" s="42"/>
      <c r="M363" s="42"/>
      <c r="N363" s="25"/>
      <c r="O363" s="54"/>
      <c r="P363"/>
      <c r="Q363" s="25"/>
      <c r="R363" s="54"/>
      <c r="W363" s="23"/>
      <c r="X363" s="23"/>
      <c r="Y363" s="23"/>
      <c r="Z363" s="43"/>
      <c r="AA363" s="23"/>
      <c r="AB363" s="23"/>
      <c r="AC363" s="23"/>
      <c r="AD363" s="23"/>
      <c r="AE363" s="23"/>
      <c r="AF363" s="23"/>
      <c r="AG363" s="23"/>
      <c r="AH363" s="23"/>
      <c r="AI363" s="48"/>
    </row>
    <row r="364" spans="1:35">
      <c r="A364" s="23"/>
      <c r="B364" s="42"/>
      <c r="G364" s="43"/>
      <c r="H364" s="44"/>
      <c r="L364" s="42"/>
      <c r="M364" s="42"/>
      <c r="N364" s="25"/>
      <c r="O364" s="54"/>
      <c r="P364"/>
      <c r="Q364" s="25"/>
      <c r="R364" s="54"/>
      <c r="W364" s="23"/>
      <c r="X364" s="23"/>
      <c r="Y364" s="23"/>
      <c r="Z364" s="43"/>
      <c r="AA364" s="23"/>
      <c r="AB364" s="23"/>
      <c r="AC364" s="23"/>
      <c r="AD364" s="23"/>
      <c r="AE364" s="23"/>
      <c r="AF364" s="23"/>
      <c r="AG364" s="23"/>
      <c r="AH364" s="23"/>
      <c r="AI364" s="23"/>
    </row>
    <row r="365" spans="1:35">
      <c r="B365" s="42"/>
      <c r="G365" s="43"/>
      <c r="H365" s="44"/>
      <c r="L365" s="42"/>
      <c r="M365" s="42"/>
      <c r="N365" s="25"/>
      <c r="O365" s="54"/>
      <c r="P365"/>
      <c r="Q365" s="25"/>
      <c r="R365" s="54"/>
      <c r="W365" s="23"/>
      <c r="X365" s="23"/>
      <c r="Y365" s="23"/>
      <c r="Z365" s="43"/>
      <c r="AA365" s="23"/>
      <c r="AB365" s="23"/>
      <c r="AC365" s="23"/>
      <c r="AD365" s="23"/>
      <c r="AE365" s="23"/>
      <c r="AF365" s="23"/>
      <c r="AG365" s="23"/>
      <c r="AH365" s="23"/>
    </row>
    <row r="366" spans="1:35">
      <c r="A366" s="23"/>
      <c r="B366" s="42"/>
      <c r="C366" s="49"/>
      <c r="E366" s="49"/>
      <c r="G366" s="43"/>
      <c r="H366" s="44"/>
      <c r="L366" s="42"/>
      <c r="M366" s="42"/>
      <c r="N366" s="25"/>
      <c r="O366" s="54"/>
      <c r="P366"/>
      <c r="Q366" s="25"/>
      <c r="R366" s="54"/>
      <c r="W366" s="23"/>
      <c r="X366" s="23"/>
      <c r="Y366" s="23"/>
      <c r="Z366" s="43"/>
      <c r="AA366" s="23"/>
      <c r="AB366" s="23"/>
      <c r="AC366" s="23"/>
      <c r="AD366" s="23"/>
      <c r="AE366" s="23"/>
      <c r="AF366" s="23"/>
      <c r="AG366" s="23"/>
      <c r="AH366" s="23"/>
      <c r="AI366" s="49"/>
    </row>
    <row r="367" spans="1:35">
      <c r="A367" s="23"/>
      <c r="B367" s="42"/>
      <c r="G367" s="43"/>
      <c r="H367" s="44"/>
      <c r="L367" s="42"/>
      <c r="M367" s="42"/>
      <c r="N367" s="25"/>
      <c r="O367" s="54"/>
      <c r="P367"/>
      <c r="Q367" s="25"/>
      <c r="R367" s="54"/>
      <c r="W367" s="23"/>
      <c r="X367" s="23"/>
      <c r="Y367" s="23"/>
      <c r="Z367" s="43"/>
      <c r="AA367" s="23"/>
      <c r="AB367" s="23"/>
      <c r="AC367" s="23"/>
      <c r="AD367" s="23"/>
      <c r="AE367" s="23"/>
      <c r="AF367" s="23"/>
      <c r="AG367" s="23"/>
      <c r="AH367" s="23"/>
      <c r="AI367" s="23"/>
    </row>
    <row r="368" spans="1:35">
      <c r="B368" s="42"/>
      <c r="C368" s="49"/>
      <c r="E368" s="49"/>
      <c r="G368" s="43"/>
      <c r="H368" s="44"/>
      <c r="L368" s="42"/>
      <c r="M368" s="42"/>
      <c r="N368" s="25"/>
      <c r="O368" s="54"/>
      <c r="P368"/>
      <c r="Q368" s="25"/>
      <c r="R368" s="54"/>
      <c r="W368" s="23"/>
      <c r="X368" s="23"/>
      <c r="Y368" s="23"/>
      <c r="Z368" s="43"/>
      <c r="AA368" s="23"/>
      <c r="AB368" s="23"/>
      <c r="AC368" s="23"/>
      <c r="AD368" s="23"/>
      <c r="AE368" s="23"/>
      <c r="AF368" s="23"/>
      <c r="AG368" s="23"/>
      <c r="AH368" s="23"/>
      <c r="AI368" s="23"/>
    </row>
    <row r="369" spans="1:35">
      <c r="A369" s="50"/>
      <c r="B369" s="42"/>
      <c r="C369" s="49"/>
      <c r="E369" s="49"/>
      <c r="G369" s="43"/>
      <c r="H369" s="44"/>
      <c r="L369" s="42"/>
      <c r="M369" s="42"/>
      <c r="N369" s="25"/>
      <c r="O369" s="54"/>
      <c r="P369"/>
      <c r="Q369" s="25"/>
      <c r="R369" s="54"/>
      <c r="W369" s="23"/>
      <c r="X369" s="23"/>
      <c r="Y369" s="23"/>
      <c r="Z369" s="43"/>
      <c r="AA369" s="23"/>
      <c r="AB369" s="23"/>
      <c r="AC369" s="23"/>
      <c r="AD369" s="23"/>
      <c r="AE369" s="23"/>
      <c r="AF369" s="23"/>
      <c r="AG369" s="23"/>
      <c r="AH369" s="23"/>
      <c r="AI369" s="49"/>
    </row>
    <row r="370" spans="1:35">
      <c r="B370" s="42"/>
      <c r="C370" s="49"/>
      <c r="E370" s="49"/>
      <c r="G370" s="43"/>
      <c r="H370" s="44"/>
      <c r="L370" s="42"/>
      <c r="M370" s="42"/>
      <c r="N370" s="25"/>
      <c r="O370" s="54"/>
      <c r="P370"/>
      <c r="Q370" s="25"/>
      <c r="R370" s="54"/>
      <c r="W370" s="23"/>
      <c r="X370" s="23"/>
      <c r="Y370" s="23"/>
      <c r="Z370" s="43"/>
      <c r="AA370" s="23"/>
      <c r="AB370" s="23"/>
      <c r="AC370" s="23"/>
      <c r="AD370" s="23"/>
      <c r="AE370" s="23"/>
      <c r="AF370" s="23"/>
      <c r="AG370" s="23"/>
      <c r="AH370" s="23"/>
      <c r="AI370" s="23"/>
    </row>
    <row r="371" spans="1:35">
      <c r="A371" s="23"/>
      <c r="B371" s="42"/>
      <c r="C371" s="49"/>
      <c r="E371" s="49"/>
      <c r="G371" s="43"/>
      <c r="H371" s="44"/>
      <c r="L371" s="42"/>
      <c r="M371" s="42"/>
      <c r="N371" s="25"/>
      <c r="O371" s="54"/>
      <c r="P371"/>
      <c r="Q371" s="25"/>
      <c r="R371" s="54"/>
      <c r="W371" s="23"/>
      <c r="X371" s="23"/>
      <c r="Y371" s="23"/>
      <c r="Z371" s="43"/>
      <c r="AA371" s="23"/>
      <c r="AB371" s="23"/>
      <c r="AC371" s="23"/>
      <c r="AD371" s="23"/>
      <c r="AE371" s="23"/>
      <c r="AF371" s="23"/>
      <c r="AG371" s="23"/>
      <c r="AH371" s="23"/>
      <c r="AI371" s="49"/>
    </row>
    <row r="372" spans="1:35">
      <c r="B372" s="42"/>
      <c r="G372" s="43"/>
      <c r="H372" s="44"/>
      <c r="L372" s="42"/>
      <c r="M372" s="42"/>
      <c r="N372" s="25"/>
      <c r="O372" s="54"/>
      <c r="P372"/>
      <c r="Q372" s="25"/>
      <c r="R372" s="54"/>
      <c r="W372" s="23"/>
      <c r="X372" s="23"/>
      <c r="Y372" s="23"/>
      <c r="Z372" s="43"/>
      <c r="AA372" s="23"/>
      <c r="AB372" s="23"/>
      <c r="AC372" s="23"/>
      <c r="AD372" s="23"/>
      <c r="AE372" s="23"/>
      <c r="AF372" s="23"/>
      <c r="AG372" s="23"/>
      <c r="AH372" s="23"/>
    </row>
    <row r="373" spans="1:35">
      <c r="B373" s="42"/>
      <c r="G373" s="43"/>
      <c r="H373" s="44"/>
      <c r="L373" s="42"/>
      <c r="M373" s="42"/>
      <c r="N373" s="25"/>
      <c r="O373" s="54"/>
      <c r="P373"/>
      <c r="Q373" s="25"/>
      <c r="R373" s="54"/>
      <c r="W373" s="23"/>
      <c r="X373" s="23"/>
      <c r="Y373" s="23"/>
      <c r="Z373" s="43"/>
      <c r="AA373" s="23"/>
      <c r="AB373" s="23"/>
      <c r="AC373" s="23"/>
      <c r="AD373" s="23"/>
      <c r="AE373" s="23"/>
      <c r="AF373" s="23"/>
      <c r="AG373" s="23"/>
      <c r="AH373" s="23"/>
    </row>
    <row r="374" spans="1:35">
      <c r="B374" s="42"/>
      <c r="C374" s="49"/>
      <c r="E374" s="49"/>
      <c r="G374" s="43"/>
      <c r="H374" s="44"/>
      <c r="L374" s="42"/>
      <c r="M374" s="42"/>
      <c r="N374" s="25"/>
      <c r="O374" s="54"/>
      <c r="P374"/>
      <c r="Q374" s="25"/>
      <c r="R374" s="54"/>
      <c r="W374" s="23"/>
      <c r="X374" s="23"/>
      <c r="Y374" s="23"/>
      <c r="Z374" s="43"/>
      <c r="AA374" s="23"/>
      <c r="AB374" s="23"/>
      <c r="AC374" s="23"/>
      <c r="AD374" s="23"/>
      <c r="AE374" s="23"/>
      <c r="AF374" s="23"/>
      <c r="AG374" s="23"/>
      <c r="AH374" s="23"/>
      <c r="AI374" s="23"/>
    </row>
    <row r="375" spans="1:35">
      <c r="B375" s="42"/>
      <c r="G375" s="43"/>
      <c r="H375" s="44"/>
      <c r="L375" s="42"/>
      <c r="M375" s="42"/>
      <c r="N375" s="25"/>
      <c r="O375" s="54"/>
      <c r="P375"/>
      <c r="Q375" s="25"/>
      <c r="R375" s="54"/>
      <c r="W375" s="23"/>
      <c r="X375" s="23"/>
      <c r="Y375" s="23"/>
      <c r="Z375" s="43"/>
      <c r="AA375" s="23"/>
      <c r="AB375" s="23"/>
      <c r="AC375" s="23"/>
      <c r="AD375" s="23"/>
      <c r="AE375" s="23"/>
      <c r="AF375" s="23"/>
      <c r="AG375" s="23"/>
      <c r="AH375" s="23"/>
      <c r="AI375" s="48"/>
    </row>
    <row r="376" spans="1:35">
      <c r="A376" s="23"/>
      <c r="B376" s="42"/>
      <c r="C376" s="49"/>
      <c r="E376" s="49"/>
      <c r="G376" s="43"/>
      <c r="H376" s="44"/>
      <c r="L376" s="42"/>
      <c r="M376" s="42"/>
      <c r="N376" s="25"/>
      <c r="O376" s="54"/>
      <c r="P376"/>
      <c r="Q376" s="25"/>
      <c r="R376" s="54"/>
      <c r="W376" s="23"/>
      <c r="X376" s="23"/>
      <c r="Y376" s="23"/>
      <c r="Z376" s="43"/>
      <c r="AA376" s="23"/>
      <c r="AB376" s="23"/>
      <c r="AC376" s="23"/>
      <c r="AD376" s="23"/>
      <c r="AE376" s="23"/>
      <c r="AF376" s="23"/>
      <c r="AG376" s="23"/>
      <c r="AH376" s="23"/>
      <c r="AI376" s="49"/>
    </row>
    <row r="377" spans="1:35">
      <c r="B377" s="42"/>
      <c r="C377" s="49"/>
      <c r="E377" s="49"/>
      <c r="G377" s="43"/>
      <c r="H377" s="44"/>
      <c r="L377" s="42"/>
      <c r="M377" s="42"/>
      <c r="N377" s="25"/>
      <c r="O377" s="54"/>
      <c r="P377"/>
      <c r="Q377" s="25"/>
      <c r="R377" s="54"/>
      <c r="W377" s="23"/>
      <c r="X377" s="23"/>
      <c r="Y377" s="23"/>
      <c r="Z377" s="43"/>
      <c r="AA377" s="23"/>
      <c r="AB377" s="23"/>
      <c r="AC377" s="23"/>
      <c r="AD377" s="23"/>
      <c r="AE377" s="23"/>
      <c r="AF377" s="23"/>
      <c r="AG377" s="23"/>
      <c r="AH377" s="23"/>
      <c r="AI377" s="23"/>
    </row>
    <row r="378" spans="1:35">
      <c r="A378" s="23"/>
      <c r="B378" s="42"/>
      <c r="G378" s="43"/>
      <c r="H378" s="44"/>
      <c r="L378" s="42"/>
      <c r="M378" s="42"/>
      <c r="N378" s="25"/>
      <c r="O378" s="54"/>
      <c r="P378"/>
      <c r="Q378" s="25"/>
      <c r="R378" s="54"/>
      <c r="W378" s="23"/>
      <c r="X378" s="23"/>
      <c r="Y378" s="23"/>
      <c r="Z378" s="43"/>
      <c r="AA378" s="23"/>
      <c r="AB378" s="23"/>
      <c r="AC378" s="23"/>
      <c r="AD378" s="23"/>
      <c r="AE378" s="23"/>
      <c r="AF378" s="23"/>
      <c r="AG378" s="23"/>
      <c r="AH378" s="23"/>
      <c r="AI378" s="23"/>
    </row>
    <row r="379" spans="1:35">
      <c r="B379" s="42"/>
      <c r="G379" s="43"/>
      <c r="H379" s="44"/>
      <c r="L379" s="42"/>
      <c r="M379" s="42"/>
      <c r="N379" s="25"/>
      <c r="O379" s="54"/>
      <c r="P379"/>
      <c r="Q379" s="25"/>
      <c r="R379" s="54"/>
      <c r="W379" s="23"/>
      <c r="X379" s="23"/>
      <c r="Y379" s="23"/>
      <c r="Z379" s="43"/>
      <c r="AA379" s="23"/>
      <c r="AB379" s="23"/>
      <c r="AC379" s="23"/>
      <c r="AD379" s="23"/>
      <c r="AE379" s="23"/>
      <c r="AF379" s="23"/>
      <c r="AG379" s="23"/>
      <c r="AH379" s="23"/>
    </row>
    <row r="380" spans="1:35">
      <c r="A380" s="23"/>
      <c r="B380" s="42"/>
      <c r="C380" s="49"/>
      <c r="E380" s="49"/>
      <c r="G380" s="43"/>
      <c r="H380" s="44"/>
      <c r="L380" s="42"/>
      <c r="M380" s="42"/>
      <c r="N380" s="25"/>
      <c r="O380" s="54"/>
      <c r="P380"/>
      <c r="Q380" s="25"/>
      <c r="R380" s="54"/>
      <c r="W380" s="23"/>
      <c r="X380" s="23"/>
      <c r="Y380" s="23"/>
      <c r="Z380" s="43"/>
      <c r="AA380" s="23"/>
      <c r="AB380" s="23"/>
      <c r="AC380" s="23"/>
      <c r="AD380" s="23"/>
      <c r="AE380" s="23"/>
      <c r="AF380" s="23"/>
      <c r="AG380" s="23"/>
      <c r="AH380" s="23"/>
      <c r="AI380" s="49"/>
    </row>
    <row r="381" spans="1:35">
      <c r="A381" s="45"/>
      <c r="B381" s="42"/>
      <c r="C381" s="45"/>
      <c r="E381" s="45"/>
      <c r="G381" s="43"/>
      <c r="H381" s="44"/>
      <c r="L381" s="42"/>
      <c r="M381" s="42"/>
      <c r="N381" s="25"/>
      <c r="O381" s="54"/>
      <c r="P381"/>
      <c r="Q381" s="25"/>
      <c r="R381" s="54"/>
      <c r="W381" s="23"/>
      <c r="X381" s="23"/>
      <c r="Y381" s="23"/>
      <c r="Z381" s="43"/>
      <c r="AA381" s="23"/>
      <c r="AB381" s="23"/>
      <c r="AC381" s="23"/>
      <c r="AD381" s="23"/>
      <c r="AE381" s="23"/>
      <c r="AF381" s="23"/>
      <c r="AG381" s="23"/>
      <c r="AH381" s="23"/>
      <c r="AI381" s="48"/>
    </row>
    <row r="382" spans="1:35">
      <c r="B382" s="42"/>
      <c r="C382" s="49"/>
      <c r="E382" s="49"/>
      <c r="G382" s="43"/>
      <c r="H382" s="44"/>
      <c r="L382" s="42"/>
      <c r="M382" s="42"/>
      <c r="N382" s="25"/>
      <c r="O382" s="54"/>
      <c r="P382"/>
      <c r="Q382" s="25"/>
      <c r="R382" s="54"/>
      <c r="W382" s="23"/>
      <c r="X382" s="23"/>
      <c r="Y382" s="23"/>
      <c r="Z382" s="43"/>
      <c r="AA382" s="23"/>
      <c r="AB382" s="23"/>
      <c r="AC382" s="23"/>
      <c r="AD382" s="23"/>
      <c r="AE382" s="23"/>
      <c r="AF382" s="23"/>
      <c r="AG382" s="23"/>
      <c r="AH382" s="23"/>
      <c r="AI382" s="23"/>
    </row>
    <row r="383" spans="1:35">
      <c r="B383" s="42"/>
      <c r="G383" s="43"/>
      <c r="H383" s="44"/>
      <c r="L383" s="42"/>
      <c r="M383" s="42"/>
      <c r="N383" s="25"/>
      <c r="O383" s="54"/>
      <c r="P383"/>
      <c r="Q383" s="25"/>
      <c r="R383" s="54"/>
      <c r="W383" s="23"/>
      <c r="X383" s="23"/>
      <c r="Y383" s="23"/>
      <c r="Z383" s="43"/>
      <c r="AA383" s="23"/>
      <c r="AB383" s="23"/>
      <c r="AC383" s="23"/>
      <c r="AD383" s="23"/>
      <c r="AE383" s="23"/>
      <c r="AF383" s="23"/>
      <c r="AG383" s="23"/>
      <c r="AH383" s="23"/>
      <c r="AI383" s="48"/>
    </row>
    <row r="384" spans="1:35">
      <c r="B384" s="42"/>
      <c r="G384" s="43"/>
      <c r="H384" s="44"/>
      <c r="L384" s="42"/>
      <c r="M384" s="42"/>
      <c r="N384" s="25"/>
      <c r="O384" s="54"/>
      <c r="P384"/>
      <c r="Q384" s="25"/>
      <c r="R384" s="54"/>
      <c r="W384" s="23"/>
      <c r="X384" s="23"/>
      <c r="Y384" s="23"/>
      <c r="Z384" s="43"/>
      <c r="AA384" s="23"/>
      <c r="AB384" s="23"/>
      <c r="AC384" s="23"/>
      <c r="AD384" s="23"/>
      <c r="AE384" s="23"/>
      <c r="AF384" s="23"/>
      <c r="AG384" s="23"/>
      <c r="AH384" s="23"/>
    </row>
    <row r="385" spans="1:35">
      <c r="B385" s="42"/>
      <c r="C385" s="49"/>
      <c r="E385" s="49"/>
      <c r="G385" s="43"/>
      <c r="H385" s="44"/>
      <c r="L385" s="42"/>
      <c r="M385" s="42"/>
      <c r="N385" s="25"/>
      <c r="O385" s="54"/>
      <c r="P385"/>
      <c r="Q385" s="25"/>
      <c r="R385" s="54"/>
      <c r="W385" s="23"/>
      <c r="X385" s="23"/>
      <c r="Y385" s="23"/>
      <c r="Z385" s="43"/>
      <c r="AA385" s="23"/>
      <c r="AB385" s="23"/>
      <c r="AC385" s="23"/>
      <c r="AD385" s="23"/>
      <c r="AE385" s="23"/>
      <c r="AF385" s="23"/>
      <c r="AG385" s="23"/>
      <c r="AH385" s="23"/>
      <c r="AI385" s="23"/>
    </row>
    <row r="386" spans="1:35">
      <c r="A386" s="23"/>
      <c r="B386" s="42"/>
      <c r="C386" s="49"/>
      <c r="E386" s="49"/>
      <c r="G386" s="43"/>
      <c r="H386" s="44"/>
      <c r="L386" s="42"/>
      <c r="M386" s="42"/>
      <c r="N386" s="25"/>
      <c r="O386" s="54"/>
      <c r="P386"/>
      <c r="Q386" s="25"/>
      <c r="R386" s="54"/>
      <c r="W386" s="23"/>
      <c r="X386" s="23"/>
      <c r="Y386" s="23"/>
      <c r="Z386" s="43"/>
      <c r="AA386" s="23"/>
      <c r="AB386" s="23"/>
      <c r="AC386" s="23"/>
      <c r="AD386" s="23"/>
      <c r="AE386" s="23"/>
      <c r="AF386" s="23"/>
      <c r="AG386" s="23"/>
      <c r="AH386" s="23"/>
      <c r="AI386" s="49"/>
    </row>
    <row r="387" spans="1:35">
      <c r="B387" s="42"/>
      <c r="G387" s="43"/>
      <c r="H387" s="44"/>
      <c r="L387" s="42"/>
      <c r="M387" s="42"/>
      <c r="N387" s="25"/>
      <c r="O387" s="54"/>
      <c r="P387"/>
      <c r="Q387" s="25"/>
      <c r="R387" s="54"/>
      <c r="W387" s="23"/>
      <c r="X387" s="23"/>
      <c r="Y387" s="23"/>
      <c r="Z387" s="43"/>
      <c r="AA387" s="23"/>
      <c r="AB387" s="23"/>
      <c r="AC387" s="23"/>
      <c r="AD387" s="23"/>
      <c r="AE387" s="23"/>
      <c r="AF387" s="23"/>
      <c r="AG387" s="23"/>
      <c r="AH387" s="23"/>
      <c r="AI387" s="48"/>
    </row>
    <row r="388" spans="1:35">
      <c r="A388" s="45"/>
      <c r="B388" s="42"/>
      <c r="C388" s="45"/>
      <c r="E388" s="45"/>
      <c r="G388" s="43"/>
      <c r="H388" s="44"/>
      <c r="L388" s="42"/>
      <c r="M388" s="42"/>
      <c r="N388" s="25"/>
      <c r="O388" s="54"/>
      <c r="P388"/>
      <c r="Q388" s="25"/>
      <c r="R388" s="54"/>
      <c r="W388" s="23"/>
      <c r="X388" s="23"/>
      <c r="Y388" s="23"/>
      <c r="Z388" s="43"/>
      <c r="AA388" s="23"/>
      <c r="AB388" s="23"/>
      <c r="AC388" s="23"/>
      <c r="AD388" s="23"/>
      <c r="AE388" s="23"/>
      <c r="AF388" s="23"/>
      <c r="AG388" s="23"/>
      <c r="AH388" s="23"/>
      <c r="AI388" s="48"/>
    </row>
    <row r="389" spans="1:35">
      <c r="B389" s="42"/>
      <c r="C389" s="49"/>
      <c r="E389" s="49"/>
      <c r="G389" s="43"/>
      <c r="H389" s="44"/>
      <c r="L389" s="42"/>
      <c r="M389" s="42"/>
      <c r="N389" s="25"/>
      <c r="O389" s="54"/>
      <c r="P389"/>
      <c r="Q389" s="25"/>
      <c r="R389" s="54"/>
      <c r="W389" s="23"/>
      <c r="X389" s="23"/>
      <c r="Y389" s="23"/>
      <c r="Z389" s="43"/>
      <c r="AA389" s="23"/>
      <c r="AB389" s="23"/>
      <c r="AC389" s="23"/>
      <c r="AD389" s="23"/>
      <c r="AE389" s="23"/>
      <c r="AF389" s="23"/>
      <c r="AG389" s="23"/>
      <c r="AH389" s="23"/>
      <c r="AI389" s="23"/>
    </row>
    <row r="390" spans="1:35">
      <c r="B390" s="42"/>
      <c r="G390" s="43"/>
      <c r="H390" s="44"/>
      <c r="L390" s="42"/>
      <c r="M390" s="42"/>
      <c r="N390" s="25"/>
      <c r="O390" s="54"/>
      <c r="P390"/>
      <c r="Q390" s="25"/>
      <c r="R390" s="54"/>
      <c r="W390" s="23"/>
      <c r="X390" s="23"/>
      <c r="Y390" s="23"/>
      <c r="Z390" s="43"/>
      <c r="AA390" s="23"/>
      <c r="AB390" s="23"/>
      <c r="AC390" s="23"/>
      <c r="AD390" s="23"/>
      <c r="AE390" s="23"/>
      <c r="AF390" s="23"/>
      <c r="AG390" s="23"/>
      <c r="AH390" s="23"/>
    </row>
    <row r="391" spans="1:35">
      <c r="B391" s="42"/>
      <c r="C391" s="49"/>
      <c r="E391" s="49"/>
      <c r="G391" s="43"/>
      <c r="H391" s="44"/>
      <c r="L391" s="42"/>
      <c r="M391" s="42"/>
      <c r="N391" s="25"/>
      <c r="O391" s="54"/>
      <c r="P391"/>
      <c r="Q391" s="25"/>
      <c r="R391" s="54"/>
      <c r="W391" s="23"/>
      <c r="X391" s="23"/>
      <c r="Y391" s="23"/>
      <c r="Z391" s="43"/>
      <c r="AA391" s="23"/>
      <c r="AB391" s="23"/>
      <c r="AC391" s="23"/>
      <c r="AD391" s="23"/>
      <c r="AE391" s="23"/>
      <c r="AF391" s="23"/>
      <c r="AG391" s="23"/>
      <c r="AH391" s="23"/>
      <c r="AI391" s="23"/>
    </row>
    <row r="392" spans="1:35">
      <c r="B392" s="42"/>
      <c r="G392" s="43"/>
      <c r="H392" s="44"/>
      <c r="L392" s="42"/>
      <c r="M392" s="42"/>
      <c r="N392" s="25"/>
      <c r="O392" s="54"/>
      <c r="P392"/>
      <c r="Q392" s="25"/>
      <c r="R392" s="54"/>
      <c r="W392" s="23"/>
      <c r="X392" s="23"/>
      <c r="Y392" s="23"/>
      <c r="Z392" s="43"/>
      <c r="AA392" s="23"/>
      <c r="AB392" s="23"/>
      <c r="AC392" s="23"/>
      <c r="AD392" s="23"/>
      <c r="AE392" s="23"/>
      <c r="AF392" s="23"/>
      <c r="AG392" s="23"/>
      <c r="AH392" s="23"/>
      <c r="AI392" s="48"/>
    </row>
    <row r="393" spans="1:35">
      <c r="B393" s="42"/>
      <c r="G393" s="43"/>
      <c r="H393" s="44"/>
      <c r="L393" s="42"/>
      <c r="M393" s="42"/>
      <c r="N393" s="25"/>
      <c r="O393" s="54"/>
      <c r="P393"/>
      <c r="Q393" s="25"/>
      <c r="R393" s="54"/>
      <c r="W393" s="23"/>
      <c r="X393" s="23"/>
      <c r="Y393" s="23"/>
      <c r="Z393" s="43"/>
      <c r="AA393" s="23"/>
      <c r="AB393" s="23"/>
      <c r="AC393" s="23"/>
      <c r="AD393" s="23"/>
      <c r="AE393" s="23"/>
      <c r="AF393" s="23"/>
      <c r="AG393" s="23"/>
      <c r="AH393" s="23"/>
    </row>
    <row r="394" spans="1:35">
      <c r="A394" s="23"/>
      <c r="B394" s="42"/>
      <c r="C394" s="49"/>
      <c r="E394" s="49"/>
      <c r="G394" s="43"/>
      <c r="H394" s="44"/>
      <c r="L394" s="42"/>
      <c r="M394" s="42"/>
      <c r="N394" s="25"/>
      <c r="O394" s="54"/>
      <c r="P394"/>
      <c r="Q394" s="25"/>
      <c r="R394" s="54"/>
      <c r="W394" s="23"/>
      <c r="X394" s="23"/>
      <c r="Y394" s="23"/>
      <c r="Z394" s="43"/>
      <c r="AA394" s="23"/>
      <c r="AB394" s="23"/>
      <c r="AC394" s="23"/>
      <c r="AD394" s="23"/>
      <c r="AE394" s="23"/>
      <c r="AF394" s="23"/>
      <c r="AG394" s="23"/>
      <c r="AH394" s="23"/>
      <c r="AI394" s="49"/>
    </row>
    <row r="395" spans="1:35">
      <c r="A395" s="23"/>
      <c r="B395" s="42"/>
      <c r="C395" s="49"/>
      <c r="E395" s="49"/>
      <c r="G395" s="43"/>
      <c r="H395" s="44"/>
      <c r="L395" s="42"/>
      <c r="M395" s="42"/>
      <c r="N395" s="25"/>
      <c r="O395" s="54"/>
      <c r="P395"/>
      <c r="Q395" s="25"/>
      <c r="R395" s="54"/>
      <c r="W395" s="23"/>
      <c r="X395" s="23"/>
      <c r="Y395" s="23"/>
      <c r="Z395" s="43"/>
      <c r="AA395" s="23"/>
      <c r="AB395" s="23"/>
      <c r="AC395" s="23"/>
      <c r="AD395" s="23"/>
      <c r="AE395" s="23"/>
      <c r="AF395" s="23"/>
      <c r="AG395" s="23"/>
      <c r="AH395" s="23"/>
      <c r="AI395" s="49"/>
    </row>
    <row r="396" spans="1:35">
      <c r="B396" s="42"/>
      <c r="C396" s="49"/>
      <c r="E396" s="49"/>
      <c r="G396" s="43"/>
      <c r="H396" s="44"/>
      <c r="L396" s="42"/>
      <c r="M396" s="42"/>
      <c r="N396" s="25"/>
      <c r="O396" s="54"/>
      <c r="P396"/>
      <c r="Q396" s="25"/>
      <c r="R396" s="54"/>
      <c r="W396" s="23"/>
      <c r="X396" s="23"/>
      <c r="Y396" s="23"/>
      <c r="Z396" s="43"/>
      <c r="AA396" s="23"/>
      <c r="AB396" s="23"/>
      <c r="AC396" s="23"/>
      <c r="AD396" s="23"/>
      <c r="AE396" s="23"/>
      <c r="AF396" s="23"/>
      <c r="AG396" s="23"/>
      <c r="AH396" s="23"/>
      <c r="AI396" s="23"/>
    </row>
    <row r="397" spans="1:35">
      <c r="B397" s="42"/>
      <c r="G397" s="43"/>
      <c r="H397" s="44"/>
      <c r="L397" s="42"/>
      <c r="M397" s="42"/>
      <c r="N397" s="25"/>
      <c r="O397" s="54"/>
      <c r="P397"/>
      <c r="Q397" s="25"/>
      <c r="R397" s="54"/>
      <c r="W397" s="23"/>
      <c r="X397" s="23"/>
      <c r="Y397" s="23"/>
      <c r="Z397" s="43"/>
      <c r="AA397" s="23"/>
      <c r="AB397" s="23"/>
      <c r="AC397" s="23"/>
      <c r="AD397" s="23"/>
      <c r="AE397" s="23"/>
      <c r="AF397" s="23"/>
      <c r="AG397" s="23"/>
      <c r="AH397" s="23"/>
    </row>
    <row r="398" spans="1:35">
      <c r="B398" s="42"/>
      <c r="G398" s="43"/>
      <c r="H398" s="44"/>
      <c r="L398" s="42"/>
      <c r="M398" s="42"/>
      <c r="N398" s="25"/>
      <c r="O398" s="54"/>
      <c r="P398"/>
      <c r="Q398" s="25"/>
      <c r="R398" s="54"/>
      <c r="W398" s="23"/>
      <c r="X398" s="23"/>
      <c r="Y398" s="23"/>
      <c r="Z398" s="43"/>
      <c r="AA398" s="23"/>
      <c r="AB398" s="23"/>
      <c r="AC398" s="23"/>
      <c r="AD398" s="23"/>
      <c r="AE398" s="23"/>
      <c r="AF398" s="23"/>
      <c r="AG398" s="23"/>
      <c r="AH398" s="23"/>
    </row>
    <row r="399" spans="1:35">
      <c r="B399" s="42"/>
      <c r="G399" s="43"/>
      <c r="H399" s="44"/>
      <c r="L399" s="42"/>
      <c r="M399" s="42"/>
      <c r="N399" s="25"/>
      <c r="O399" s="54"/>
      <c r="P399"/>
      <c r="Q399" s="25"/>
      <c r="R399" s="54"/>
      <c r="W399" s="23"/>
      <c r="X399" s="23"/>
      <c r="Y399" s="23"/>
      <c r="Z399" s="43"/>
      <c r="AA399" s="23"/>
      <c r="AB399" s="23"/>
      <c r="AC399" s="23"/>
      <c r="AD399" s="23"/>
      <c r="AE399" s="23"/>
      <c r="AF399" s="23"/>
      <c r="AG399" s="23"/>
      <c r="AH399" s="23"/>
    </row>
    <row r="400" spans="1:35">
      <c r="B400" s="42"/>
      <c r="G400" s="43"/>
      <c r="H400" s="44"/>
      <c r="L400" s="42"/>
      <c r="M400" s="42"/>
      <c r="N400" s="25"/>
      <c r="O400" s="54"/>
      <c r="P400"/>
      <c r="Q400" s="25"/>
      <c r="R400" s="54"/>
      <c r="W400" s="23"/>
      <c r="X400" s="23"/>
      <c r="Y400" s="23"/>
      <c r="Z400" s="43"/>
      <c r="AA400" s="23"/>
      <c r="AB400" s="23"/>
      <c r="AC400" s="23"/>
      <c r="AD400" s="23"/>
      <c r="AE400" s="23"/>
      <c r="AF400" s="23"/>
      <c r="AG400" s="23"/>
      <c r="AH400" s="23"/>
    </row>
    <row r="401" spans="1:35">
      <c r="A401" s="23"/>
      <c r="B401" s="42"/>
      <c r="C401" s="49"/>
      <c r="E401" s="49"/>
      <c r="G401" s="43"/>
      <c r="H401" s="44"/>
      <c r="L401" s="42"/>
      <c r="M401" s="42"/>
      <c r="N401" s="25"/>
      <c r="O401" s="54"/>
      <c r="P401"/>
      <c r="Q401" s="25"/>
      <c r="R401" s="54"/>
      <c r="W401" s="23"/>
      <c r="X401" s="23"/>
      <c r="Y401" s="23"/>
      <c r="Z401" s="43"/>
      <c r="AA401" s="23"/>
      <c r="AB401" s="23"/>
      <c r="AC401" s="23"/>
      <c r="AD401" s="23"/>
      <c r="AE401" s="23"/>
      <c r="AF401" s="23"/>
      <c r="AG401" s="23"/>
      <c r="AH401" s="23"/>
      <c r="AI401" s="49"/>
    </row>
    <row r="402" spans="1:35">
      <c r="B402" s="42"/>
      <c r="G402" s="43"/>
      <c r="H402" s="44"/>
      <c r="L402" s="42"/>
      <c r="M402" s="42"/>
      <c r="N402" s="25"/>
      <c r="O402" s="54"/>
      <c r="P402"/>
      <c r="Q402" s="25"/>
      <c r="R402" s="54"/>
      <c r="W402" s="23"/>
      <c r="X402" s="23"/>
      <c r="Y402" s="23"/>
      <c r="Z402" s="43"/>
      <c r="AA402" s="23"/>
      <c r="AB402" s="23"/>
      <c r="AC402" s="23"/>
      <c r="AD402" s="23"/>
      <c r="AE402" s="23"/>
      <c r="AF402" s="23"/>
      <c r="AG402" s="23"/>
      <c r="AH402" s="23"/>
    </row>
    <row r="403" spans="1:35">
      <c r="B403" s="42"/>
      <c r="G403" s="43"/>
      <c r="H403" s="44"/>
      <c r="L403" s="42"/>
      <c r="M403" s="42"/>
      <c r="N403" s="25"/>
      <c r="O403" s="54"/>
      <c r="P403"/>
      <c r="Q403" s="25"/>
      <c r="R403" s="54"/>
      <c r="W403" s="23"/>
      <c r="X403" s="23"/>
      <c r="Y403" s="23"/>
      <c r="Z403" s="43"/>
      <c r="AA403" s="23"/>
      <c r="AB403" s="23"/>
      <c r="AC403" s="23"/>
      <c r="AD403" s="23"/>
      <c r="AE403" s="23"/>
      <c r="AF403" s="23"/>
      <c r="AG403" s="23"/>
      <c r="AH403" s="23"/>
    </row>
    <row r="404" spans="1:35">
      <c r="A404" s="23"/>
      <c r="B404" s="42"/>
      <c r="C404" s="49"/>
      <c r="E404" s="49"/>
      <c r="G404" s="43"/>
      <c r="H404" s="44"/>
      <c r="L404" s="42"/>
      <c r="M404" s="42"/>
      <c r="N404" s="25"/>
      <c r="O404" s="54"/>
      <c r="P404"/>
      <c r="Q404" s="25"/>
      <c r="R404" s="54"/>
      <c r="W404" s="23"/>
      <c r="X404" s="23"/>
      <c r="Y404" s="23"/>
      <c r="Z404" s="43"/>
      <c r="AA404" s="23"/>
      <c r="AB404" s="23"/>
      <c r="AC404" s="23"/>
      <c r="AD404" s="23"/>
      <c r="AE404" s="23"/>
      <c r="AF404" s="23"/>
      <c r="AG404" s="23"/>
      <c r="AH404" s="23"/>
      <c r="AI404" s="49"/>
    </row>
    <row r="405" spans="1:35">
      <c r="A405" s="23"/>
      <c r="B405" s="42"/>
      <c r="C405" s="49"/>
      <c r="E405" s="49"/>
      <c r="G405" s="43"/>
      <c r="H405" s="44"/>
      <c r="L405" s="42"/>
      <c r="M405" s="42"/>
      <c r="N405" s="25"/>
      <c r="O405" s="54"/>
      <c r="P405"/>
      <c r="Q405" s="25"/>
      <c r="R405" s="54"/>
      <c r="W405" s="23"/>
      <c r="X405" s="23"/>
      <c r="Y405" s="23"/>
      <c r="Z405" s="43"/>
      <c r="AA405" s="23"/>
      <c r="AB405" s="23"/>
      <c r="AC405" s="23"/>
      <c r="AD405" s="23"/>
      <c r="AE405" s="23"/>
      <c r="AF405" s="23"/>
      <c r="AG405" s="23"/>
      <c r="AH405" s="23"/>
      <c r="AI405" s="49"/>
    </row>
    <row r="406" spans="1:35">
      <c r="B406" s="42"/>
      <c r="G406" s="43"/>
      <c r="H406" s="44"/>
      <c r="L406" s="42"/>
      <c r="M406" s="42"/>
      <c r="N406" s="25"/>
      <c r="O406" s="54"/>
      <c r="P406"/>
      <c r="Q406" s="25"/>
      <c r="R406" s="54"/>
      <c r="W406" s="23"/>
      <c r="X406" s="23"/>
      <c r="Y406" s="23"/>
      <c r="Z406" s="43"/>
      <c r="AA406" s="23"/>
      <c r="AB406" s="23"/>
      <c r="AC406" s="23"/>
      <c r="AD406" s="23"/>
      <c r="AE406" s="23"/>
      <c r="AF406" s="23"/>
      <c r="AG406" s="23"/>
      <c r="AH406" s="23"/>
    </row>
    <row r="407" spans="1:35">
      <c r="B407" s="42"/>
      <c r="G407" s="43"/>
      <c r="H407" s="44"/>
      <c r="L407" s="42"/>
      <c r="M407" s="42"/>
      <c r="N407" s="25"/>
      <c r="O407" s="54"/>
      <c r="P407"/>
      <c r="Q407" s="25"/>
      <c r="R407" s="54"/>
      <c r="W407" s="23"/>
      <c r="X407" s="23"/>
      <c r="Y407" s="23"/>
      <c r="Z407" s="43"/>
      <c r="AA407" s="23"/>
      <c r="AB407" s="23"/>
      <c r="AC407" s="23"/>
      <c r="AD407" s="23"/>
      <c r="AE407" s="23"/>
      <c r="AF407" s="23"/>
      <c r="AG407" s="23"/>
      <c r="AH407" s="23"/>
      <c r="AI407" s="48"/>
    </row>
    <row r="408" spans="1:35">
      <c r="B408" s="42"/>
      <c r="G408" s="43"/>
      <c r="H408" s="44"/>
      <c r="L408" s="42"/>
      <c r="M408" s="42"/>
      <c r="N408" s="25"/>
      <c r="O408" s="54"/>
      <c r="P408"/>
      <c r="Q408" s="25"/>
      <c r="R408" s="54"/>
      <c r="W408" s="23"/>
      <c r="X408" s="23"/>
      <c r="Y408" s="23"/>
      <c r="Z408" s="43"/>
      <c r="AA408" s="23"/>
      <c r="AB408" s="23"/>
      <c r="AC408" s="23"/>
      <c r="AD408" s="23"/>
      <c r="AE408" s="23"/>
      <c r="AF408" s="23"/>
      <c r="AG408" s="23"/>
      <c r="AH408" s="23"/>
    </row>
    <row r="409" spans="1:35">
      <c r="A409" s="23"/>
      <c r="B409" s="42"/>
      <c r="C409" s="49"/>
      <c r="E409" s="49"/>
      <c r="G409" s="43"/>
      <c r="H409" s="44"/>
      <c r="L409" s="42"/>
      <c r="M409" s="42"/>
      <c r="N409" s="25"/>
      <c r="O409" s="54"/>
      <c r="P409"/>
      <c r="Q409" s="25"/>
      <c r="R409" s="54"/>
      <c r="W409" s="23"/>
      <c r="X409" s="23"/>
      <c r="Y409" s="23"/>
      <c r="Z409" s="43"/>
      <c r="AA409" s="23"/>
      <c r="AB409" s="23"/>
      <c r="AC409" s="23"/>
      <c r="AD409" s="23"/>
      <c r="AE409" s="23"/>
      <c r="AF409" s="23"/>
      <c r="AG409" s="23"/>
      <c r="AH409" s="23"/>
      <c r="AI409" s="49"/>
    </row>
    <row r="410" spans="1:35">
      <c r="B410" s="42"/>
      <c r="G410" s="43"/>
      <c r="H410" s="44"/>
      <c r="L410" s="42"/>
      <c r="M410" s="42"/>
      <c r="N410" s="25"/>
      <c r="O410" s="54"/>
      <c r="P410"/>
      <c r="Q410" s="25"/>
      <c r="R410" s="54"/>
      <c r="W410" s="23"/>
      <c r="X410" s="23"/>
      <c r="Y410" s="23"/>
      <c r="Z410" s="43"/>
      <c r="AA410" s="23"/>
      <c r="AB410" s="23"/>
      <c r="AC410" s="23"/>
      <c r="AD410" s="23"/>
      <c r="AE410" s="23"/>
      <c r="AF410" s="23"/>
      <c r="AG410" s="23"/>
      <c r="AH410" s="23"/>
    </row>
    <row r="411" spans="1:35">
      <c r="B411" s="42"/>
      <c r="C411" s="49"/>
      <c r="E411" s="49"/>
      <c r="G411" s="43"/>
      <c r="H411" s="44"/>
      <c r="L411" s="42"/>
      <c r="M411" s="42"/>
      <c r="N411" s="25"/>
      <c r="O411" s="54"/>
      <c r="P411"/>
      <c r="Q411" s="25"/>
      <c r="R411" s="54"/>
      <c r="W411" s="23"/>
      <c r="X411" s="23"/>
      <c r="Y411" s="23"/>
      <c r="Z411" s="43"/>
      <c r="AA411" s="23"/>
      <c r="AB411" s="23"/>
      <c r="AC411" s="23"/>
      <c r="AD411" s="23"/>
      <c r="AE411" s="23"/>
      <c r="AF411" s="23"/>
      <c r="AG411" s="23"/>
      <c r="AH411" s="23"/>
      <c r="AI411" s="23"/>
    </row>
    <row r="412" spans="1:35">
      <c r="A412" s="23"/>
      <c r="B412" s="42"/>
      <c r="C412" s="49"/>
      <c r="E412" s="49"/>
      <c r="G412" s="43"/>
      <c r="H412" s="44"/>
      <c r="L412" s="42"/>
      <c r="M412" s="42"/>
      <c r="N412" s="25"/>
      <c r="O412" s="54"/>
      <c r="P412"/>
      <c r="Q412" s="25"/>
      <c r="R412" s="54"/>
      <c r="W412" s="23"/>
      <c r="X412" s="23"/>
      <c r="Y412" s="23"/>
      <c r="Z412" s="43"/>
      <c r="AA412" s="23"/>
      <c r="AB412" s="23"/>
      <c r="AC412" s="23"/>
      <c r="AD412" s="23"/>
      <c r="AE412" s="23"/>
      <c r="AF412" s="23"/>
      <c r="AG412" s="23"/>
      <c r="AH412" s="23"/>
      <c r="AI412" s="49"/>
    </row>
    <row r="413" spans="1:35">
      <c r="A413" s="50"/>
      <c r="B413" s="42"/>
      <c r="C413" s="49"/>
      <c r="E413" s="49"/>
      <c r="G413" s="43"/>
      <c r="H413" s="44"/>
      <c r="L413" s="42"/>
      <c r="M413" s="42"/>
      <c r="N413" s="25"/>
      <c r="O413" s="54"/>
      <c r="P413"/>
      <c r="Q413" s="25"/>
      <c r="R413" s="54"/>
      <c r="W413" s="23"/>
      <c r="X413" s="23"/>
      <c r="Y413" s="23"/>
      <c r="Z413" s="43"/>
      <c r="AA413" s="23"/>
      <c r="AB413" s="23"/>
      <c r="AC413" s="23"/>
      <c r="AD413" s="23"/>
      <c r="AE413" s="23"/>
      <c r="AF413" s="23"/>
      <c r="AG413" s="23"/>
      <c r="AH413" s="23"/>
      <c r="AI413" s="49"/>
    </row>
    <row r="414" spans="1:35">
      <c r="A414" s="23"/>
      <c r="B414" s="42"/>
      <c r="C414" s="49"/>
      <c r="E414" s="49"/>
      <c r="G414" s="43"/>
      <c r="H414" s="44"/>
      <c r="L414" s="42"/>
      <c r="M414" s="42"/>
      <c r="N414" s="25"/>
      <c r="O414" s="54"/>
      <c r="P414"/>
      <c r="Q414" s="25"/>
      <c r="R414" s="54"/>
      <c r="W414" s="23"/>
      <c r="X414" s="23"/>
      <c r="Y414" s="23"/>
      <c r="Z414" s="43"/>
      <c r="AA414" s="23"/>
      <c r="AB414" s="23"/>
      <c r="AC414" s="23"/>
      <c r="AD414" s="23"/>
      <c r="AE414" s="23"/>
      <c r="AF414" s="23"/>
      <c r="AG414" s="23"/>
      <c r="AH414" s="23"/>
      <c r="AI414" s="49"/>
    </row>
    <row r="415" spans="1:35">
      <c r="B415" s="42"/>
      <c r="G415" s="43"/>
      <c r="H415" s="44"/>
      <c r="L415" s="42"/>
      <c r="M415" s="42"/>
      <c r="N415" s="25"/>
      <c r="O415" s="54"/>
      <c r="P415"/>
      <c r="Q415" s="25"/>
      <c r="R415" s="54"/>
      <c r="W415" s="23"/>
      <c r="X415" s="23"/>
      <c r="Y415" s="23"/>
      <c r="Z415" s="43"/>
      <c r="AA415" s="23"/>
      <c r="AB415" s="23"/>
      <c r="AC415" s="23"/>
      <c r="AD415" s="23"/>
      <c r="AE415" s="23"/>
      <c r="AF415" s="23"/>
      <c r="AG415" s="23"/>
      <c r="AH415" s="23"/>
    </row>
    <row r="416" spans="1:35">
      <c r="A416" s="45"/>
      <c r="B416" s="42"/>
      <c r="C416" s="45"/>
      <c r="E416" s="45"/>
      <c r="G416" s="43"/>
      <c r="H416" s="44"/>
      <c r="L416" s="42"/>
      <c r="M416" s="42"/>
      <c r="N416" s="25"/>
      <c r="O416" s="54"/>
      <c r="P416"/>
      <c r="Q416" s="25"/>
      <c r="R416" s="54"/>
      <c r="W416" s="23"/>
      <c r="X416" s="23"/>
      <c r="Y416" s="23"/>
      <c r="Z416" s="43"/>
      <c r="AA416" s="23"/>
      <c r="AB416" s="23"/>
      <c r="AC416" s="23"/>
      <c r="AD416" s="23"/>
      <c r="AE416" s="23"/>
      <c r="AF416" s="23"/>
      <c r="AG416" s="23"/>
      <c r="AH416" s="23"/>
      <c r="AI416" s="48"/>
    </row>
    <row r="417" spans="1:35">
      <c r="B417" s="42"/>
      <c r="G417" s="43"/>
      <c r="H417" s="44"/>
      <c r="L417" s="42"/>
      <c r="M417" s="42"/>
      <c r="N417" s="25"/>
      <c r="O417" s="54"/>
      <c r="P417"/>
      <c r="Q417" s="25"/>
      <c r="R417" s="54"/>
      <c r="W417" s="23"/>
      <c r="X417" s="23"/>
      <c r="Y417" s="23"/>
      <c r="Z417" s="43"/>
      <c r="AA417" s="23"/>
      <c r="AB417" s="23"/>
      <c r="AC417" s="23"/>
      <c r="AD417" s="23"/>
      <c r="AE417" s="23"/>
      <c r="AF417" s="23"/>
      <c r="AG417" s="23"/>
      <c r="AH417" s="23"/>
      <c r="AI417" s="48"/>
    </row>
    <row r="418" spans="1:35">
      <c r="A418" s="45"/>
      <c r="B418" s="42"/>
      <c r="C418" s="45"/>
      <c r="E418" s="45"/>
      <c r="G418" s="43"/>
      <c r="H418" s="44"/>
      <c r="L418" s="42"/>
      <c r="M418" s="42"/>
      <c r="N418" s="25"/>
      <c r="O418" s="54"/>
      <c r="P418"/>
      <c r="Q418" s="25"/>
      <c r="R418" s="54"/>
      <c r="W418" s="23"/>
      <c r="X418" s="23"/>
      <c r="Y418" s="23"/>
      <c r="Z418" s="43"/>
      <c r="AA418" s="23"/>
      <c r="AB418" s="23"/>
      <c r="AC418" s="23"/>
      <c r="AD418" s="23"/>
      <c r="AE418" s="23"/>
      <c r="AF418" s="23"/>
      <c r="AG418" s="23"/>
      <c r="AH418" s="23"/>
      <c r="AI418" s="48"/>
    </row>
    <row r="419" spans="1:35">
      <c r="B419" s="42"/>
      <c r="C419" s="49"/>
      <c r="E419" s="49"/>
      <c r="G419" s="43"/>
      <c r="H419" s="44"/>
      <c r="L419" s="42"/>
      <c r="M419" s="42"/>
      <c r="N419" s="25"/>
      <c r="O419" s="54"/>
      <c r="P419"/>
      <c r="Q419" s="25"/>
      <c r="R419" s="54"/>
      <c r="W419" s="23"/>
      <c r="X419" s="23"/>
      <c r="Y419" s="23"/>
      <c r="Z419" s="43"/>
      <c r="AA419" s="23"/>
      <c r="AB419" s="23"/>
      <c r="AC419" s="23"/>
      <c r="AD419" s="23"/>
      <c r="AE419" s="23"/>
      <c r="AF419" s="23"/>
      <c r="AG419" s="23"/>
      <c r="AH419" s="23"/>
      <c r="AI419" s="23"/>
    </row>
    <row r="420" spans="1:35">
      <c r="A420" s="23"/>
      <c r="B420" s="42"/>
      <c r="C420" s="49"/>
      <c r="E420" s="49"/>
      <c r="G420" s="43"/>
      <c r="H420" s="44"/>
      <c r="L420" s="42"/>
      <c r="M420" s="42"/>
      <c r="N420" s="25"/>
      <c r="O420" s="54"/>
      <c r="P420"/>
      <c r="Q420" s="25"/>
      <c r="R420" s="54"/>
      <c r="W420" s="23"/>
      <c r="X420" s="23"/>
      <c r="Y420" s="23"/>
      <c r="Z420" s="43"/>
      <c r="AA420" s="23"/>
      <c r="AB420" s="23"/>
      <c r="AC420" s="23"/>
      <c r="AD420" s="23"/>
      <c r="AE420" s="23"/>
      <c r="AF420" s="23"/>
      <c r="AG420" s="23"/>
      <c r="AH420" s="23"/>
      <c r="AI420" s="49"/>
    </row>
    <row r="421" spans="1:35">
      <c r="A421" s="23"/>
      <c r="B421" s="42"/>
      <c r="G421" s="43"/>
      <c r="H421" s="44"/>
      <c r="L421" s="42"/>
      <c r="M421" s="42"/>
      <c r="N421" s="25"/>
      <c r="O421" s="54"/>
      <c r="P421"/>
      <c r="Q421" s="25"/>
      <c r="R421" s="54"/>
      <c r="W421" s="23"/>
      <c r="X421" s="23"/>
      <c r="Y421" s="23"/>
      <c r="Z421" s="43"/>
      <c r="AA421" s="23"/>
      <c r="AB421" s="23"/>
      <c r="AC421" s="23"/>
      <c r="AD421" s="23"/>
      <c r="AE421" s="23"/>
      <c r="AF421" s="23"/>
      <c r="AG421" s="23"/>
      <c r="AH421" s="23"/>
      <c r="AI421" s="23"/>
    </row>
    <row r="422" spans="1:35">
      <c r="A422" s="50"/>
      <c r="B422" s="42"/>
      <c r="C422" s="49"/>
      <c r="E422" s="49"/>
      <c r="G422" s="43"/>
      <c r="H422" s="44"/>
      <c r="L422" s="42"/>
      <c r="M422" s="42"/>
      <c r="N422" s="25"/>
      <c r="O422" s="54"/>
      <c r="P422"/>
      <c r="Q422" s="25"/>
      <c r="R422" s="54"/>
      <c r="W422" s="23"/>
      <c r="X422" s="23"/>
      <c r="Y422" s="23"/>
      <c r="Z422" s="43"/>
      <c r="AA422" s="23"/>
      <c r="AB422" s="23"/>
      <c r="AC422" s="23"/>
      <c r="AD422" s="23"/>
      <c r="AE422" s="23"/>
      <c r="AF422" s="23"/>
      <c r="AG422" s="23"/>
      <c r="AH422" s="23"/>
      <c r="AI422" s="49"/>
    </row>
    <row r="423" spans="1:35">
      <c r="A423" s="23"/>
      <c r="B423" s="42"/>
      <c r="G423" s="43"/>
      <c r="H423" s="44"/>
      <c r="L423" s="42"/>
      <c r="M423" s="42"/>
      <c r="N423" s="25"/>
      <c r="O423" s="54"/>
      <c r="P423"/>
      <c r="Q423" s="25"/>
      <c r="R423" s="54"/>
      <c r="W423" s="23"/>
      <c r="X423" s="23"/>
      <c r="Y423" s="23"/>
      <c r="Z423" s="43"/>
      <c r="AA423" s="23"/>
      <c r="AB423" s="23"/>
      <c r="AC423" s="23"/>
      <c r="AD423" s="23"/>
      <c r="AE423" s="23"/>
      <c r="AF423" s="23"/>
      <c r="AG423" s="23"/>
      <c r="AH423" s="23"/>
      <c r="AI423" s="23"/>
    </row>
    <row r="424" spans="1:35">
      <c r="A424" s="23"/>
      <c r="B424" s="42"/>
      <c r="C424" s="49"/>
      <c r="E424" s="49"/>
      <c r="G424" s="43"/>
      <c r="H424" s="44"/>
      <c r="L424" s="42"/>
      <c r="M424" s="42"/>
      <c r="N424" s="25"/>
      <c r="O424" s="54"/>
      <c r="P424"/>
      <c r="Q424" s="25"/>
      <c r="R424" s="54"/>
      <c r="W424" s="23"/>
      <c r="X424" s="23"/>
      <c r="Y424" s="23"/>
      <c r="Z424" s="43"/>
      <c r="AA424" s="23"/>
      <c r="AB424" s="23"/>
      <c r="AC424" s="23"/>
      <c r="AD424" s="23"/>
      <c r="AE424" s="23"/>
      <c r="AF424" s="23"/>
      <c r="AG424" s="23"/>
      <c r="AH424" s="23"/>
      <c r="AI424" s="49"/>
    </row>
    <row r="425" spans="1:35">
      <c r="B425" s="42"/>
      <c r="G425" s="43"/>
      <c r="H425" s="44"/>
      <c r="L425" s="42"/>
      <c r="M425" s="42"/>
      <c r="N425" s="25"/>
      <c r="O425" s="54"/>
      <c r="P425"/>
      <c r="Q425" s="25"/>
      <c r="R425" s="54"/>
      <c r="W425" s="23"/>
      <c r="X425" s="23"/>
      <c r="Y425" s="23"/>
      <c r="Z425" s="43"/>
      <c r="AA425" s="23"/>
      <c r="AB425" s="23"/>
      <c r="AC425" s="23"/>
      <c r="AD425" s="23"/>
      <c r="AE425" s="23"/>
      <c r="AF425" s="23"/>
      <c r="AG425" s="23"/>
      <c r="AH425" s="23"/>
    </row>
    <row r="426" spans="1:35">
      <c r="B426" s="42"/>
      <c r="G426" s="43"/>
      <c r="H426" s="44"/>
      <c r="L426" s="42"/>
      <c r="M426" s="42"/>
      <c r="N426" s="25"/>
      <c r="O426" s="54"/>
      <c r="P426"/>
      <c r="Q426" s="25"/>
      <c r="R426" s="54"/>
      <c r="W426" s="23"/>
      <c r="X426" s="23"/>
      <c r="Y426" s="23"/>
      <c r="Z426" s="43"/>
      <c r="AA426" s="23"/>
      <c r="AB426" s="23"/>
      <c r="AC426" s="23"/>
      <c r="AD426" s="23"/>
      <c r="AE426" s="23"/>
      <c r="AF426" s="23"/>
      <c r="AG426" s="23"/>
      <c r="AH426" s="23"/>
    </row>
    <row r="427" spans="1:35">
      <c r="B427" s="42"/>
      <c r="G427" s="43"/>
      <c r="H427" s="44"/>
      <c r="L427" s="42"/>
      <c r="M427" s="42"/>
      <c r="N427" s="25"/>
      <c r="O427" s="54"/>
      <c r="P427"/>
      <c r="Q427" s="25"/>
      <c r="R427" s="54"/>
      <c r="W427" s="23"/>
      <c r="X427" s="23"/>
      <c r="Y427" s="23"/>
      <c r="Z427" s="43"/>
      <c r="AA427" s="23"/>
      <c r="AB427" s="23"/>
      <c r="AC427" s="23"/>
      <c r="AD427" s="23"/>
      <c r="AE427" s="23"/>
      <c r="AF427" s="23"/>
      <c r="AG427" s="23"/>
      <c r="AH427" s="23"/>
      <c r="AI427" s="48"/>
    </row>
    <row r="428" spans="1:35">
      <c r="A428" s="50"/>
      <c r="B428" s="42"/>
      <c r="C428" s="49"/>
      <c r="E428" s="49"/>
      <c r="G428" s="43"/>
      <c r="H428" s="44"/>
      <c r="L428" s="42"/>
      <c r="M428" s="42"/>
      <c r="N428" s="25"/>
      <c r="O428" s="54"/>
      <c r="P428"/>
      <c r="Q428" s="25"/>
      <c r="R428" s="54"/>
      <c r="W428" s="23"/>
      <c r="X428" s="23"/>
      <c r="Y428" s="23"/>
      <c r="Z428" s="43"/>
      <c r="AA428" s="23"/>
      <c r="AB428" s="23"/>
      <c r="AC428" s="23"/>
      <c r="AD428" s="23"/>
      <c r="AE428" s="23"/>
      <c r="AF428" s="23"/>
      <c r="AG428" s="23"/>
      <c r="AH428" s="23"/>
      <c r="AI428" s="49"/>
    </row>
    <row r="429" spans="1:35">
      <c r="A429" s="45"/>
      <c r="B429" s="42"/>
      <c r="C429" s="45"/>
      <c r="E429" s="45"/>
      <c r="G429" s="43"/>
      <c r="H429" s="44"/>
      <c r="L429" s="42"/>
      <c r="M429" s="42"/>
      <c r="N429" s="25"/>
      <c r="O429" s="54"/>
      <c r="P429"/>
      <c r="Q429" s="25"/>
      <c r="R429" s="54"/>
      <c r="W429" s="23"/>
      <c r="X429" s="23"/>
      <c r="Y429" s="23"/>
      <c r="Z429" s="43"/>
      <c r="AA429" s="23"/>
      <c r="AB429" s="23"/>
      <c r="AC429" s="23"/>
      <c r="AD429" s="23"/>
      <c r="AE429" s="23"/>
      <c r="AF429" s="23"/>
      <c r="AG429" s="23"/>
      <c r="AH429" s="23"/>
      <c r="AI429" s="48"/>
    </row>
    <row r="430" spans="1:35">
      <c r="B430" s="42"/>
      <c r="G430" s="43"/>
      <c r="H430" s="44"/>
      <c r="L430" s="42"/>
      <c r="M430" s="42"/>
      <c r="N430" s="25"/>
      <c r="O430" s="54"/>
      <c r="P430"/>
      <c r="Q430" s="25"/>
      <c r="R430" s="54"/>
      <c r="W430" s="23"/>
      <c r="X430" s="23"/>
      <c r="Y430" s="23"/>
      <c r="Z430" s="43"/>
      <c r="AA430" s="23"/>
      <c r="AB430" s="23"/>
      <c r="AC430" s="23"/>
      <c r="AD430" s="23"/>
      <c r="AE430" s="23"/>
      <c r="AF430" s="23"/>
      <c r="AG430" s="23"/>
      <c r="AH430" s="23"/>
    </row>
    <row r="431" spans="1:35">
      <c r="B431" s="42"/>
      <c r="G431" s="43"/>
      <c r="H431" s="44"/>
      <c r="L431" s="42"/>
      <c r="M431" s="42"/>
      <c r="N431" s="25"/>
      <c r="O431" s="54"/>
      <c r="P431"/>
      <c r="Q431" s="25"/>
      <c r="R431" s="54"/>
      <c r="W431" s="23"/>
      <c r="X431" s="23"/>
      <c r="Y431" s="23"/>
      <c r="Z431" s="43"/>
      <c r="AA431" s="23"/>
      <c r="AB431" s="23"/>
      <c r="AC431" s="23"/>
      <c r="AD431" s="23"/>
      <c r="AE431" s="23"/>
      <c r="AF431" s="23"/>
      <c r="AG431" s="23"/>
      <c r="AH431" s="23"/>
      <c r="AI431" s="48"/>
    </row>
    <row r="432" spans="1:35">
      <c r="A432" s="45"/>
      <c r="B432" s="42"/>
      <c r="C432" s="45"/>
      <c r="E432" s="45"/>
      <c r="G432" s="43"/>
      <c r="H432" s="44"/>
      <c r="L432" s="42"/>
      <c r="M432" s="42"/>
      <c r="N432" s="25"/>
      <c r="O432" s="54"/>
      <c r="P432"/>
      <c r="Q432" s="25"/>
      <c r="R432" s="54"/>
      <c r="W432" s="23"/>
      <c r="X432" s="23"/>
      <c r="Y432" s="23"/>
      <c r="Z432" s="43"/>
      <c r="AA432" s="23"/>
      <c r="AB432" s="23"/>
      <c r="AC432" s="23"/>
      <c r="AD432" s="23"/>
      <c r="AE432" s="23"/>
      <c r="AF432" s="23"/>
      <c r="AG432" s="23"/>
      <c r="AH432" s="23"/>
      <c r="AI432" s="48"/>
    </row>
    <row r="433" spans="1:35">
      <c r="B433" s="42"/>
      <c r="G433" s="43"/>
      <c r="H433" s="44"/>
      <c r="L433" s="42"/>
      <c r="M433" s="42"/>
      <c r="N433" s="25"/>
      <c r="O433" s="54"/>
      <c r="P433"/>
      <c r="Q433" s="25"/>
      <c r="R433" s="54"/>
      <c r="W433" s="23"/>
      <c r="X433" s="23"/>
      <c r="Y433" s="23"/>
      <c r="Z433" s="43"/>
      <c r="AA433" s="23"/>
      <c r="AB433" s="23"/>
      <c r="AC433" s="23"/>
      <c r="AD433" s="23"/>
      <c r="AE433" s="23"/>
      <c r="AF433" s="23"/>
      <c r="AG433" s="23"/>
      <c r="AH433" s="23"/>
      <c r="AI433" s="48"/>
    </row>
    <row r="434" spans="1:35">
      <c r="A434" s="50"/>
      <c r="B434" s="42"/>
      <c r="C434" s="49"/>
      <c r="E434" s="49"/>
      <c r="G434" s="43"/>
      <c r="H434" s="44"/>
      <c r="L434" s="42"/>
      <c r="M434" s="42"/>
      <c r="N434" s="25"/>
      <c r="O434" s="54"/>
      <c r="P434"/>
      <c r="Q434" s="25"/>
      <c r="R434" s="54"/>
      <c r="W434" s="23"/>
      <c r="X434" s="23"/>
      <c r="Y434" s="23"/>
      <c r="Z434" s="43"/>
      <c r="AA434" s="23"/>
      <c r="AB434" s="23"/>
      <c r="AC434" s="23"/>
      <c r="AD434" s="23"/>
      <c r="AE434" s="23"/>
      <c r="AF434" s="23"/>
      <c r="AG434" s="23"/>
      <c r="AH434" s="23"/>
      <c r="AI434" s="49"/>
    </row>
    <row r="435" spans="1:35">
      <c r="A435" s="50"/>
      <c r="B435" s="42"/>
      <c r="C435" s="49"/>
      <c r="E435" s="49"/>
      <c r="G435" s="43"/>
      <c r="H435" s="44"/>
      <c r="L435" s="42"/>
      <c r="M435" s="42"/>
      <c r="N435" s="25"/>
      <c r="O435" s="54"/>
      <c r="P435"/>
      <c r="Q435" s="25"/>
      <c r="R435" s="54"/>
      <c r="W435" s="23"/>
      <c r="X435" s="23"/>
      <c r="Y435" s="23"/>
      <c r="Z435" s="43"/>
      <c r="AA435" s="23"/>
      <c r="AB435" s="23"/>
      <c r="AC435" s="23"/>
      <c r="AD435" s="23"/>
      <c r="AE435" s="23"/>
      <c r="AF435" s="23"/>
      <c r="AG435" s="23"/>
      <c r="AH435" s="23"/>
      <c r="AI435" s="49"/>
    </row>
    <row r="436" spans="1:35">
      <c r="B436" s="42"/>
      <c r="G436" s="43"/>
      <c r="H436" s="44"/>
      <c r="L436" s="42"/>
      <c r="M436" s="42"/>
      <c r="N436" s="25"/>
      <c r="O436" s="54"/>
      <c r="P436"/>
      <c r="Q436" s="25"/>
      <c r="R436" s="54"/>
      <c r="W436" s="23"/>
      <c r="X436" s="23"/>
      <c r="Y436" s="23"/>
      <c r="Z436" s="43"/>
      <c r="AA436" s="23"/>
      <c r="AB436" s="23"/>
      <c r="AC436" s="23"/>
      <c r="AD436" s="23"/>
      <c r="AE436" s="23"/>
      <c r="AF436" s="23"/>
      <c r="AG436" s="23"/>
      <c r="AH436" s="23"/>
    </row>
    <row r="437" spans="1:35">
      <c r="A437" s="23"/>
      <c r="B437" s="42"/>
      <c r="G437" s="43"/>
      <c r="H437" s="44"/>
      <c r="L437" s="42"/>
      <c r="M437" s="42"/>
      <c r="N437" s="25"/>
      <c r="O437" s="54"/>
      <c r="P437"/>
      <c r="Q437" s="25"/>
      <c r="R437" s="54"/>
      <c r="W437" s="23"/>
      <c r="X437" s="23"/>
      <c r="Y437" s="23"/>
      <c r="Z437" s="43"/>
      <c r="AA437" s="23"/>
      <c r="AB437" s="23"/>
      <c r="AC437" s="23"/>
      <c r="AD437" s="23"/>
      <c r="AE437" s="23"/>
      <c r="AF437" s="23"/>
      <c r="AG437" s="23"/>
      <c r="AH437" s="23"/>
      <c r="AI437" s="23"/>
    </row>
    <row r="438" spans="1:35">
      <c r="A438" s="23"/>
      <c r="B438" s="42"/>
      <c r="C438" s="49"/>
      <c r="E438" s="49"/>
      <c r="G438" s="43"/>
      <c r="H438" s="44"/>
      <c r="L438" s="42"/>
      <c r="M438" s="42"/>
      <c r="N438" s="25"/>
      <c r="O438" s="54"/>
      <c r="P438"/>
      <c r="Q438" s="25"/>
      <c r="R438" s="54"/>
      <c r="W438" s="23"/>
      <c r="X438" s="23"/>
      <c r="Y438" s="23"/>
      <c r="Z438" s="43"/>
      <c r="AA438" s="23"/>
      <c r="AB438" s="23"/>
      <c r="AC438" s="23"/>
      <c r="AD438" s="23"/>
      <c r="AE438" s="23"/>
      <c r="AF438" s="23"/>
      <c r="AG438" s="23"/>
      <c r="AH438" s="23"/>
      <c r="AI438" s="49"/>
    </row>
    <row r="439" spans="1:35">
      <c r="B439" s="42"/>
      <c r="G439" s="43"/>
      <c r="H439" s="44"/>
      <c r="L439" s="42"/>
      <c r="M439" s="42"/>
      <c r="N439" s="25"/>
      <c r="O439" s="54"/>
      <c r="P439"/>
      <c r="Q439" s="25"/>
      <c r="R439" s="54"/>
      <c r="W439" s="23"/>
      <c r="X439" s="23"/>
      <c r="Y439" s="23"/>
      <c r="Z439" s="43"/>
      <c r="AA439" s="23"/>
      <c r="AB439" s="23"/>
      <c r="AC439" s="23"/>
      <c r="AD439" s="23"/>
      <c r="AE439" s="23"/>
      <c r="AF439" s="23"/>
      <c r="AG439" s="23"/>
      <c r="AH439" s="23"/>
    </row>
    <row r="440" spans="1:35">
      <c r="A440" s="45"/>
      <c r="B440" s="42"/>
      <c r="C440" s="45"/>
      <c r="E440" s="45"/>
      <c r="G440" s="43"/>
      <c r="H440" s="44"/>
      <c r="L440" s="42"/>
      <c r="M440" s="42"/>
      <c r="N440" s="25"/>
      <c r="O440" s="54"/>
      <c r="P440"/>
      <c r="Q440" s="25"/>
      <c r="R440" s="54"/>
      <c r="W440" s="23"/>
      <c r="X440" s="23"/>
      <c r="Y440" s="23"/>
      <c r="Z440" s="43"/>
      <c r="AA440" s="23"/>
      <c r="AB440" s="23"/>
      <c r="AC440" s="23"/>
      <c r="AD440" s="23"/>
      <c r="AE440" s="23"/>
      <c r="AF440" s="23"/>
      <c r="AG440" s="23"/>
      <c r="AH440" s="23"/>
      <c r="AI440" s="45"/>
    </row>
    <row r="441" spans="1:35">
      <c r="B441" s="42"/>
      <c r="C441" s="49"/>
      <c r="E441" s="49"/>
      <c r="G441" s="43"/>
      <c r="H441" s="44"/>
      <c r="L441" s="42"/>
      <c r="M441" s="42"/>
      <c r="N441" s="25"/>
      <c r="O441" s="54"/>
      <c r="P441"/>
      <c r="Q441" s="25"/>
      <c r="R441" s="54"/>
      <c r="W441" s="23"/>
      <c r="X441" s="23"/>
      <c r="Y441" s="23"/>
      <c r="Z441" s="43"/>
      <c r="AA441" s="23"/>
      <c r="AB441" s="23"/>
      <c r="AC441" s="23"/>
      <c r="AD441" s="23"/>
      <c r="AE441" s="23"/>
      <c r="AF441" s="23"/>
      <c r="AG441" s="23"/>
      <c r="AH441" s="23"/>
      <c r="AI441" s="23"/>
    </row>
    <row r="442" spans="1:35">
      <c r="B442" s="42"/>
      <c r="G442" s="43"/>
      <c r="H442" s="44"/>
      <c r="L442" s="42"/>
      <c r="M442" s="42"/>
      <c r="N442" s="25"/>
      <c r="O442" s="54"/>
      <c r="P442"/>
      <c r="Q442" s="25"/>
      <c r="R442" s="54"/>
      <c r="W442" s="23"/>
      <c r="X442" s="23"/>
      <c r="Y442" s="23"/>
      <c r="Z442" s="43"/>
      <c r="AA442" s="23"/>
      <c r="AB442" s="23"/>
      <c r="AC442" s="23"/>
      <c r="AD442" s="23"/>
      <c r="AE442" s="23"/>
      <c r="AF442" s="23"/>
      <c r="AG442" s="23"/>
      <c r="AH442" s="23"/>
      <c r="AI442" s="48"/>
    </row>
    <row r="443" spans="1:35">
      <c r="A443" s="50"/>
      <c r="B443" s="42"/>
      <c r="C443" s="49"/>
      <c r="E443" s="49"/>
      <c r="G443" s="43"/>
      <c r="H443" s="44"/>
      <c r="L443" s="42"/>
      <c r="M443" s="42"/>
      <c r="N443" s="25"/>
      <c r="O443" s="54"/>
      <c r="P443"/>
      <c r="Q443" s="25"/>
      <c r="R443" s="54"/>
      <c r="W443" s="23"/>
      <c r="X443" s="23"/>
      <c r="Y443" s="23"/>
      <c r="Z443" s="43"/>
      <c r="AA443" s="23"/>
      <c r="AB443" s="23"/>
      <c r="AC443" s="23"/>
      <c r="AD443" s="23"/>
      <c r="AE443" s="23"/>
      <c r="AF443" s="23"/>
      <c r="AG443" s="23"/>
      <c r="AH443" s="23"/>
      <c r="AI443" s="49"/>
    </row>
    <row r="444" spans="1:35">
      <c r="B444" s="42"/>
      <c r="G444" s="43"/>
      <c r="H444" s="44"/>
      <c r="L444" s="42"/>
      <c r="M444" s="42"/>
      <c r="N444" s="25"/>
      <c r="O444" s="54"/>
      <c r="P444"/>
      <c r="Q444" s="25"/>
      <c r="R444" s="54"/>
      <c r="W444" s="23"/>
      <c r="X444" s="23"/>
      <c r="Y444" s="23"/>
      <c r="Z444" s="43"/>
      <c r="AA444" s="23"/>
      <c r="AB444" s="23"/>
      <c r="AC444" s="23"/>
      <c r="AD444" s="23"/>
      <c r="AE444" s="23"/>
      <c r="AF444" s="23"/>
      <c r="AG444" s="23"/>
      <c r="AH444" s="23"/>
    </row>
    <row r="445" spans="1:35">
      <c r="B445" s="42"/>
      <c r="G445" s="43"/>
      <c r="H445" s="44"/>
      <c r="L445" s="42"/>
      <c r="M445" s="42"/>
      <c r="N445" s="25"/>
      <c r="O445" s="54"/>
      <c r="P445"/>
      <c r="Q445" s="25"/>
      <c r="R445" s="54"/>
      <c r="W445" s="23"/>
      <c r="X445" s="23"/>
      <c r="Y445" s="23"/>
      <c r="Z445" s="43"/>
      <c r="AA445" s="23"/>
      <c r="AB445" s="23"/>
      <c r="AC445" s="23"/>
      <c r="AD445" s="23"/>
      <c r="AE445" s="23"/>
      <c r="AF445" s="23"/>
      <c r="AG445" s="23"/>
      <c r="AH445" s="23"/>
    </row>
    <row r="446" spans="1:35">
      <c r="B446" s="42"/>
      <c r="G446" s="43"/>
      <c r="H446" s="44"/>
      <c r="L446" s="42"/>
      <c r="M446" s="42"/>
      <c r="N446" s="25"/>
      <c r="O446" s="54"/>
      <c r="P446"/>
      <c r="Q446" s="25"/>
      <c r="R446" s="54"/>
      <c r="W446" s="23"/>
      <c r="X446" s="23"/>
      <c r="Y446" s="23"/>
      <c r="Z446" s="43"/>
      <c r="AA446" s="23"/>
      <c r="AB446" s="23"/>
      <c r="AC446" s="23"/>
      <c r="AD446" s="23"/>
      <c r="AE446" s="23"/>
      <c r="AF446" s="23"/>
      <c r="AG446" s="23"/>
      <c r="AH446" s="23"/>
    </row>
    <row r="447" spans="1:35">
      <c r="B447" s="42"/>
      <c r="G447" s="43"/>
      <c r="H447" s="44"/>
      <c r="L447" s="42"/>
      <c r="M447" s="42"/>
      <c r="N447" s="25"/>
      <c r="O447" s="54"/>
      <c r="P447"/>
      <c r="Q447" s="25"/>
      <c r="R447" s="54"/>
      <c r="W447" s="23"/>
      <c r="X447" s="23"/>
      <c r="Y447" s="23"/>
      <c r="Z447" s="43"/>
      <c r="AA447" s="23"/>
      <c r="AB447" s="23"/>
      <c r="AC447" s="23"/>
      <c r="AD447" s="23"/>
      <c r="AE447" s="23"/>
      <c r="AF447" s="23"/>
      <c r="AG447" s="23"/>
      <c r="AH447" s="23"/>
    </row>
    <row r="448" spans="1:35">
      <c r="A448" s="45"/>
      <c r="B448" s="42"/>
      <c r="C448" s="45"/>
      <c r="E448" s="45"/>
      <c r="G448" s="43"/>
      <c r="H448" s="44"/>
      <c r="L448" s="42"/>
      <c r="M448" s="42"/>
      <c r="N448" s="25"/>
      <c r="O448" s="54"/>
      <c r="P448"/>
      <c r="Q448" s="25"/>
      <c r="R448" s="54"/>
      <c r="W448" s="23"/>
      <c r="X448" s="23"/>
      <c r="Y448" s="23"/>
      <c r="Z448" s="43"/>
      <c r="AA448" s="23"/>
      <c r="AB448" s="23"/>
      <c r="AC448" s="23"/>
      <c r="AD448" s="23"/>
      <c r="AE448" s="23"/>
      <c r="AF448" s="23"/>
      <c r="AG448" s="23"/>
      <c r="AH448" s="23"/>
      <c r="AI448" s="48"/>
    </row>
    <row r="449" spans="1:35">
      <c r="A449" s="50"/>
      <c r="B449" s="42"/>
      <c r="C449" s="49"/>
      <c r="E449" s="49"/>
      <c r="G449" s="43"/>
      <c r="H449" s="44"/>
      <c r="L449" s="42"/>
      <c r="M449" s="42"/>
      <c r="N449" s="25"/>
      <c r="O449" s="54"/>
      <c r="P449"/>
      <c r="Q449" s="25"/>
      <c r="R449" s="54"/>
      <c r="W449" s="23"/>
      <c r="X449" s="23"/>
      <c r="Y449" s="23"/>
      <c r="Z449" s="43"/>
      <c r="AA449" s="23"/>
      <c r="AB449" s="23"/>
      <c r="AC449" s="23"/>
      <c r="AD449" s="23"/>
      <c r="AE449" s="23"/>
      <c r="AF449" s="23"/>
      <c r="AG449" s="23"/>
      <c r="AH449" s="23"/>
      <c r="AI449" s="49"/>
    </row>
    <row r="450" spans="1:35">
      <c r="A450" s="45"/>
      <c r="B450" s="42"/>
      <c r="C450" s="45"/>
      <c r="E450" s="45"/>
      <c r="G450" s="43"/>
      <c r="H450" s="44"/>
      <c r="L450" s="42"/>
      <c r="M450" s="42"/>
      <c r="N450" s="25"/>
      <c r="O450" s="54"/>
      <c r="P450"/>
      <c r="Q450" s="25"/>
      <c r="R450" s="54"/>
      <c r="W450" s="23"/>
      <c r="X450" s="23"/>
      <c r="Y450" s="23"/>
      <c r="Z450" s="43"/>
      <c r="AA450" s="23"/>
      <c r="AB450" s="23"/>
      <c r="AC450" s="23"/>
      <c r="AD450" s="23"/>
      <c r="AE450" s="23"/>
      <c r="AF450" s="23"/>
      <c r="AG450" s="23"/>
      <c r="AH450" s="23"/>
      <c r="AI450" s="48"/>
    </row>
    <row r="451" spans="1:35">
      <c r="B451" s="42"/>
      <c r="G451" s="43"/>
      <c r="H451" s="44"/>
      <c r="L451" s="42"/>
      <c r="M451" s="42"/>
      <c r="N451" s="25"/>
      <c r="O451" s="54"/>
      <c r="P451"/>
      <c r="Q451" s="25"/>
      <c r="R451" s="54"/>
      <c r="W451" s="23"/>
      <c r="X451" s="23"/>
      <c r="Y451" s="23"/>
      <c r="Z451" s="43"/>
      <c r="AA451" s="23"/>
      <c r="AB451" s="23"/>
      <c r="AC451" s="23"/>
      <c r="AD451" s="23"/>
      <c r="AE451" s="23"/>
      <c r="AF451" s="23"/>
      <c r="AG451" s="23"/>
      <c r="AH451" s="23"/>
    </row>
    <row r="452" spans="1:35">
      <c r="A452" s="23"/>
      <c r="B452" s="42"/>
      <c r="C452" s="49"/>
      <c r="E452" s="49"/>
      <c r="G452" s="43"/>
      <c r="H452" s="44"/>
      <c r="L452" s="42"/>
      <c r="M452" s="42"/>
      <c r="N452" s="25"/>
      <c r="O452" s="54"/>
      <c r="P452"/>
      <c r="Q452" s="25"/>
      <c r="R452" s="54"/>
      <c r="W452" s="23"/>
      <c r="X452" s="23"/>
      <c r="Y452" s="23"/>
      <c r="Z452" s="43"/>
      <c r="AA452" s="23"/>
      <c r="AB452" s="23"/>
      <c r="AC452" s="23"/>
      <c r="AD452" s="23"/>
      <c r="AE452" s="23"/>
      <c r="AF452" s="23"/>
      <c r="AG452" s="23"/>
      <c r="AH452" s="23"/>
      <c r="AI452" s="49"/>
    </row>
    <row r="453" spans="1:35">
      <c r="B453" s="42"/>
      <c r="G453" s="43"/>
      <c r="H453" s="44"/>
      <c r="L453" s="42"/>
      <c r="M453" s="42"/>
      <c r="N453" s="25"/>
      <c r="O453" s="54"/>
      <c r="P453"/>
      <c r="Q453" s="25"/>
      <c r="R453" s="54"/>
      <c r="W453" s="23"/>
      <c r="X453" s="23"/>
      <c r="Y453" s="23"/>
      <c r="Z453" s="43"/>
      <c r="AA453" s="23"/>
      <c r="AB453" s="23"/>
      <c r="AC453" s="23"/>
      <c r="AD453" s="23"/>
      <c r="AE453" s="23"/>
      <c r="AF453" s="23"/>
      <c r="AG453" s="23"/>
      <c r="AH453" s="23"/>
    </row>
    <row r="454" spans="1:35">
      <c r="B454" s="42"/>
      <c r="C454" s="49"/>
      <c r="E454" s="49"/>
      <c r="G454" s="43"/>
      <c r="H454" s="44"/>
      <c r="L454" s="42"/>
      <c r="M454" s="42"/>
      <c r="N454" s="25"/>
      <c r="O454" s="54"/>
      <c r="P454"/>
      <c r="Q454" s="25"/>
      <c r="R454" s="54"/>
      <c r="W454" s="23"/>
      <c r="X454" s="23"/>
      <c r="Y454" s="23"/>
      <c r="Z454" s="43"/>
      <c r="AA454" s="23"/>
      <c r="AB454" s="23"/>
      <c r="AC454" s="23"/>
      <c r="AD454" s="23"/>
      <c r="AE454" s="23"/>
      <c r="AF454" s="23"/>
      <c r="AG454" s="23"/>
      <c r="AH454" s="23"/>
      <c r="AI454" s="23"/>
    </row>
    <row r="455" spans="1:35">
      <c r="A455" s="23"/>
      <c r="B455" s="42"/>
      <c r="C455" s="49"/>
      <c r="E455" s="49"/>
      <c r="G455" s="43"/>
      <c r="H455" s="44"/>
      <c r="L455" s="42"/>
      <c r="M455" s="42"/>
      <c r="N455" s="25"/>
      <c r="O455" s="54"/>
      <c r="P455"/>
      <c r="Q455" s="25"/>
      <c r="R455" s="54"/>
      <c r="W455" s="23"/>
      <c r="X455" s="23"/>
      <c r="Y455" s="23"/>
      <c r="Z455" s="43"/>
      <c r="AA455" s="23"/>
      <c r="AB455" s="23"/>
      <c r="AC455" s="23"/>
      <c r="AD455" s="23"/>
      <c r="AE455" s="23"/>
      <c r="AF455" s="23"/>
      <c r="AG455" s="23"/>
      <c r="AH455" s="23"/>
      <c r="AI455" s="49"/>
    </row>
    <row r="456" spans="1:35">
      <c r="A456" s="23"/>
      <c r="B456" s="42"/>
      <c r="C456" s="49"/>
      <c r="E456" s="49"/>
      <c r="G456" s="43"/>
      <c r="H456" s="44"/>
      <c r="L456" s="42"/>
      <c r="M456" s="42"/>
      <c r="N456" s="25"/>
      <c r="O456" s="54"/>
      <c r="P456"/>
      <c r="Q456" s="25"/>
      <c r="R456" s="54"/>
      <c r="W456" s="23"/>
      <c r="X456" s="23"/>
      <c r="Y456" s="23"/>
      <c r="Z456" s="43"/>
      <c r="AA456" s="23"/>
      <c r="AB456" s="23"/>
      <c r="AC456" s="23"/>
      <c r="AD456" s="23"/>
      <c r="AE456" s="23"/>
      <c r="AF456" s="23"/>
      <c r="AG456" s="23"/>
      <c r="AH456" s="23"/>
      <c r="AI456" s="49"/>
    </row>
    <row r="457" spans="1:35">
      <c r="A457" s="50"/>
      <c r="B457" s="42"/>
      <c r="G457" s="43"/>
      <c r="H457" s="44"/>
      <c r="L457" s="42"/>
      <c r="M457" s="42"/>
      <c r="N457" s="25"/>
      <c r="O457" s="54"/>
      <c r="P457"/>
      <c r="Q457" s="25"/>
      <c r="R457" s="54"/>
      <c r="W457" s="23"/>
      <c r="X457" s="23"/>
      <c r="Y457" s="23"/>
      <c r="Z457" s="43"/>
      <c r="AA457" s="23"/>
      <c r="AB457" s="23"/>
      <c r="AC457" s="23"/>
      <c r="AD457" s="23"/>
      <c r="AE457" s="23"/>
      <c r="AF457" s="23"/>
      <c r="AG457" s="23"/>
      <c r="AH457" s="23"/>
    </row>
    <row r="458" spans="1:35">
      <c r="B458" s="42"/>
      <c r="G458" s="43"/>
      <c r="H458" s="44"/>
      <c r="L458" s="42"/>
      <c r="M458" s="42"/>
      <c r="N458" s="25"/>
      <c r="O458" s="54"/>
      <c r="P458"/>
      <c r="Q458" s="25"/>
      <c r="R458" s="54"/>
      <c r="W458" s="23"/>
      <c r="X458" s="23"/>
      <c r="Y458" s="23"/>
      <c r="Z458" s="43"/>
      <c r="AA458" s="23"/>
      <c r="AB458" s="23"/>
      <c r="AC458" s="23"/>
      <c r="AD458" s="23"/>
      <c r="AE458" s="23"/>
      <c r="AF458" s="23"/>
      <c r="AG458" s="23"/>
      <c r="AH458" s="23"/>
    </row>
    <row r="459" spans="1:35">
      <c r="B459" s="42"/>
      <c r="C459" s="49"/>
      <c r="E459" s="49"/>
      <c r="G459" s="43"/>
      <c r="H459" s="44"/>
      <c r="L459" s="42"/>
      <c r="M459" s="42"/>
      <c r="N459" s="25"/>
      <c r="O459" s="54"/>
      <c r="P459"/>
      <c r="Q459" s="25"/>
      <c r="R459" s="54"/>
      <c r="W459" s="23"/>
      <c r="X459" s="23"/>
      <c r="Y459" s="23"/>
      <c r="Z459" s="43"/>
      <c r="AA459" s="23"/>
      <c r="AB459" s="23"/>
      <c r="AC459" s="23"/>
      <c r="AD459" s="23"/>
      <c r="AE459" s="23"/>
      <c r="AF459" s="23"/>
      <c r="AG459" s="23"/>
      <c r="AH459" s="23"/>
      <c r="AI459" s="23"/>
    </row>
    <row r="460" spans="1:35">
      <c r="A460" s="45"/>
      <c r="B460" s="42"/>
      <c r="C460" s="45"/>
      <c r="E460" s="45"/>
      <c r="G460" s="43"/>
      <c r="H460" s="44"/>
      <c r="L460" s="42"/>
      <c r="M460" s="42"/>
      <c r="N460" s="25"/>
      <c r="O460" s="54"/>
      <c r="P460"/>
      <c r="Q460" s="25"/>
      <c r="R460" s="54"/>
      <c r="W460" s="23"/>
      <c r="X460" s="23"/>
      <c r="Y460" s="23"/>
      <c r="Z460" s="43"/>
      <c r="AA460" s="23"/>
      <c r="AB460" s="23"/>
      <c r="AC460" s="23"/>
      <c r="AD460" s="23"/>
      <c r="AE460" s="23"/>
      <c r="AF460" s="23"/>
      <c r="AG460" s="23"/>
      <c r="AH460" s="23"/>
      <c r="AI460" s="48"/>
    </row>
    <row r="461" spans="1:35">
      <c r="B461" s="42"/>
      <c r="G461" s="43"/>
      <c r="H461" s="44"/>
      <c r="L461" s="42"/>
      <c r="M461" s="42"/>
      <c r="N461" s="25"/>
      <c r="O461" s="54"/>
      <c r="P461"/>
      <c r="Q461" s="25"/>
      <c r="R461" s="54"/>
      <c r="W461" s="23"/>
      <c r="X461" s="23"/>
      <c r="Y461" s="23"/>
      <c r="Z461" s="43"/>
      <c r="AA461" s="23"/>
      <c r="AB461" s="23"/>
      <c r="AC461" s="23"/>
      <c r="AD461" s="23"/>
      <c r="AE461" s="23"/>
      <c r="AF461" s="23"/>
      <c r="AG461" s="23"/>
      <c r="AH461" s="23"/>
    </row>
    <row r="462" spans="1:35">
      <c r="B462" s="42"/>
      <c r="C462" s="49"/>
      <c r="E462" s="49"/>
      <c r="G462" s="43"/>
      <c r="H462" s="44"/>
      <c r="L462" s="42"/>
      <c r="M462" s="42"/>
      <c r="N462" s="25"/>
      <c r="O462" s="54"/>
      <c r="P462"/>
      <c r="Q462" s="25"/>
      <c r="R462" s="54"/>
      <c r="W462" s="23"/>
      <c r="X462" s="23"/>
      <c r="Y462" s="23"/>
      <c r="Z462" s="43"/>
      <c r="AA462" s="23"/>
      <c r="AB462" s="23"/>
      <c r="AC462" s="23"/>
      <c r="AD462" s="23"/>
      <c r="AE462" s="23"/>
      <c r="AF462" s="23"/>
      <c r="AG462" s="23"/>
      <c r="AH462" s="23"/>
      <c r="AI462" s="23"/>
    </row>
    <row r="463" spans="1:35">
      <c r="B463" s="42"/>
      <c r="G463" s="43"/>
      <c r="H463" s="44"/>
      <c r="L463" s="42"/>
      <c r="M463" s="42"/>
      <c r="N463" s="25"/>
      <c r="O463" s="54"/>
      <c r="P463"/>
      <c r="Q463" s="25"/>
      <c r="R463" s="54"/>
      <c r="W463" s="23"/>
      <c r="X463" s="23"/>
      <c r="Y463" s="23"/>
      <c r="Z463" s="43"/>
      <c r="AA463" s="23"/>
      <c r="AB463" s="23"/>
      <c r="AC463" s="23"/>
      <c r="AD463" s="23"/>
      <c r="AE463" s="23"/>
      <c r="AF463" s="23"/>
      <c r="AG463" s="23"/>
      <c r="AH463" s="23"/>
    </row>
    <row r="464" spans="1:35">
      <c r="B464" s="42"/>
      <c r="G464" s="43"/>
      <c r="H464" s="44"/>
      <c r="L464" s="42"/>
      <c r="M464" s="42"/>
      <c r="N464" s="25"/>
      <c r="O464" s="54"/>
      <c r="P464"/>
      <c r="Q464" s="25"/>
      <c r="R464" s="54"/>
      <c r="W464" s="23"/>
      <c r="X464" s="23"/>
      <c r="Y464" s="23"/>
      <c r="Z464" s="43"/>
      <c r="AA464" s="23"/>
      <c r="AB464" s="23"/>
      <c r="AC464" s="23"/>
      <c r="AD464" s="23"/>
      <c r="AE464" s="23"/>
      <c r="AF464" s="23"/>
      <c r="AG464" s="23"/>
      <c r="AH464" s="23"/>
    </row>
    <row r="465" spans="1:35">
      <c r="B465" s="42"/>
      <c r="G465" s="43"/>
      <c r="H465" s="44"/>
      <c r="L465" s="42"/>
      <c r="M465" s="42"/>
      <c r="N465" s="25"/>
      <c r="O465" s="54"/>
      <c r="P465"/>
      <c r="Q465" s="25"/>
      <c r="R465" s="54"/>
      <c r="W465" s="23"/>
      <c r="X465" s="23"/>
      <c r="Y465" s="23"/>
      <c r="Z465" s="43"/>
      <c r="AA465" s="23"/>
      <c r="AB465" s="23"/>
      <c r="AC465" s="23"/>
      <c r="AD465" s="23"/>
      <c r="AE465" s="23"/>
      <c r="AF465" s="23"/>
      <c r="AG465" s="23"/>
      <c r="AH465" s="23"/>
      <c r="AI465" s="48"/>
    </row>
    <row r="466" spans="1:35">
      <c r="A466" s="45"/>
      <c r="B466" s="42"/>
      <c r="C466" s="45"/>
      <c r="E466" s="45"/>
      <c r="G466" s="43"/>
      <c r="H466" s="44"/>
      <c r="L466" s="42"/>
      <c r="M466" s="42"/>
      <c r="N466" s="25"/>
      <c r="O466" s="54"/>
      <c r="P466"/>
      <c r="Q466" s="25"/>
      <c r="R466" s="54"/>
      <c r="W466" s="23"/>
      <c r="X466" s="23"/>
      <c r="Y466" s="23"/>
      <c r="Z466" s="43"/>
      <c r="AA466" s="23"/>
      <c r="AB466" s="23"/>
      <c r="AC466" s="23"/>
      <c r="AD466" s="23"/>
      <c r="AE466" s="23"/>
      <c r="AF466" s="23"/>
      <c r="AG466" s="23"/>
      <c r="AH466" s="23"/>
      <c r="AI466" s="48"/>
    </row>
    <row r="467" spans="1:35">
      <c r="A467" s="45"/>
      <c r="B467" s="42"/>
      <c r="C467" s="45"/>
      <c r="E467" s="45"/>
      <c r="G467" s="43"/>
      <c r="H467" s="44"/>
      <c r="L467" s="42"/>
      <c r="M467" s="42"/>
      <c r="N467" s="25"/>
      <c r="O467" s="54"/>
      <c r="P467"/>
      <c r="Q467" s="25"/>
      <c r="R467" s="54"/>
      <c r="W467" s="23"/>
      <c r="X467" s="23"/>
      <c r="Y467" s="23"/>
      <c r="Z467" s="43"/>
      <c r="AA467" s="23"/>
      <c r="AB467" s="23"/>
      <c r="AC467" s="23"/>
      <c r="AD467" s="23"/>
      <c r="AE467" s="23"/>
      <c r="AF467" s="23"/>
      <c r="AG467" s="23"/>
      <c r="AH467" s="23"/>
      <c r="AI467" s="48"/>
    </row>
    <row r="468" spans="1:35">
      <c r="A468" s="45"/>
      <c r="B468" s="42"/>
      <c r="C468" s="45"/>
      <c r="E468" s="45"/>
      <c r="G468" s="43"/>
      <c r="H468" s="44"/>
      <c r="L468" s="42"/>
      <c r="M468" s="42"/>
      <c r="N468" s="25"/>
      <c r="O468" s="54"/>
      <c r="P468"/>
      <c r="Q468" s="25"/>
      <c r="R468" s="54"/>
      <c r="W468" s="23"/>
      <c r="X468" s="23"/>
      <c r="Y468" s="23"/>
      <c r="Z468" s="43"/>
      <c r="AA468" s="23"/>
      <c r="AB468" s="23"/>
      <c r="AC468" s="23"/>
      <c r="AD468" s="23"/>
      <c r="AE468" s="23"/>
      <c r="AF468" s="23"/>
      <c r="AG468" s="23"/>
      <c r="AH468" s="23"/>
      <c r="AI468" s="48"/>
    </row>
    <row r="469" spans="1:35">
      <c r="A469" s="45"/>
      <c r="B469" s="42"/>
      <c r="C469" s="45"/>
      <c r="E469" s="45"/>
      <c r="G469" s="43"/>
      <c r="H469" s="44"/>
      <c r="L469" s="42"/>
      <c r="M469" s="42"/>
      <c r="N469" s="25"/>
      <c r="O469" s="54"/>
      <c r="P469"/>
      <c r="Q469" s="25"/>
      <c r="R469" s="54"/>
      <c r="W469" s="23"/>
      <c r="X469" s="23"/>
      <c r="Y469" s="23"/>
      <c r="Z469" s="43"/>
      <c r="AA469" s="23"/>
      <c r="AB469" s="23"/>
      <c r="AC469" s="23"/>
      <c r="AD469" s="23"/>
      <c r="AE469" s="23"/>
      <c r="AF469" s="23"/>
      <c r="AG469" s="23"/>
      <c r="AH469" s="23"/>
      <c r="AI469" s="48"/>
    </row>
    <row r="470" spans="1:35">
      <c r="A470" s="23"/>
      <c r="B470" s="42"/>
      <c r="C470" s="49"/>
      <c r="E470" s="49"/>
      <c r="G470" s="43"/>
      <c r="H470" s="44"/>
      <c r="L470" s="42"/>
      <c r="M470" s="42"/>
      <c r="N470" s="25"/>
      <c r="O470" s="54"/>
      <c r="P470"/>
      <c r="Q470" s="25"/>
      <c r="R470" s="54"/>
      <c r="W470" s="23"/>
      <c r="X470" s="23"/>
      <c r="Y470" s="23"/>
      <c r="Z470" s="43"/>
      <c r="AA470" s="23"/>
      <c r="AB470" s="23"/>
      <c r="AC470" s="23"/>
      <c r="AD470" s="23"/>
      <c r="AE470" s="23"/>
      <c r="AF470" s="23"/>
      <c r="AG470" s="23"/>
      <c r="AH470" s="23"/>
      <c r="AI470" s="49"/>
    </row>
    <row r="471" spans="1:35">
      <c r="A471" s="45"/>
      <c r="B471" s="42"/>
      <c r="C471" s="45"/>
      <c r="E471" s="45"/>
      <c r="G471" s="43"/>
      <c r="H471" s="44"/>
      <c r="L471" s="42"/>
      <c r="M471" s="42"/>
      <c r="N471" s="25"/>
      <c r="O471" s="54"/>
      <c r="P471"/>
      <c r="Q471" s="25"/>
      <c r="R471" s="54"/>
      <c r="W471" s="23"/>
      <c r="X471" s="23"/>
      <c r="Y471" s="23"/>
      <c r="Z471" s="43"/>
      <c r="AA471" s="23"/>
      <c r="AB471" s="23"/>
      <c r="AC471" s="23"/>
      <c r="AD471" s="23"/>
      <c r="AE471" s="23"/>
      <c r="AF471" s="23"/>
      <c r="AG471" s="23"/>
      <c r="AH471" s="23"/>
      <c r="AI471" s="48"/>
    </row>
    <row r="472" spans="1:35">
      <c r="B472" s="42"/>
      <c r="G472" s="43"/>
      <c r="H472" s="44"/>
      <c r="L472" s="42"/>
      <c r="M472" s="42"/>
      <c r="N472" s="25"/>
      <c r="O472" s="54"/>
      <c r="P472"/>
      <c r="Q472" s="25"/>
      <c r="R472" s="54"/>
      <c r="W472" s="23"/>
      <c r="X472" s="23"/>
      <c r="Y472" s="23"/>
      <c r="Z472" s="43"/>
      <c r="AA472" s="23"/>
      <c r="AB472" s="23"/>
      <c r="AC472" s="23"/>
      <c r="AD472" s="23"/>
      <c r="AE472" s="23"/>
      <c r="AF472" s="23"/>
      <c r="AG472" s="23"/>
      <c r="AH472" s="23"/>
    </row>
    <row r="473" spans="1:35">
      <c r="A473" s="45"/>
      <c r="B473" s="42"/>
      <c r="C473" s="45"/>
      <c r="E473" s="45"/>
      <c r="G473" s="43"/>
      <c r="H473" s="44"/>
      <c r="L473" s="42"/>
      <c r="M473" s="42"/>
      <c r="N473" s="25"/>
      <c r="O473" s="54"/>
      <c r="P473"/>
      <c r="Q473" s="25"/>
      <c r="R473" s="54"/>
      <c r="W473" s="23"/>
      <c r="X473" s="23"/>
      <c r="Y473" s="23"/>
      <c r="Z473" s="43"/>
      <c r="AA473" s="23"/>
      <c r="AB473" s="23"/>
      <c r="AC473" s="23"/>
      <c r="AD473" s="23"/>
      <c r="AE473" s="23"/>
      <c r="AF473" s="23"/>
      <c r="AG473" s="23"/>
      <c r="AH473" s="23"/>
      <c r="AI473" s="48"/>
    </row>
    <row r="474" spans="1:35">
      <c r="B474" s="42"/>
      <c r="G474" s="43"/>
      <c r="H474" s="44"/>
      <c r="L474" s="42"/>
      <c r="M474" s="42"/>
      <c r="N474" s="25"/>
      <c r="O474" s="54"/>
      <c r="P474"/>
      <c r="Q474" s="25"/>
      <c r="R474" s="54"/>
      <c r="W474" s="23"/>
      <c r="X474" s="23"/>
      <c r="Y474" s="23"/>
      <c r="Z474" s="43"/>
      <c r="AA474" s="23"/>
      <c r="AB474" s="23"/>
      <c r="AC474" s="23"/>
      <c r="AD474" s="23"/>
      <c r="AE474" s="23"/>
      <c r="AF474" s="23"/>
      <c r="AG474" s="23"/>
      <c r="AH474" s="23"/>
      <c r="AI474" s="48"/>
    </row>
    <row r="475" spans="1:35">
      <c r="B475" s="42"/>
      <c r="G475" s="43"/>
      <c r="H475" s="44"/>
      <c r="L475" s="42"/>
      <c r="M475" s="42"/>
      <c r="N475" s="25"/>
      <c r="O475" s="54"/>
      <c r="P475"/>
      <c r="Q475" s="25"/>
      <c r="R475" s="54"/>
      <c r="W475" s="23"/>
      <c r="X475" s="23"/>
      <c r="Y475" s="23"/>
      <c r="Z475" s="43"/>
      <c r="AA475" s="23"/>
      <c r="AB475" s="23"/>
      <c r="AC475" s="23"/>
      <c r="AD475" s="23"/>
      <c r="AE475" s="23"/>
      <c r="AF475" s="23"/>
      <c r="AG475" s="23"/>
      <c r="AH475" s="23"/>
    </row>
    <row r="476" spans="1:35">
      <c r="B476" s="42"/>
      <c r="G476" s="43"/>
      <c r="H476" s="44"/>
      <c r="L476" s="42"/>
      <c r="M476" s="42"/>
      <c r="N476" s="25"/>
      <c r="O476" s="54"/>
      <c r="P476"/>
      <c r="Q476" s="25"/>
      <c r="R476" s="54"/>
      <c r="W476" s="23"/>
      <c r="X476" s="23"/>
      <c r="Y476" s="23"/>
      <c r="Z476" s="43"/>
      <c r="AA476" s="23"/>
      <c r="AB476" s="23"/>
      <c r="AC476" s="23"/>
      <c r="AD476" s="23"/>
      <c r="AE476" s="23"/>
      <c r="AF476" s="23"/>
      <c r="AG476" s="23"/>
      <c r="AH476" s="23"/>
    </row>
    <row r="477" spans="1:35">
      <c r="A477" s="23"/>
      <c r="B477" s="42"/>
      <c r="C477" s="49"/>
      <c r="E477" s="49"/>
      <c r="G477" s="43"/>
      <c r="H477" s="44"/>
      <c r="L477" s="42"/>
      <c r="M477" s="42"/>
      <c r="N477" s="25"/>
      <c r="O477" s="54"/>
      <c r="P477"/>
      <c r="Q477" s="25"/>
      <c r="R477" s="54"/>
      <c r="W477" s="23"/>
      <c r="X477" s="23"/>
      <c r="Y477" s="23"/>
      <c r="Z477" s="43"/>
      <c r="AA477" s="23"/>
      <c r="AB477" s="23"/>
      <c r="AC477" s="23"/>
      <c r="AD477" s="23"/>
      <c r="AE477" s="23"/>
      <c r="AF477" s="23"/>
      <c r="AG477" s="23"/>
      <c r="AH477" s="23"/>
      <c r="AI477" s="49"/>
    </row>
    <row r="478" spans="1:35">
      <c r="A478" s="23"/>
      <c r="B478" s="42"/>
      <c r="C478" s="49"/>
      <c r="E478" s="49"/>
      <c r="G478" s="43"/>
      <c r="H478" s="44"/>
      <c r="L478" s="42"/>
      <c r="M478" s="42"/>
      <c r="N478" s="25"/>
      <c r="O478" s="54"/>
      <c r="P478"/>
      <c r="Q478" s="25"/>
      <c r="R478" s="54"/>
      <c r="W478" s="23"/>
      <c r="X478" s="23"/>
      <c r="Y478" s="23"/>
      <c r="Z478" s="43"/>
      <c r="AA478" s="23"/>
      <c r="AB478" s="23"/>
      <c r="AC478" s="23"/>
      <c r="AD478" s="23"/>
      <c r="AE478" s="23"/>
      <c r="AF478" s="23"/>
      <c r="AG478" s="23"/>
      <c r="AH478" s="23"/>
      <c r="AI478" s="49"/>
    </row>
    <row r="479" spans="1:35">
      <c r="B479" s="42"/>
      <c r="G479" s="43"/>
      <c r="H479" s="44"/>
      <c r="L479" s="42"/>
      <c r="M479" s="42"/>
      <c r="N479" s="25"/>
      <c r="O479" s="54"/>
      <c r="P479"/>
      <c r="Q479" s="25"/>
      <c r="R479" s="54"/>
      <c r="W479" s="23"/>
      <c r="X479" s="23"/>
      <c r="Y479" s="23"/>
      <c r="Z479" s="43"/>
      <c r="AA479" s="23"/>
      <c r="AB479" s="23"/>
      <c r="AC479" s="23"/>
      <c r="AD479" s="23"/>
      <c r="AE479" s="23"/>
      <c r="AF479" s="23"/>
      <c r="AG479" s="23"/>
      <c r="AH479" s="23"/>
    </row>
    <row r="480" spans="1:35">
      <c r="A480" s="23"/>
      <c r="B480" s="42"/>
      <c r="C480" s="49"/>
      <c r="E480" s="49"/>
      <c r="G480" s="43"/>
      <c r="H480" s="44"/>
      <c r="L480" s="42"/>
      <c r="M480" s="42"/>
      <c r="N480" s="25"/>
      <c r="O480" s="54"/>
      <c r="P480"/>
      <c r="Q480" s="25"/>
      <c r="R480" s="54"/>
      <c r="W480" s="23"/>
      <c r="X480" s="23"/>
      <c r="Y480" s="23"/>
      <c r="Z480" s="43"/>
      <c r="AA480" s="23"/>
      <c r="AB480" s="23"/>
      <c r="AC480" s="23"/>
      <c r="AD480" s="23"/>
      <c r="AE480" s="23"/>
      <c r="AF480" s="23"/>
      <c r="AG480" s="23"/>
      <c r="AH480" s="23"/>
      <c r="AI480" s="49"/>
    </row>
    <row r="481" spans="1:35">
      <c r="A481" s="23"/>
      <c r="B481" s="42"/>
      <c r="C481" s="49"/>
      <c r="E481" s="49"/>
      <c r="G481" s="43"/>
      <c r="H481" s="44"/>
      <c r="L481" s="42"/>
      <c r="M481" s="42"/>
      <c r="N481" s="25"/>
      <c r="O481" s="54"/>
      <c r="P481"/>
      <c r="Q481" s="25"/>
      <c r="R481" s="54"/>
      <c r="W481" s="23"/>
      <c r="X481" s="23"/>
      <c r="Y481" s="23"/>
      <c r="Z481" s="43"/>
      <c r="AA481" s="23"/>
      <c r="AB481" s="23"/>
      <c r="AC481" s="23"/>
      <c r="AD481" s="23"/>
      <c r="AE481" s="23"/>
      <c r="AF481" s="23"/>
      <c r="AG481" s="23"/>
      <c r="AH481" s="23"/>
      <c r="AI481" s="49"/>
    </row>
    <row r="482" spans="1:35">
      <c r="B482" s="42"/>
      <c r="G482" s="43"/>
      <c r="H482" s="44"/>
      <c r="L482" s="42"/>
      <c r="M482" s="42"/>
      <c r="N482" s="25"/>
      <c r="O482" s="54"/>
      <c r="P482"/>
      <c r="Q482" s="25"/>
      <c r="R482" s="54"/>
      <c r="W482" s="23"/>
      <c r="X482" s="23"/>
      <c r="Y482" s="23"/>
      <c r="Z482" s="43"/>
      <c r="AA482" s="23"/>
      <c r="AB482" s="23"/>
      <c r="AC482" s="23"/>
      <c r="AD482" s="23"/>
      <c r="AE482" s="23"/>
      <c r="AF482" s="23"/>
      <c r="AG482" s="23"/>
      <c r="AH482" s="23"/>
    </row>
    <row r="483" spans="1:35">
      <c r="B483" s="42"/>
      <c r="G483" s="43"/>
      <c r="H483" s="44"/>
      <c r="L483" s="42"/>
      <c r="M483" s="42"/>
      <c r="N483" s="25"/>
      <c r="O483" s="54"/>
      <c r="P483"/>
      <c r="Q483" s="25"/>
      <c r="R483" s="54"/>
      <c r="W483" s="23"/>
      <c r="X483" s="23"/>
      <c r="Y483" s="23"/>
      <c r="Z483" s="43"/>
      <c r="AA483" s="23"/>
      <c r="AB483" s="23"/>
      <c r="AC483" s="23"/>
      <c r="AD483" s="23"/>
      <c r="AE483" s="23"/>
      <c r="AF483" s="23"/>
      <c r="AG483" s="23"/>
      <c r="AH483" s="23"/>
    </row>
    <row r="484" spans="1:35">
      <c r="B484" s="42"/>
      <c r="G484" s="43"/>
      <c r="H484" s="44"/>
      <c r="L484" s="42"/>
      <c r="M484" s="42"/>
      <c r="N484" s="25"/>
      <c r="O484" s="54"/>
      <c r="P484"/>
      <c r="Q484" s="25"/>
      <c r="R484" s="54"/>
      <c r="W484" s="23"/>
      <c r="X484" s="23"/>
      <c r="Y484" s="23"/>
      <c r="Z484" s="43"/>
      <c r="AA484" s="23"/>
      <c r="AB484" s="23"/>
      <c r="AC484" s="23"/>
      <c r="AD484" s="23"/>
      <c r="AE484" s="23"/>
      <c r="AF484" s="23"/>
      <c r="AG484" s="23"/>
      <c r="AH484" s="23"/>
    </row>
    <row r="485" spans="1:35">
      <c r="A485" s="23"/>
      <c r="B485" s="42"/>
      <c r="C485" s="49"/>
      <c r="E485" s="49"/>
      <c r="G485" s="43"/>
      <c r="H485" s="44"/>
      <c r="L485" s="42"/>
      <c r="M485" s="42"/>
      <c r="N485" s="25"/>
      <c r="O485" s="54"/>
      <c r="P485"/>
      <c r="Q485" s="25"/>
      <c r="R485" s="54"/>
      <c r="W485" s="23"/>
      <c r="X485" s="23"/>
      <c r="Y485" s="23"/>
      <c r="Z485" s="43"/>
      <c r="AA485" s="23"/>
      <c r="AB485" s="23"/>
      <c r="AC485" s="23"/>
      <c r="AD485" s="23"/>
      <c r="AE485" s="23"/>
      <c r="AF485" s="23"/>
      <c r="AG485" s="23"/>
      <c r="AH485" s="23"/>
      <c r="AI485" s="49"/>
    </row>
    <row r="486" spans="1:35">
      <c r="A486" s="23"/>
      <c r="B486" s="42"/>
      <c r="C486" s="49"/>
      <c r="E486" s="49"/>
      <c r="G486" s="43"/>
      <c r="H486" s="44"/>
      <c r="L486" s="42"/>
      <c r="M486" s="42"/>
      <c r="N486" s="25"/>
      <c r="O486" s="54"/>
      <c r="P486"/>
      <c r="Q486" s="25"/>
      <c r="R486" s="54"/>
      <c r="W486" s="23"/>
      <c r="X486" s="23"/>
      <c r="Y486" s="23"/>
      <c r="Z486" s="43"/>
      <c r="AA486" s="23"/>
      <c r="AB486" s="23"/>
      <c r="AC486" s="23"/>
      <c r="AD486" s="23"/>
      <c r="AE486" s="23"/>
      <c r="AF486" s="23"/>
      <c r="AG486" s="23"/>
      <c r="AH486" s="23"/>
      <c r="AI486" s="49"/>
    </row>
    <row r="487" spans="1:35">
      <c r="A487" s="23"/>
      <c r="B487" s="42"/>
      <c r="C487" s="49"/>
      <c r="E487" s="49"/>
      <c r="G487" s="43"/>
      <c r="H487" s="44"/>
      <c r="L487" s="42"/>
      <c r="M487" s="42"/>
      <c r="N487" s="25"/>
      <c r="O487" s="54"/>
      <c r="P487"/>
      <c r="Q487" s="25"/>
      <c r="R487" s="54"/>
      <c r="W487" s="23"/>
      <c r="X487" s="23"/>
      <c r="Y487" s="23"/>
      <c r="Z487" s="43"/>
      <c r="AA487" s="23"/>
      <c r="AB487" s="23"/>
      <c r="AC487" s="23"/>
      <c r="AD487" s="23"/>
      <c r="AE487" s="23"/>
      <c r="AF487" s="23"/>
      <c r="AG487" s="23"/>
      <c r="AH487" s="23"/>
      <c r="AI487" s="49"/>
    </row>
    <row r="488" spans="1:35">
      <c r="A488" s="23"/>
      <c r="B488" s="42"/>
      <c r="C488" s="49"/>
      <c r="E488" s="49"/>
      <c r="G488" s="43"/>
      <c r="H488" s="44"/>
      <c r="L488" s="42"/>
      <c r="M488" s="42"/>
      <c r="N488" s="25"/>
      <c r="O488" s="54"/>
      <c r="P488"/>
      <c r="Q488" s="25"/>
      <c r="R488" s="54"/>
      <c r="W488" s="23"/>
      <c r="X488" s="23"/>
      <c r="Y488" s="23"/>
      <c r="Z488" s="43"/>
      <c r="AA488" s="23"/>
      <c r="AB488" s="23"/>
      <c r="AC488" s="23"/>
      <c r="AD488" s="23"/>
      <c r="AE488" s="23"/>
      <c r="AF488" s="23"/>
      <c r="AG488" s="23"/>
      <c r="AH488" s="23"/>
      <c r="AI488" s="49"/>
    </row>
    <row r="489" spans="1:35">
      <c r="A489" s="23"/>
      <c r="B489" s="42"/>
      <c r="C489" s="49"/>
      <c r="E489" s="49"/>
      <c r="G489" s="43"/>
      <c r="H489" s="44"/>
      <c r="L489" s="42"/>
      <c r="M489" s="42"/>
      <c r="N489" s="25"/>
      <c r="O489" s="54"/>
      <c r="P489"/>
      <c r="Q489" s="25"/>
      <c r="R489" s="54"/>
      <c r="W489" s="23"/>
      <c r="X489" s="23"/>
      <c r="Y489" s="23"/>
      <c r="Z489" s="43"/>
      <c r="AA489" s="23"/>
      <c r="AB489" s="23"/>
      <c r="AC489" s="23"/>
      <c r="AD489" s="23"/>
      <c r="AE489" s="23"/>
      <c r="AF489" s="23"/>
      <c r="AG489" s="23"/>
      <c r="AH489" s="23"/>
      <c r="AI489" s="49"/>
    </row>
    <row r="490" spans="1:35">
      <c r="B490" s="42"/>
      <c r="G490" s="43"/>
      <c r="H490" s="44"/>
      <c r="L490" s="42"/>
      <c r="M490" s="42"/>
      <c r="N490" s="25"/>
      <c r="O490" s="54"/>
      <c r="P490"/>
      <c r="Q490" s="25"/>
      <c r="R490" s="54"/>
      <c r="W490" s="23"/>
      <c r="X490" s="23"/>
      <c r="Y490" s="23"/>
      <c r="Z490" s="43"/>
      <c r="AA490" s="23"/>
      <c r="AB490" s="23"/>
      <c r="AC490" s="23"/>
      <c r="AD490" s="23"/>
      <c r="AE490" s="23"/>
      <c r="AF490" s="23"/>
      <c r="AG490" s="23"/>
      <c r="AH490" s="23"/>
    </row>
    <row r="491" spans="1:35">
      <c r="A491" s="23"/>
      <c r="B491" s="42"/>
      <c r="C491" s="49"/>
      <c r="E491" s="49"/>
      <c r="G491" s="43"/>
      <c r="H491" s="44"/>
      <c r="L491" s="42"/>
      <c r="M491" s="42"/>
      <c r="N491" s="25"/>
      <c r="O491" s="54"/>
      <c r="P491"/>
      <c r="Q491" s="25"/>
      <c r="R491" s="54"/>
      <c r="W491" s="23"/>
      <c r="X491" s="23"/>
      <c r="Y491" s="23"/>
      <c r="Z491" s="43"/>
      <c r="AA491" s="23"/>
      <c r="AB491" s="23"/>
      <c r="AC491" s="23"/>
      <c r="AD491" s="23"/>
      <c r="AE491" s="23"/>
      <c r="AF491" s="23"/>
      <c r="AG491" s="23"/>
      <c r="AH491" s="23"/>
      <c r="AI491" s="49"/>
    </row>
    <row r="492" spans="1:35">
      <c r="A492" s="49"/>
      <c r="B492" s="42"/>
      <c r="C492" s="49"/>
      <c r="E492" s="49"/>
      <c r="G492" s="43"/>
      <c r="H492" s="44"/>
      <c r="L492" s="42"/>
      <c r="M492" s="42"/>
      <c r="N492" s="25"/>
      <c r="O492" s="54"/>
      <c r="P492"/>
      <c r="Q492" s="25"/>
      <c r="R492" s="54"/>
      <c r="W492" s="23"/>
      <c r="X492" s="23"/>
      <c r="Y492" s="23"/>
      <c r="Z492" s="43"/>
      <c r="AA492" s="23"/>
      <c r="AB492" s="23"/>
      <c r="AC492" s="23"/>
      <c r="AD492" s="23"/>
      <c r="AE492" s="23"/>
      <c r="AF492" s="23"/>
      <c r="AG492" s="23"/>
      <c r="AH492" s="23"/>
      <c r="AI492" s="49"/>
    </row>
    <row r="493" spans="1:35">
      <c r="A493" s="23"/>
      <c r="B493" s="42"/>
      <c r="C493" s="49"/>
      <c r="E493" s="49"/>
      <c r="G493" s="43"/>
      <c r="H493" s="44"/>
      <c r="L493" s="42"/>
      <c r="M493" s="42"/>
      <c r="N493" s="25"/>
      <c r="O493" s="54"/>
      <c r="P493"/>
      <c r="Q493" s="25"/>
      <c r="R493" s="54"/>
      <c r="W493" s="23"/>
      <c r="X493" s="23"/>
      <c r="Y493" s="23"/>
      <c r="Z493" s="43"/>
      <c r="AA493" s="23"/>
      <c r="AB493" s="23"/>
      <c r="AC493" s="23"/>
      <c r="AD493" s="23"/>
      <c r="AE493" s="23"/>
      <c r="AF493" s="23"/>
      <c r="AG493" s="23"/>
      <c r="AH493" s="23"/>
      <c r="AI493" s="49"/>
    </row>
    <row r="494" spans="1:35">
      <c r="A494" s="23"/>
      <c r="B494" s="42"/>
      <c r="G494" s="43"/>
      <c r="H494" s="44"/>
      <c r="L494" s="42"/>
      <c r="M494" s="42"/>
      <c r="N494" s="25"/>
      <c r="O494" s="54"/>
      <c r="P494"/>
      <c r="Q494" s="25"/>
      <c r="R494" s="54"/>
      <c r="W494" s="23"/>
      <c r="X494" s="23"/>
      <c r="Y494" s="23"/>
      <c r="Z494" s="43"/>
      <c r="AA494" s="23"/>
      <c r="AB494" s="23"/>
      <c r="AC494" s="23"/>
      <c r="AD494" s="23"/>
      <c r="AE494" s="23"/>
      <c r="AF494" s="23"/>
      <c r="AG494" s="23"/>
      <c r="AH494" s="23"/>
    </row>
    <row r="495" spans="1:35">
      <c r="A495" s="23"/>
      <c r="B495" s="42"/>
      <c r="C495" s="49"/>
      <c r="E495" s="49"/>
      <c r="G495" s="43"/>
      <c r="H495" s="44"/>
      <c r="L495" s="42"/>
      <c r="M495" s="42"/>
      <c r="N495" s="25"/>
      <c r="O495" s="54"/>
      <c r="P495"/>
      <c r="Q495" s="25"/>
      <c r="R495" s="54"/>
      <c r="W495" s="23"/>
      <c r="X495" s="23"/>
      <c r="Y495" s="23"/>
      <c r="Z495" s="43"/>
      <c r="AA495" s="23"/>
      <c r="AB495" s="23"/>
      <c r="AC495" s="23"/>
      <c r="AD495" s="23"/>
      <c r="AE495" s="23"/>
      <c r="AF495" s="23"/>
      <c r="AG495" s="23"/>
      <c r="AH495" s="23"/>
      <c r="AI495" s="49"/>
    </row>
    <row r="496" spans="1:35">
      <c r="A496" s="23"/>
      <c r="B496" s="42"/>
      <c r="G496" s="43"/>
      <c r="H496" s="44"/>
      <c r="L496" s="42"/>
      <c r="M496" s="42"/>
      <c r="N496" s="25"/>
      <c r="O496" s="54"/>
      <c r="P496"/>
      <c r="Q496" s="25"/>
      <c r="R496" s="54"/>
      <c r="W496" s="23"/>
      <c r="X496" s="23"/>
      <c r="Y496" s="23"/>
      <c r="Z496" s="43"/>
      <c r="AA496" s="23"/>
      <c r="AB496" s="23"/>
      <c r="AC496" s="23"/>
      <c r="AD496" s="23"/>
      <c r="AE496" s="23"/>
      <c r="AF496" s="23"/>
      <c r="AG496" s="23"/>
      <c r="AH496" s="23"/>
    </row>
    <row r="497" spans="1:35">
      <c r="A497" s="23"/>
      <c r="B497" s="42"/>
      <c r="C497" s="49"/>
      <c r="E497" s="49"/>
      <c r="G497" s="43"/>
      <c r="H497" s="44"/>
      <c r="L497" s="42"/>
      <c r="M497" s="42"/>
      <c r="N497" s="25"/>
      <c r="O497" s="54"/>
      <c r="P497"/>
      <c r="Q497" s="25"/>
      <c r="R497" s="54"/>
      <c r="W497" s="23"/>
      <c r="X497" s="23"/>
      <c r="Y497" s="23"/>
      <c r="Z497" s="43"/>
      <c r="AA497" s="23"/>
      <c r="AB497" s="23"/>
      <c r="AC497" s="23"/>
      <c r="AD497" s="23"/>
      <c r="AE497" s="23"/>
      <c r="AF497" s="23"/>
      <c r="AG497" s="23"/>
      <c r="AH497" s="23"/>
      <c r="AI497" s="49"/>
    </row>
    <row r="498" spans="1:35">
      <c r="A498" s="23"/>
      <c r="B498" s="42"/>
      <c r="G498" s="43"/>
      <c r="H498" s="44"/>
      <c r="L498" s="42"/>
      <c r="M498" s="42"/>
      <c r="N498" s="25"/>
      <c r="O498" s="54"/>
      <c r="P498"/>
      <c r="Q498" s="25"/>
      <c r="R498" s="54"/>
      <c r="W498" s="23"/>
      <c r="X498" s="23"/>
      <c r="Y498" s="23"/>
      <c r="Z498" s="43"/>
      <c r="AA498" s="23"/>
      <c r="AB498" s="23"/>
      <c r="AC498" s="23"/>
      <c r="AD498" s="23"/>
      <c r="AE498" s="23"/>
      <c r="AF498" s="23"/>
      <c r="AG498" s="23"/>
      <c r="AH498" s="23"/>
      <c r="AI498" s="23"/>
    </row>
    <row r="499" spans="1:35">
      <c r="A499" s="23"/>
      <c r="B499" s="42"/>
      <c r="C499" s="49"/>
      <c r="E499" s="49"/>
      <c r="G499" s="43"/>
      <c r="H499" s="44"/>
      <c r="L499" s="42"/>
      <c r="M499" s="42"/>
      <c r="N499" s="25"/>
      <c r="O499" s="54"/>
      <c r="P499"/>
      <c r="Q499" s="25"/>
      <c r="R499" s="54"/>
      <c r="W499" s="23"/>
      <c r="X499" s="23"/>
      <c r="Y499" s="23"/>
      <c r="Z499" s="43"/>
      <c r="AA499" s="23"/>
      <c r="AB499" s="23"/>
      <c r="AC499" s="23"/>
      <c r="AD499" s="23"/>
      <c r="AE499" s="23"/>
      <c r="AF499" s="23"/>
      <c r="AG499" s="23"/>
      <c r="AH499" s="23"/>
      <c r="AI499" s="49"/>
    </row>
    <row r="500" spans="1:35">
      <c r="A500" s="49"/>
      <c r="B500" s="42"/>
      <c r="C500" s="49"/>
      <c r="E500" s="49"/>
      <c r="G500" s="43"/>
      <c r="H500" s="44"/>
      <c r="L500" s="42"/>
      <c r="M500" s="42"/>
      <c r="N500" s="25"/>
      <c r="O500" s="54"/>
      <c r="P500"/>
      <c r="Q500" s="25"/>
      <c r="R500" s="54"/>
      <c r="W500" s="23"/>
      <c r="X500" s="23"/>
      <c r="Y500" s="23"/>
      <c r="Z500" s="43"/>
      <c r="AA500" s="23"/>
      <c r="AB500" s="23"/>
      <c r="AC500" s="23"/>
      <c r="AD500" s="23"/>
      <c r="AE500" s="23"/>
      <c r="AF500" s="23"/>
      <c r="AG500" s="23"/>
      <c r="AH500" s="23"/>
      <c r="AI500" s="49"/>
    </row>
    <row r="501" spans="1:35">
      <c r="A501" s="23"/>
      <c r="B501" s="42"/>
      <c r="G501" s="43"/>
      <c r="H501" s="44"/>
      <c r="L501" s="42"/>
      <c r="M501" s="42"/>
      <c r="N501" s="25"/>
      <c r="O501" s="54"/>
      <c r="P501"/>
      <c r="Q501" s="25"/>
      <c r="R501" s="54"/>
      <c r="W501" s="23"/>
      <c r="X501" s="23"/>
      <c r="Y501" s="23"/>
      <c r="Z501" s="43"/>
      <c r="AA501" s="23"/>
      <c r="AB501" s="23"/>
      <c r="AC501" s="23"/>
      <c r="AD501" s="23"/>
      <c r="AE501" s="23"/>
      <c r="AF501" s="23"/>
      <c r="AG501" s="23"/>
      <c r="AH501" s="23"/>
      <c r="AI501" s="23"/>
    </row>
    <row r="502" spans="1:35">
      <c r="A502" s="23"/>
      <c r="B502" s="42"/>
      <c r="C502" s="49"/>
      <c r="E502" s="49"/>
      <c r="G502" s="43"/>
      <c r="H502" s="44"/>
      <c r="L502" s="42"/>
      <c r="M502" s="42"/>
      <c r="N502" s="25"/>
      <c r="O502" s="54"/>
      <c r="P502"/>
      <c r="Q502" s="25"/>
      <c r="R502" s="54"/>
      <c r="W502" s="23"/>
      <c r="X502" s="23"/>
      <c r="Y502" s="23"/>
      <c r="Z502" s="43"/>
      <c r="AA502" s="23"/>
      <c r="AB502" s="23"/>
      <c r="AC502" s="23"/>
      <c r="AD502" s="23"/>
      <c r="AE502" s="23"/>
      <c r="AF502" s="23"/>
      <c r="AG502" s="23"/>
      <c r="AH502" s="23"/>
      <c r="AI502" s="49"/>
    </row>
    <row r="503" spans="1:35">
      <c r="A503" s="23"/>
      <c r="B503" s="42"/>
      <c r="C503" s="49"/>
      <c r="E503" s="49"/>
      <c r="G503" s="43"/>
      <c r="H503" s="44"/>
      <c r="L503" s="42"/>
      <c r="M503" s="42"/>
      <c r="N503" s="25"/>
      <c r="O503" s="54"/>
      <c r="P503"/>
      <c r="Q503" s="25"/>
      <c r="R503" s="54"/>
      <c r="W503" s="23"/>
      <c r="X503" s="23"/>
      <c r="Y503" s="23"/>
      <c r="Z503" s="43"/>
      <c r="AA503" s="23"/>
      <c r="AB503" s="23"/>
      <c r="AC503" s="23"/>
      <c r="AD503" s="23"/>
      <c r="AE503" s="23"/>
      <c r="AF503" s="23"/>
      <c r="AG503" s="23"/>
      <c r="AH503" s="23"/>
      <c r="AI503" s="49"/>
    </row>
    <row r="504" spans="1:35">
      <c r="A504" s="23"/>
      <c r="B504" s="42"/>
      <c r="C504" s="49"/>
      <c r="E504" s="49"/>
      <c r="G504" s="43"/>
      <c r="H504" s="44"/>
      <c r="L504" s="42"/>
      <c r="M504" s="42"/>
      <c r="N504" s="25"/>
      <c r="O504" s="54"/>
      <c r="P504"/>
      <c r="Q504" s="25"/>
      <c r="R504" s="54"/>
      <c r="W504" s="23"/>
      <c r="X504" s="23"/>
      <c r="Y504" s="23"/>
      <c r="Z504" s="43"/>
      <c r="AA504" s="23"/>
      <c r="AB504" s="23"/>
      <c r="AC504" s="23"/>
      <c r="AD504" s="23"/>
      <c r="AE504" s="23"/>
      <c r="AF504" s="23"/>
      <c r="AG504" s="23"/>
      <c r="AH504" s="23"/>
      <c r="AI504" s="49"/>
    </row>
    <row r="505" spans="1:35">
      <c r="A505" s="23"/>
      <c r="B505" s="42"/>
      <c r="G505" s="43"/>
      <c r="H505" s="44"/>
      <c r="L505" s="42"/>
      <c r="M505" s="42"/>
      <c r="N505" s="25"/>
      <c r="O505" s="54"/>
      <c r="P505"/>
      <c r="Q505" s="25"/>
      <c r="R505" s="54"/>
      <c r="W505" s="23"/>
      <c r="X505" s="23"/>
      <c r="Y505" s="23"/>
      <c r="Z505" s="43"/>
      <c r="AA505" s="23"/>
      <c r="AB505" s="23"/>
      <c r="AC505" s="23"/>
      <c r="AD505" s="23"/>
      <c r="AE505" s="23"/>
      <c r="AF505" s="23"/>
      <c r="AG505" s="23"/>
      <c r="AH505" s="23"/>
    </row>
    <row r="506" spans="1:35">
      <c r="A506" s="49"/>
      <c r="B506" s="42"/>
      <c r="C506" s="49"/>
      <c r="E506" s="49"/>
      <c r="G506" s="43"/>
      <c r="H506" s="44"/>
      <c r="L506" s="42"/>
      <c r="M506" s="42"/>
      <c r="N506" s="25"/>
      <c r="O506" s="54"/>
      <c r="P506"/>
      <c r="Q506" s="25"/>
      <c r="R506" s="54"/>
      <c r="W506" s="23"/>
      <c r="X506" s="23"/>
      <c r="Y506" s="23"/>
      <c r="Z506" s="43"/>
      <c r="AA506" s="23"/>
      <c r="AB506" s="23"/>
      <c r="AC506" s="23"/>
      <c r="AD506" s="23"/>
      <c r="AE506" s="23"/>
      <c r="AF506" s="23"/>
      <c r="AG506" s="23"/>
      <c r="AH506" s="23"/>
      <c r="AI506" s="49"/>
    </row>
    <row r="507" spans="1:35">
      <c r="A507" s="23"/>
      <c r="B507" s="42"/>
      <c r="G507" s="43"/>
      <c r="H507" s="44"/>
      <c r="L507" s="42"/>
      <c r="M507" s="42"/>
      <c r="N507" s="25"/>
      <c r="O507" s="54"/>
      <c r="P507"/>
      <c r="Q507" s="25"/>
      <c r="R507" s="54"/>
      <c r="W507" s="23"/>
      <c r="X507" s="23"/>
      <c r="Y507" s="23"/>
      <c r="Z507" s="43"/>
      <c r="AA507" s="23"/>
      <c r="AB507" s="23"/>
      <c r="AC507" s="23"/>
      <c r="AD507" s="23"/>
      <c r="AE507" s="23"/>
      <c r="AF507" s="23"/>
      <c r="AG507" s="23"/>
      <c r="AH507" s="23"/>
      <c r="AI507" s="23"/>
    </row>
    <row r="508" spans="1:35">
      <c r="A508" s="23"/>
      <c r="B508" s="42"/>
      <c r="C508" s="49"/>
      <c r="E508" s="49"/>
      <c r="G508" s="43"/>
      <c r="H508" s="44"/>
      <c r="L508" s="42"/>
      <c r="M508" s="42"/>
      <c r="N508" s="25"/>
      <c r="O508" s="54"/>
      <c r="P508"/>
      <c r="Q508" s="25"/>
      <c r="R508" s="54"/>
      <c r="W508" s="23"/>
      <c r="X508" s="23"/>
      <c r="Y508" s="23"/>
      <c r="Z508" s="43"/>
      <c r="AA508" s="23"/>
      <c r="AB508" s="23"/>
      <c r="AC508" s="23"/>
      <c r="AD508" s="23"/>
      <c r="AE508" s="23"/>
      <c r="AF508" s="23"/>
      <c r="AG508" s="23"/>
      <c r="AH508" s="23"/>
      <c r="AI508" s="49"/>
    </row>
    <row r="509" spans="1:35">
      <c r="A509" s="23"/>
      <c r="B509" s="42"/>
      <c r="C509" s="49"/>
      <c r="E509" s="49"/>
      <c r="G509" s="43"/>
      <c r="H509" s="44"/>
      <c r="L509" s="42"/>
      <c r="M509" s="42"/>
      <c r="N509" s="25"/>
      <c r="O509" s="54"/>
      <c r="P509"/>
      <c r="Q509" s="25"/>
      <c r="R509" s="54"/>
      <c r="W509" s="23"/>
      <c r="X509" s="23"/>
      <c r="Y509" s="23"/>
      <c r="Z509" s="43"/>
      <c r="AA509" s="23"/>
      <c r="AB509" s="23"/>
      <c r="AC509" s="23"/>
      <c r="AD509" s="23"/>
      <c r="AE509" s="23"/>
      <c r="AF509" s="23"/>
      <c r="AG509" s="23"/>
      <c r="AH509" s="23"/>
      <c r="AI509" s="49"/>
    </row>
    <row r="510" spans="1:35">
      <c r="A510" s="23"/>
      <c r="B510" s="42"/>
      <c r="G510" s="43"/>
      <c r="H510" s="44"/>
      <c r="L510" s="42"/>
      <c r="M510" s="42"/>
      <c r="N510" s="25"/>
      <c r="O510" s="54"/>
      <c r="P510"/>
      <c r="Q510" s="25"/>
      <c r="R510" s="54"/>
      <c r="W510" s="23"/>
      <c r="X510" s="23"/>
      <c r="Y510" s="23"/>
      <c r="Z510" s="43"/>
      <c r="AA510" s="23"/>
      <c r="AB510" s="23"/>
      <c r="AC510" s="23"/>
      <c r="AD510" s="23"/>
      <c r="AE510" s="23"/>
      <c r="AF510" s="23"/>
      <c r="AG510" s="23"/>
      <c r="AH510" s="23"/>
      <c r="AI510" s="23"/>
    </row>
    <row r="511" spans="1:35">
      <c r="A511" s="23"/>
      <c r="B511" s="42"/>
      <c r="C511" s="49"/>
      <c r="E511" s="49"/>
      <c r="G511" s="43"/>
      <c r="H511" s="44"/>
      <c r="L511" s="42"/>
      <c r="M511" s="42"/>
      <c r="N511" s="25"/>
      <c r="O511" s="54"/>
      <c r="P511"/>
      <c r="Q511" s="25"/>
      <c r="R511" s="54"/>
      <c r="W511" s="23"/>
      <c r="X511" s="23"/>
      <c r="Y511" s="23"/>
      <c r="Z511" s="43"/>
      <c r="AA511" s="23"/>
      <c r="AB511" s="23"/>
      <c r="AC511" s="23"/>
      <c r="AD511" s="23"/>
      <c r="AE511" s="23"/>
      <c r="AF511" s="23"/>
      <c r="AG511" s="23"/>
      <c r="AH511" s="23"/>
      <c r="AI511" s="49"/>
    </row>
    <row r="512" spans="1:35">
      <c r="A512" s="23"/>
      <c r="B512" s="42"/>
      <c r="C512" s="49"/>
      <c r="E512" s="49"/>
      <c r="G512" s="43"/>
      <c r="H512" s="44"/>
      <c r="L512" s="42"/>
      <c r="M512" s="42"/>
      <c r="N512" s="25"/>
      <c r="O512" s="54"/>
      <c r="P512"/>
      <c r="Q512" s="25"/>
      <c r="R512" s="54"/>
      <c r="W512" s="23"/>
      <c r="X512" s="23"/>
      <c r="Y512" s="23"/>
      <c r="Z512" s="43"/>
      <c r="AA512" s="23"/>
      <c r="AB512" s="23"/>
      <c r="AC512" s="23"/>
      <c r="AD512" s="23"/>
      <c r="AE512" s="23"/>
      <c r="AF512" s="23"/>
      <c r="AG512" s="23"/>
      <c r="AH512" s="23"/>
      <c r="AI512" s="49"/>
    </row>
    <row r="513" spans="1:35">
      <c r="A513" s="49"/>
      <c r="B513" s="42"/>
      <c r="C513" s="49"/>
      <c r="E513" s="49"/>
      <c r="G513" s="43"/>
      <c r="H513" s="44"/>
      <c r="L513" s="42"/>
      <c r="M513" s="42"/>
      <c r="N513" s="25"/>
      <c r="O513" s="54"/>
      <c r="P513"/>
      <c r="Q513" s="25"/>
      <c r="R513" s="54"/>
      <c r="W513" s="23"/>
      <c r="X513" s="23"/>
      <c r="Y513" s="23"/>
      <c r="Z513" s="43"/>
      <c r="AA513" s="23"/>
      <c r="AB513" s="23"/>
      <c r="AC513" s="23"/>
      <c r="AD513" s="23"/>
      <c r="AE513" s="23"/>
      <c r="AF513" s="23"/>
      <c r="AG513" s="23"/>
      <c r="AH513" s="23"/>
      <c r="AI513" s="49"/>
    </row>
    <row r="514" spans="1:35">
      <c r="A514" s="23"/>
      <c r="B514" s="42"/>
      <c r="C514" s="49"/>
      <c r="E514" s="49"/>
      <c r="G514" s="43"/>
      <c r="H514" s="44"/>
      <c r="L514" s="42"/>
      <c r="M514" s="42"/>
      <c r="N514" s="25"/>
      <c r="O514" s="54"/>
      <c r="P514"/>
      <c r="Q514" s="25"/>
      <c r="R514" s="54"/>
      <c r="W514" s="23"/>
      <c r="X514" s="23"/>
      <c r="Y514" s="23"/>
      <c r="Z514" s="43"/>
      <c r="AA514" s="23"/>
      <c r="AB514" s="23"/>
      <c r="AC514" s="23"/>
      <c r="AD514" s="23"/>
      <c r="AE514" s="23"/>
      <c r="AF514" s="23"/>
      <c r="AG514" s="23"/>
      <c r="AH514" s="23"/>
      <c r="AI514" s="49"/>
    </row>
    <row r="515" spans="1:35">
      <c r="A515" s="23"/>
      <c r="B515" s="42"/>
      <c r="G515" s="43"/>
      <c r="H515" s="44"/>
      <c r="L515" s="42"/>
      <c r="M515" s="42"/>
      <c r="N515" s="25"/>
      <c r="O515" s="54"/>
      <c r="P515"/>
      <c r="Q515" s="25"/>
      <c r="R515" s="54"/>
      <c r="W515" s="23"/>
      <c r="X515" s="23"/>
      <c r="Y515" s="23"/>
      <c r="Z515" s="43"/>
      <c r="AA515" s="23"/>
      <c r="AB515" s="23"/>
      <c r="AC515" s="23"/>
      <c r="AD515" s="23"/>
      <c r="AE515" s="23"/>
      <c r="AF515" s="23"/>
      <c r="AG515" s="23"/>
      <c r="AH515" s="23"/>
    </row>
    <row r="516" spans="1:35">
      <c r="A516" s="49"/>
      <c r="B516" s="42"/>
      <c r="C516" s="49"/>
      <c r="E516" s="49"/>
      <c r="G516" s="43"/>
      <c r="H516" s="44"/>
      <c r="L516" s="42"/>
      <c r="M516" s="42"/>
      <c r="N516" s="25"/>
      <c r="O516" s="54"/>
      <c r="P516"/>
      <c r="Q516" s="25"/>
      <c r="R516" s="54"/>
      <c r="W516" s="23"/>
      <c r="X516" s="23"/>
      <c r="Y516" s="23"/>
      <c r="Z516" s="43"/>
      <c r="AA516" s="23"/>
      <c r="AB516" s="23"/>
      <c r="AC516" s="23"/>
      <c r="AD516" s="23"/>
      <c r="AE516" s="23"/>
      <c r="AF516" s="23"/>
      <c r="AG516" s="23"/>
      <c r="AH516" s="23"/>
      <c r="AI516" s="49"/>
    </row>
    <row r="517" spans="1:35">
      <c r="A517" s="23"/>
      <c r="B517" s="42"/>
      <c r="G517" s="43"/>
      <c r="H517" s="44"/>
      <c r="L517" s="42"/>
      <c r="M517" s="42"/>
      <c r="N517" s="25"/>
      <c r="O517" s="54"/>
      <c r="P517"/>
      <c r="Q517" s="25"/>
      <c r="R517" s="54"/>
      <c r="W517" s="23"/>
      <c r="X517" s="23"/>
      <c r="Y517" s="23"/>
      <c r="Z517" s="43"/>
      <c r="AA517" s="23"/>
      <c r="AB517" s="23"/>
      <c r="AC517" s="23"/>
      <c r="AD517" s="23"/>
      <c r="AE517" s="23"/>
      <c r="AF517" s="23"/>
      <c r="AG517" s="23"/>
      <c r="AH517" s="23"/>
      <c r="AI517" s="23"/>
    </row>
    <row r="518" spans="1:35">
      <c r="A518" s="23"/>
      <c r="B518" s="42"/>
      <c r="C518" s="49"/>
      <c r="E518" s="49"/>
      <c r="G518" s="43"/>
      <c r="H518" s="44"/>
      <c r="L518" s="42"/>
      <c r="M518" s="42"/>
      <c r="N518" s="25"/>
      <c r="O518" s="54"/>
      <c r="P518"/>
      <c r="Q518" s="25"/>
      <c r="R518" s="54"/>
      <c r="W518" s="23"/>
      <c r="X518" s="23"/>
      <c r="Y518" s="23"/>
      <c r="Z518" s="43"/>
      <c r="AA518" s="23"/>
      <c r="AB518" s="23"/>
      <c r="AC518" s="23"/>
      <c r="AD518" s="23"/>
      <c r="AE518" s="23"/>
      <c r="AF518" s="23"/>
      <c r="AG518" s="23"/>
      <c r="AH518" s="23"/>
      <c r="AI518" s="49"/>
    </row>
    <row r="519" spans="1:35">
      <c r="A519" s="49"/>
      <c r="B519" s="42"/>
      <c r="C519" s="49"/>
      <c r="E519" s="49"/>
      <c r="G519" s="43"/>
      <c r="H519" s="44"/>
      <c r="L519" s="42"/>
      <c r="M519" s="42"/>
      <c r="N519" s="25"/>
      <c r="O519" s="54"/>
      <c r="P519"/>
      <c r="Q519" s="25"/>
      <c r="R519" s="54"/>
      <c r="W519" s="23"/>
      <c r="X519" s="23"/>
      <c r="Y519" s="23"/>
      <c r="Z519" s="43"/>
      <c r="AA519" s="23"/>
      <c r="AB519" s="23"/>
      <c r="AC519" s="23"/>
      <c r="AD519" s="23"/>
      <c r="AE519" s="23"/>
      <c r="AF519" s="23"/>
      <c r="AG519" s="23"/>
      <c r="AH519" s="23"/>
      <c r="AI519" s="49"/>
    </row>
    <row r="520" spans="1:35">
      <c r="A520" s="45"/>
      <c r="B520" s="42"/>
      <c r="C520" s="45"/>
      <c r="E520" s="45"/>
      <c r="G520" s="43"/>
      <c r="H520" s="44"/>
      <c r="L520" s="42"/>
      <c r="M520" s="42"/>
      <c r="N520" s="25"/>
      <c r="O520" s="54"/>
      <c r="P520"/>
      <c r="Q520" s="25"/>
      <c r="R520" s="54"/>
      <c r="W520" s="23"/>
      <c r="X520" s="23"/>
      <c r="Y520" s="23"/>
      <c r="Z520" s="43"/>
      <c r="AA520" s="23"/>
      <c r="AB520" s="23"/>
      <c r="AC520" s="23"/>
      <c r="AD520" s="23"/>
      <c r="AE520" s="23"/>
      <c r="AF520" s="23"/>
      <c r="AG520" s="23"/>
      <c r="AH520" s="23"/>
      <c r="AI520" s="48"/>
    </row>
    <row r="521" spans="1:35">
      <c r="A521" s="45"/>
      <c r="B521" s="42"/>
      <c r="C521" s="45"/>
      <c r="E521" s="45"/>
      <c r="G521" s="43"/>
      <c r="H521" s="44"/>
      <c r="L521" s="42"/>
      <c r="M521" s="42"/>
      <c r="N521" s="25"/>
      <c r="O521" s="54"/>
      <c r="P521"/>
      <c r="Q521" s="25"/>
      <c r="R521" s="54"/>
      <c r="W521" s="23"/>
      <c r="X521" s="23"/>
      <c r="Y521" s="23"/>
      <c r="Z521" s="43"/>
      <c r="AA521" s="23"/>
      <c r="AB521" s="23"/>
      <c r="AC521" s="23"/>
      <c r="AD521" s="23"/>
      <c r="AE521" s="23"/>
      <c r="AF521" s="23"/>
      <c r="AG521" s="23"/>
      <c r="AH521" s="23"/>
      <c r="AI521" s="48"/>
    </row>
    <row r="522" spans="1:35">
      <c r="A522" s="23"/>
      <c r="B522" s="42"/>
      <c r="G522" s="43"/>
      <c r="H522" s="44"/>
      <c r="L522" s="42"/>
      <c r="M522" s="42"/>
      <c r="N522" s="25"/>
      <c r="O522" s="54"/>
      <c r="P522"/>
      <c r="Q522" s="25"/>
      <c r="R522" s="54"/>
      <c r="W522" s="23"/>
      <c r="X522" s="23"/>
      <c r="Y522" s="23"/>
      <c r="Z522" s="43"/>
      <c r="AA522" s="23"/>
      <c r="AB522" s="23"/>
      <c r="AC522" s="23"/>
      <c r="AD522" s="23"/>
      <c r="AE522" s="23"/>
      <c r="AF522" s="23"/>
      <c r="AG522" s="23"/>
      <c r="AH522" s="23"/>
    </row>
    <row r="523" spans="1:35">
      <c r="A523" s="23"/>
      <c r="B523" s="42"/>
      <c r="G523" s="43"/>
      <c r="H523" s="44"/>
      <c r="L523" s="42"/>
      <c r="M523" s="42"/>
      <c r="N523" s="25"/>
      <c r="O523" s="54"/>
      <c r="P523"/>
      <c r="Q523" s="25"/>
      <c r="R523" s="54"/>
      <c r="W523" s="23"/>
      <c r="X523" s="23"/>
      <c r="Y523" s="23"/>
      <c r="Z523" s="43"/>
      <c r="AA523" s="23"/>
      <c r="AB523" s="23"/>
      <c r="AC523" s="23"/>
      <c r="AD523" s="23"/>
      <c r="AE523" s="23"/>
      <c r="AF523" s="23"/>
      <c r="AG523" s="23"/>
      <c r="AH523" s="23"/>
    </row>
    <row r="524" spans="1:35">
      <c r="A524" s="23"/>
      <c r="B524" s="42"/>
      <c r="G524" s="43"/>
      <c r="H524" s="44"/>
      <c r="L524" s="42"/>
      <c r="M524" s="42"/>
      <c r="N524" s="25"/>
      <c r="O524" s="54"/>
      <c r="P524"/>
      <c r="Q524" s="25"/>
      <c r="R524" s="54"/>
      <c r="W524" s="23"/>
      <c r="X524" s="23"/>
      <c r="Y524" s="23"/>
      <c r="Z524" s="43"/>
      <c r="AA524" s="23"/>
      <c r="AB524" s="23"/>
      <c r="AC524" s="23"/>
      <c r="AD524" s="23"/>
      <c r="AE524" s="23"/>
      <c r="AF524" s="23"/>
      <c r="AG524" s="23"/>
      <c r="AH524" s="23"/>
      <c r="AI524" s="23"/>
    </row>
    <row r="525" spans="1:35">
      <c r="A525" s="23"/>
      <c r="B525" s="42"/>
      <c r="C525" s="49"/>
      <c r="E525" s="49"/>
      <c r="G525" s="43"/>
      <c r="H525" s="44"/>
      <c r="L525" s="42"/>
      <c r="M525" s="42"/>
      <c r="N525" s="25"/>
      <c r="O525" s="54"/>
      <c r="P525"/>
      <c r="Q525" s="25"/>
      <c r="R525" s="54"/>
      <c r="W525" s="23"/>
      <c r="X525" s="23"/>
      <c r="Y525" s="23"/>
      <c r="Z525" s="43"/>
      <c r="AA525" s="23"/>
      <c r="AB525" s="23"/>
      <c r="AC525" s="23"/>
      <c r="AD525" s="23"/>
      <c r="AE525" s="23"/>
      <c r="AF525" s="23"/>
      <c r="AG525" s="23"/>
      <c r="AH525" s="23"/>
      <c r="AI525" s="49"/>
    </row>
    <row r="526" spans="1:35">
      <c r="A526" s="49"/>
      <c r="B526" s="42"/>
      <c r="C526" s="49"/>
      <c r="E526" s="49"/>
      <c r="G526" s="43"/>
      <c r="H526" s="44"/>
      <c r="L526" s="42"/>
      <c r="M526" s="42"/>
      <c r="N526" s="25"/>
      <c r="O526" s="54"/>
      <c r="P526"/>
      <c r="Q526" s="25"/>
      <c r="R526" s="54"/>
      <c r="W526" s="23"/>
      <c r="X526" s="23"/>
      <c r="Y526" s="23"/>
      <c r="Z526" s="43"/>
      <c r="AA526" s="23"/>
      <c r="AB526" s="23"/>
      <c r="AC526" s="23"/>
      <c r="AD526" s="23"/>
      <c r="AE526" s="23"/>
      <c r="AF526" s="23"/>
      <c r="AG526" s="23"/>
      <c r="AH526" s="23"/>
      <c r="AI526" s="49"/>
    </row>
    <row r="527" spans="1:35">
      <c r="B527" s="42"/>
      <c r="C527" s="49"/>
      <c r="E527" s="49"/>
      <c r="G527" s="43"/>
      <c r="H527" s="44"/>
      <c r="L527" s="42"/>
      <c r="M527" s="42"/>
      <c r="N527" s="25"/>
      <c r="O527" s="54"/>
      <c r="P527"/>
      <c r="Q527" s="25"/>
      <c r="R527" s="54"/>
      <c r="W527" s="23"/>
      <c r="X527" s="23"/>
      <c r="Y527" s="23"/>
      <c r="Z527" s="43"/>
      <c r="AA527" s="23"/>
      <c r="AB527" s="23"/>
      <c r="AC527" s="23"/>
      <c r="AD527" s="23"/>
      <c r="AE527" s="23"/>
      <c r="AF527" s="23"/>
      <c r="AG527" s="23"/>
      <c r="AH527" s="23"/>
      <c r="AI527" s="23"/>
    </row>
    <row r="528" spans="1:35">
      <c r="A528" s="49"/>
      <c r="B528" s="42"/>
      <c r="C528" s="49"/>
      <c r="E528" s="49"/>
      <c r="G528" s="43"/>
      <c r="H528" s="44"/>
      <c r="L528" s="42"/>
      <c r="M528" s="42"/>
      <c r="N528" s="25"/>
      <c r="O528" s="54"/>
      <c r="P528"/>
      <c r="Q528" s="25"/>
      <c r="R528" s="54"/>
      <c r="W528" s="23"/>
      <c r="X528" s="23"/>
      <c r="Y528" s="23"/>
      <c r="Z528" s="43"/>
      <c r="AA528" s="23"/>
      <c r="AB528" s="23"/>
      <c r="AC528" s="23"/>
      <c r="AD528" s="23"/>
      <c r="AE528" s="23"/>
      <c r="AF528" s="23"/>
      <c r="AG528" s="23"/>
      <c r="AH528" s="23"/>
      <c r="AI528" s="49"/>
    </row>
    <row r="529" spans="1:35">
      <c r="A529" s="23"/>
      <c r="B529" s="42"/>
      <c r="G529" s="43"/>
      <c r="H529" s="44"/>
      <c r="L529" s="42"/>
      <c r="M529" s="42"/>
      <c r="N529" s="25"/>
      <c r="O529" s="54"/>
      <c r="P529"/>
      <c r="Q529" s="25"/>
      <c r="R529" s="54"/>
      <c r="W529" s="23"/>
      <c r="X529" s="23"/>
      <c r="Y529" s="23"/>
      <c r="Z529" s="43"/>
      <c r="AA529" s="23"/>
      <c r="AB529" s="23"/>
      <c r="AC529" s="23"/>
      <c r="AD529" s="23"/>
      <c r="AE529" s="23"/>
      <c r="AF529" s="23"/>
      <c r="AG529" s="23"/>
      <c r="AH529" s="23"/>
      <c r="AI529" s="23"/>
    </row>
    <row r="530" spans="1:35">
      <c r="A530" s="23"/>
      <c r="B530" s="42"/>
      <c r="C530" s="49"/>
      <c r="E530" s="49"/>
      <c r="G530" s="43"/>
      <c r="H530" s="44"/>
      <c r="L530" s="42"/>
      <c r="M530" s="42"/>
      <c r="N530" s="25"/>
      <c r="O530" s="54"/>
      <c r="P530"/>
      <c r="Q530" s="25"/>
      <c r="R530" s="54"/>
      <c r="W530" s="23"/>
      <c r="X530" s="23"/>
      <c r="Y530" s="23"/>
      <c r="Z530" s="43"/>
      <c r="AA530" s="23"/>
      <c r="AB530" s="23"/>
      <c r="AC530" s="23"/>
      <c r="AD530" s="23"/>
      <c r="AE530" s="23"/>
      <c r="AF530" s="23"/>
      <c r="AG530" s="23"/>
      <c r="AH530" s="23"/>
      <c r="AI530" s="49"/>
    </row>
    <row r="531" spans="1:35">
      <c r="A531" s="23"/>
      <c r="B531" s="42"/>
      <c r="G531" s="43"/>
      <c r="H531" s="44"/>
      <c r="L531" s="42"/>
      <c r="M531" s="42"/>
      <c r="N531" s="25"/>
      <c r="O531" s="54"/>
      <c r="P531"/>
      <c r="Q531" s="25"/>
      <c r="R531" s="54"/>
      <c r="W531" s="23"/>
      <c r="X531" s="23"/>
      <c r="Y531" s="23"/>
      <c r="Z531" s="43"/>
      <c r="AA531" s="23"/>
      <c r="AB531" s="23"/>
      <c r="AC531" s="23"/>
      <c r="AD531" s="23"/>
      <c r="AE531" s="23"/>
      <c r="AF531" s="23"/>
      <c r="AG531" s="23"/>
      <c r="AH531" s="23"/>
      <c r="AI531" s="23"/>
    </row>
    <row r="532" spans="1:35">
      <c r="B532" s="42"/>
      <c r="C532" s="49"/>
      <c r="E532" s="49"/>
      <c r="G532" s="43"/>
      <c r="H532" s="44"/>
      <c r="L532" s="42"/>
      <c r="M532" s="42"/>
      <c r="N532" s="25"/>
      <c r="O532" s="54"/>
      <c r="P532"/>
      <c r="Q532" s="25"/>
      <c r="R532" s="54"/>
      <c r="W532" s="23"/>
      <c r="X532" s="23"/>
      <c r="Y532" s="23"/>
      <c r="Z532" s="43"/>
      <c r="AA532" s="23"/>
      <c r="AB532" s="23"/>
      <c r="AC532" s="23"/>
      <c r="AD532" s="23"/>
      <c r="AE532" s="23"/>
      <c r="AF532" s="23"/>
      <c r="AG532" s="23"/>
      <c r="AH532" s="23"/>
      <c r="AI532" s="23"/>
    </row>
    <row r="533" spans="1:35">
      <c r="A533" s="23"/>
      <c r="B533" s="42"/>
      <c r="C533" s="49"/>
      <c r="E533" s="49"/>
      <c r="G533" s="43"/>
      <c r="H533" s="44"/>
      <c r="L533" s="42"/>
      <c r="M533" s="42"/>
      <c r="N533" s="25"/>
      <c r="O533" s="54"/>
      <c r="P533"/>
      <c r="Q533" s="25"/>
      <c r="R533" s="54"/>
      <c r="W533" s="23"/>
      <c r="X533" s="23"/>
      <c r="Y533" s="23"/>
      <c r="Z533" s="43"/>
      <c r="AA533" s="23"/>
      <c r="AB533" s="23"/>
      <c r="AC533" s="23"/>
      <c r="AD533" s="23"/>
      <c r="AE533" s="23"/>
      <c r="AF533" s="23"/>
      <c r="AG533" s="23"/>
      <c r="AH533" s="23"/>
      <c r="AI533" s="49"/>
    </row>
    <row r="534" spans="1:35">
      <c r="A534" s="23"/>
      <c r="B534" s="42"/>
      <c r="G534" s="43"/>
      <c r="H534" s="44"/>
      <c r="L534" s="42"/>
      <c r="M534" s="42"/>
      <c r="N534" s="25"/>
      <c r="O534" s="54"/>
      <c r="P534"/>
      <c r="Q534" s="25"/>
      <c r="R534" s="54"/>
      <c r="W534" s="23"/>
      <c r="X534" s="23"/>
      <c r="Y534" s="23"/>
      <c r="Z534" s="43"/>
      <c r="AA534" s="23"/>
      <c r="AB534" s="23"/>
      <c r="AC534" s="23"/>
      <c r="AD534" s="23"/>
      <c r="AE534" s="23"/>
      <c r="AF534" s="23"/>
      <c r="AG534" s="23"/>
      <c r="AH534" s="23"/>
    </row>
    <row r="535" spans="1:35">
      <c r="A535" s="23"/>
      <c r="B535" s="42"/>
      <c r="C535" s="49"/>
      <c r="E535" s="49"/>
      <c r="G535" s="43"/>
      <c r="H535" s="44"/>
      <c r="L535" s="42"/>
      <c r="M535" s="42"/>
      <c r="N535" s="25"/>
      <c r="O535" s="54"/>
      <c r="P535"/>
      <c r="Q535" s="25"/>
      <c r="R535" s="54"/>
      <c r="W535" s="23"/>
      <c r="X535" s="23"/>
      <c r="Y535" s="23"/>
      <c r="Z535" s="43"/>
      <c r="AA535" s="23"/>
      <c r="AB535" s="23"/>
      <c r="AC535" s="23"/>
      <c r="AD535" s="23"/>
      <c r="AE535" s="23"/>
      <c r="AF535" s="23"/>
      <c r="AG535" s="23"/>
      <c r="AH535" s="23"/>
      <c r="AI535" s="49"/>
    </row>
    <row r="536" spans="1:35">
      <c r="A536" s="23"/>
      <c r="B536" s="42"/>
      <c r="G536" s="43"/>
      <c r="H536" s="44"/>
      <c r="L536" s="42"/>
      <c r="M536" s="42"/>
      <c r="N536" s="25"/>
      <c r="O536" s="54"/>
      <c r="P536"/>
      <c r="Q536" s="25"/>
      <c r="R536" s="54"/>
      <c r="W536" s="23"/>
      <c r="X536" s="23"/>
      <c r="Y536" s="23"/>
      <c r="Z536" s="43"/>
      <c r="AA536" s="23"/>
      <c r="AB536" s="23"/>
      <c r="AC536" s="23"/>
      <c r="AD536" s="23"/>
      <c r="AE536" s="23"/>
      <c r="AF536" s="23"/>
      <c r="AG536" s="23"/>
      <c r="AH536" s="23"/>
    </row>
    <row r="537" spans="1:35">
      <c r="B537" s="42"/>
      <c r="C537" s="49"/>
      <c r="E537" s="49"/>
      <c r="G537" s="43"/>
      <c r="H537" s="44"/>
      <c r="L537" s="42"/>
      <c r="M537" s="42"/>
      <c r="N537" s="25"/>
      <c r="O537" s="54"/>
      <c r="P537"/>
      <c r="Q537" s="25"/>
      <c r="R537" s="54"/>
      <c r="W537" s="23"/>
      <c r="X537" s="23"/>
      <c r="Y537" s="23"/>
      <c r="Z537" s="43"/>
      <c r="AA537" s="23"/>
      <c r="AB537" s="23"/>
      <c r="AC537" s="23"/>
      <c r="AD537" s="23"/>
      <c r="AE537" s="23"/>
      <c r="AF537" s="23"/>
      <c r="AG537" s="23"/>
      <c r="AH537" s="23"/>
      <c r="AI537" s="23"/>
    </row>
    <row r="538" spans="1:35">
      <c r="A538" s="23"/>
      <c r="B538" s="42"/>
      <c r="G538" s="43"/>
      <c r="H538" s="44"/>
      <c r="L538" s="42"/>
      <c r="M538" s="42"/>
      <c r="N538" s="25"/>
      <c r="O538" s="54"/>
      <c r="P538"/>
      <c r="Q538" s="25"/>
      <c r="R538" s="54"/>
      <c r="W538" s="23"/>
      <c r="X538" s="23"/>
      <c r="Y538" s="23"/>
      <c r="Z538" s="43"/>
      <c r="AA538" s="23"/>
      <c r="AB538" s="23"/>
      <c r="AC538" s="23"/>
      <c r="AD538" s="23"/>
      <c r="AE538" s="23"/>
      <c r="AF538" s="23"/>
      <c r="AG538" s="23"/>
      <c r="AH538" s="23"/>
      <c r="AI538" s="23"/>
    </row>
    <row r="539" spans="1:35">
      <c r="A539" s="23"/>
      <c r="B539" s="42"/>
      <c r="C539" s="49"/>
      <c r="E539" s="49"/>
      <c r="G539" s="43"/>
      <c r="H539" s="44"/>
      <c r="L539" s="42"/>
      <c r="M539" s="42"/>
      <c r="N539" s="25"/>
      <c r="O539" s="54"/>
      <c r="P539"/>
      <c r="Q539" s="25"/>
      <c r="R539" s="54"/>
      <c r="W539" s="23"/>
      <c r="X539" s="23"/>
      <c r="Y539" s="23"/>
      <c r="Z539" s="43"/>
      <c r="AA539" s="23"/>
      <c r="AB539" s="23"/>
      <c r="AC539" s="23"/>
      <c r="AD539" s="23"/>
      <c r="AE539" s="23"/>
      <c r="AF539" s="23"/>
      <c r="AG539" s="23"/>
      <c r="AH539" s="23"/>
      <c r="AI539" s="49"/>
    </row>
    <row r="540" spans="1:35">
      <c r="A540" s="23"/>
      <c r="B540" s="42"/>
      <c r="C540" s="49"/>
      <c r="E540" s="49"/>
      <c r="G540" s="43"/>
      <c r="H540" s="44"/>
      <c r="L540" s="42"/>
      <c r="M540" s="42"/>
      <c r="N540" s="25"/>
      <c r="O540" s="54"/>
      <c r="P540"/>
      <c r="Q540" s="25"/>
      <c r="R540" s="54"/>
      <c r="W540" s="23"/>
      <c r="X540" s="23"/>
      <c r="Y540" s="23"/>
      <c r="Z540" s="43"/>
      <c r="AA540" s="23"/>
      <c r="AB540" s="23"/>
      <c r="AC540" s="23"/>
      <c r="AD540" s="23"/>
      <c r="AE540" s="23"/>
      <c r="AF540" s="23"/>
      <c r="AG540" s="23"/>
      <c r="AH540" s="23"/>
      <c r="AI540" s="49"/>
    </row>
    <row r="541" spans="1:35">
      <c r="A541" s="23"/>
      <c r="B541" s="42"/>
      <c r="C541" s="49"/>
      <c r="E541" s="49"/>
      <c r="G541" s="43"/>
      <c r="H541" s="44"/>
      <c r="L541" s="42"/>
      <c r="M541" s="42"/>
      <c r="N541" s="25"/>
      <c r="O541" s="54"/>
      <c r="P541"/>
      <c r="Q541" s="25"/>
      <c r="R541" s="54"/>
      <c r="W541" s="23"/>
      <c r="X541" s="23"/>
      <c r="Y541" s="23"/>
      <c r="Z541" s="43"/>
      <c r="AA541" s="23"/>
      <c r="AB541" s="23"/>
      <c r="AC541" s="23"/>
      <c r="AD541" s="23"/>
      <c r="AE541" s="23"/>
      <c r="AF541" s="23"/>
      <c r="AG541" s="23"/>
      <c r="AH541" s="23"/>
      <c r="AI541" s="49"/>
    </row>
    <row r="542" spans="1:35">
      <c r="A542" s="49"/>
      <c r="B542" s="42"/>
      <c r="C542" s="49"/>
      <c r="E542" s="49"/>
      <c r="G542" s="43"/>
      <c r="H542" s="44"/>
      <c r="L542" s="42"/>
      <c r="M542" s="42"/>
      <c r="N542" s="25"/>
      <c r="O542" s="54"/>
      <c r="P542"/>
      <c r="Q542" s="25"/>
      <c r="R542" s="54"/>
      <c r="W542" s="23"/>
      <c r="X542" s="23"/>
      <c r="Y542" s="23"/>
      <c r="Z542" s="43"/>
      <c r="AA542" s="23"/>
      <c r="AB542" s="23"/>
      <c r="AC542" s="23"/>
      <c r="AD542" s="23"/>
      <c r="AE542" s="23"/>
      <c r="AF542" s="23"/>
      <c r="AG542" s="23"/>
      <c r="AH542" s="23"/>
      <c r="AI542" s="49"/>
    </row>
    <row r="543" spans="1:35">
      <c r="A543" s="45"/>
      <c r="B543" s="42"/>
      <c r="C543" s="45"/>
      <c r="E543" s="45"/>
      <c r="G543" s="43"/>
      <c r="H543" s="44"/>
      <c r="L543" s="42"/>
      <c r="M543" s="42"/>
      <c r="N543" s="25"/>
      <c r="O543" s="54"/>
      <c r="P543"/>
      <c r="Q543" s="25"/>
      <c r="R543" s="54"/>
      <c r="W543" s="23"/>
      <c r="X543" s="23"/>
      <c r="Y543" s="23"/>
      <c r="Z543" s="43"/>
      <c r="AA543" s="23"/>
      <c r="AB543" s="23"/>
      <c r="AC543" s="23"/>
      <c r="AD543" s="23"/>
      <c r="AE543" s="23"/>
      <c r="AF543" s="23"/>
      <c r="AG543" s="23"/>
      <c r="AH543" s="23"/>
      <c r="AI543" s="48"/>
    </row>
    <row r="544" spans="1:35">
      <c r="B544" s="42"/>
      <c r="C544" s="49"/>
      <c r="E544" s="49"/>
      <c r="G544" s="43"/>
      <c r="H544" s="44"/>
      <c r="L544" s="42"/>
      <c r="M544" s="42"/>
      <c r="N544" s="25"/>
      <c r="O544" s="54"/>
      <c r="P544"/>
      <c r="Q544" s="25"/>
      <c r="R544" s="54"/>
      <c r="W544" s="23"/>
      <c r="X544" s="23"/>
      <c r="Y544" s="23"/>
      <c r="Z544" s="43"/>
      <c r="AA544" s="23"/>
      <c r="AB544" s="23"/>
      <c r="AC544" s="23"/>
      <c r="AD544" s="23"/>
      <c r="AE544" s="23"/>
      <c r="AF544" s="23"/>
      <c r="AG544" s="23"/>
      <c r="AH544" s="23"/>
      <c r="AI544" s="23"/>
    </row>
    <row r="545" spans="1:35">
      <c r="A545" s="23"/>
      <c r="B545" s="42"/>
      <c r="G545" s="43"/>
      <c r="H545" s="44"/>
      <c r="L545" s="42"/>
      <c r="M545" s="42"/>
      <c r="N545" s="25"/>
      <c r="O545" s="54"/>
      <c r="P545"/>
      <c r="Q545" s="25"/>
      <c r="R545" s="54"/>
      <c r="W545" s="23"/>
      <c r="X545" s="23"/>
      <c r="Y545" s="23"/>
      <c r="Z545" s="43"/>
      <c r="AA545" s="23"/>
      <c r="AB545" s="23"/>
      <c r="AC545" s="23"/>
      <c r="AD545" s="23"/>
      <c r="AE545" s="23"/>
      <c r="AF545" s="23"/>
      <c r="AG545" s="23"/>
      <c r="AH545" s="23"/>
      <c r="AI545" s="23"/>
    </row>
    <row r="546" spans="1:35">
      <c r="A546" s="23"/>
      <c r="B546" s="42"/>
      <c r="C546" s="49"/>
      <c r="E546" s="49"/>
      <c r="G546" s="43"/>
      <c r="H546" s="44"/>
      <c r="L546" s="42"/>
      <c r="M546" s="42"/>
      <c r="N546" s="25"/>
      <c r="O546" s="54"/>
      <c r="P546"/>
      <c r="Q546" s="25"/>
      <c r="R546" s="54"/>
      <c r="W546" s="23"/>
      <c r="X546" s="23"/>
      <c r="Y546" s="23"/>
      <c r="Z546" s="43"/>
      <c r="AA546" s="23"/>
      <c r="AB546" s="23"/>
      <c r="AC546" s="23"/>
      <c r="AD546" s="23"/>
      <c r="AE546" s="23"/>
      <c r="AF546" s="23"/>
      <c r="AG546" s="23"/>
      <c r="AH546" s="23"/>
      <c r="AI546" s="49"/>
    </row>
    <row r="547" spans="1:35">
      <c r="A547" s="23"/>
      <c r="B547" s="42"/>
      <c r="G547" s="43"/>
      <c r="H547" s="44"/>
      <c r="L547" s="42"/>
      <c r="M547" s="42"/>
      <c r="N547" s="25"/>
      <c r="O547" s="54"/>
      <c r="P547"/>
      <c r="Q547" s="25"/>
      <c r="R547" s="54"/>
      <c r="W547" s="23"/>
      <c r="X547" s="23"/>
      <c r="Y547" s="23"/>
      <c r="Z547" s="43"/>
      <c r="AA547" s="23"/>
      <c r="AB547" s="23"/>
      <c r="AC547" s="23"/>
      <c r="AD547" s="23"/>
      <c r="AE547" s="23"/>
      <c r="AF547" s="23"/>
      <c r="AG547" s="23"/>
      <c r="AH547" s="23"/>
      <c r="AI547" s="23"/>
    </row>
    <row r="548" spans="1:35">
      <c r="A548" s="23"/>
      <c r="B548" s="42"/>
      <c r="C548" s="49"/>
      <c r="E548" s="49"/>
      <c r="G548" s="43"/>
      <c r="H548" s="44"/>
      <c r="L548" s="42"/>
      <c r="M548" s="42"/>
      <c r="N548" s="25"/>
      <c r="O548" s="54"/>
      <c r="P548"/>
      <c r="Q548" s="25"/>
      <c r="R548" s="54"/>
      <c r="W548" s="23"/>
      <c r="X548" s="23"/>
      <c r="Y548" s="23"/>
      <c r="Z548" s="43"/>
      <c r="AA548" s="23"/>
      <c r="AB548" s="23"/>
      <c r="AC548" s="23"/>
      <c r="AD548" s="23"/>
      <c r="AE548" s="23"/>
      <c r="AF548" s="23"/>
      <c r="AG548" s="23"/>
      <c r="AH548" s="23"/>
      <c r="AI548" s="49"/>
    </row>
    <row r="549" spans="1:35">
      <c r="A549" s="50"/>
      <c r="B549" s="42"/>
      <c r="C549" s="49"/>
      <c r="E549" s="49"/>
      <c r="G549" s="43"/>
      <c r="H549" s="44"/>
      <c r="L549" s="42"/>
      <c r="M549" s="42"/>
      <c r="N549" s="25"/>
      <c r="O549" s="54"/>
      <c r="P549"/>
      <c r="Q549" s="25"/>
      <c r="R549" s="54"/>
      <c r="W549" s="23"/>
      <c r="X549" s="23"/>
      <c r="Y549" s="23"/>
      <c r="Z549" s="43"/>
      <c r="AA549" s="23"/>
      <c r="AB549" s="23"/>
      <c r="AC549" s="23"/>
      <c r="AD549" s="23"/>
      <c r="AE549" s="23"/>
      <c r="AF549" s="23"/>
      <c r="AG549" s="23"/>
      <c r="AH549" s="23"/>
      <c r="AI549" s="49"/>
    </row>
    <row r="550" spans="1:35">
      <c r="A550" s="49"/>
      <c r="B550" s="42"/>
      <c r="C550" s="49"/>
      <c r="E550" s="49"/>
      <c r="G550" s="43"/>
      <c r="H550" s="44"/>
      <c r="L550" s="42"/>
      <c r="M550" s="42"/>
      <c r="N550" s="25"/>
      <c r="O550" s="54"/>
      <c r="P550"/>
      <c r="Q550" s="25"/>
      <c r="R550" s="54"/>
      <c r="W550" s="23"/>
      <c r="X550" s="23"/>
      <c r="Y550" s="23"/>
      <c r="Z550" s="43"/>
      <c r="AA550" s="23"/>
      <c r="AB550" s="23"/>
      <c r="AC550" s="23"/>
      <c r="AD550" s="23"/>
      <c r="AE550" s="23"/>
      <c r="AF550" s="23"/>
      <c r="AG550" s="23"/>
      <c r="AH550" s="23"/>
      <c r="AI550" s="49"/>
    </row>
    <row r="551" spans="1:35">
      <c r="A551" s="23"/>
      <c r="B551" s="42"/>
      <c r="C551" s="49"/>
      <c r="E551" s="49"/>
      <c r="G551" s="43"/>
      <c r="H551" s="44"/>
      <c r="L551" s="42"/>
      <c r="M551" s="42"/>
      <c r="N551" s="25"/>
      <c r="O551" s="54"/>
      <c r="P551"/>
      <c r="Q551" s="25"/>
      <c r="R551" s="54"/>
      <c r="W551" s="23"/>
      <c r="X551" s="23"/>
      <c r="Y551" s="23"/>
      <c r="Z551" s="43"/>
      <c r="AA551" s="23"/>
      <c r="AB551" s="23"/>
      <c r="AC551" s="23"/>
      <c r="AD551" s="23"/>
      <c r="AE551" s="23"/>
      <c r="AF551" s="23"/>
      <c r="AG551" s="23"/>
      <c r="AH551" s="23"/>
      <c r="AI551" s="49"/>
    </row>
    <row r="552" spans="1:35">
      <c r="A552" s="23"/>
      <c r="B552" s="42"/>
      <c r="C552" s="49"/>
      <c r="E552" s="49"/>
      <c r="G552" s="43"/>
      <c r="H552" s="44"/>
      <c r="L552" s="42"/>
      <c r="M552" s="42"/>
      <c r="N552" s="25"/>
      <c r="O552" s="54"/>
      <c r="P552"/>
      <c r="Q552" s="25"/>
      <c r="R552" s="54"/>
      <c r="W552" s="23"/>
      <c r="X552" s="23"/>
      <c r="Y552" s="23"/>
      <c r="Z552" s="43"/>
      <c r="AA552" s="23"/>
      <c r="AB552" s="23"/>
      <c r="AC552" s="23"/>
      <c r="AD552" s="23"/>
      <c r="AE552" s="23"/>
      <c r="AF552" s="23"/>
      <c r="AG552" s="23"/>
      <c r="AH552" s="23"/>
      <c r="AI552" s="49"/>
    </row>
    <row r="553" spans="1:35">
      <c r="A553" s="23"/>
      <c r="B553" s="42"/>
      <c r="G553" s="43"/>
      <c r="H553" s="44"/>
      <c r="L553" s="42"/>
      <c r="M553" s="42"/>
      <c r="N553" s="25"/>
      <c r="O553" s="54"/>
      <c r="P553"/>
      <c r="Q553" s="25"/>
      <c r="R553" s="54"/>
      <c r="W553" s="23"/>
      <c r="X553" s="23"/>
      <c r="Y553" s="23"/>
      <c r="Z553" s="43"/>
      <c r="AA553" s="23"/>
      <c r="AB553" s="23"/>
      <c r="AC553" s="23"/>
      <c r="AD553" s="23"/>
      <c r="AE553" s="23"/>
      <c r="AF553" s="23"/>
      <c r="AG553" s="23"/>
      <c r="AH553" s="23"/>
      <c r="AI553" s="23"/>
    </row>
    <row r="554" spans="1:35">
      <c r="A554" s="23"/>
      <c r="B554" s="42"/>
      <c r="C554" s="49"/>
      <c r="E554" s="49"/>
      <c r="G554" s="43"/>
      <c r="H554" s="44"/>
      <c r="L554" s="42"/>
      <c r="M554" s="42"/>
      <c r="N554" s="25"/>
      <c r="O554" s="54"/>
      <c r="P554"/>
      <c r="Q554" s="25"/>
      <c r="R554" s="54"/>
      <c r="W554" s="23"/>
      <c r="X554" s="23"/>
      <c r="Y554" s="23"/>
      <c r="Z554" s="43"/>
      <c r="AA554" s="23"/>
      <c r="AB554" s="23"/>
      <c r="AC554" s="23"/>
      <c r="AD554" s="23"/>
      <c r="AE554" s="23"/>
      <c r="AF554" s="23"/>
      <c r="AG554" s="23"/>
      <c r="AH554" s="23"/>
      <c r="AI554" s="49"/>
    </row>
    <row r="555" spans="1:35">
      <c r="A555" s="23"/>
      <c r="B555" s="42"/>
      <c r="C555" s="49"/>
      <c r="E555" s="49"/>
      <c r="G555" s="43"/>
      <c r="H555" s="44"/>
      <c r="L555" s="42"/>
      <c r="M555" s="42"/>
      <c r="N555" s="25"/>
      <c r="O555" s="54"/>
      <c r="P555"/>
      <c r="Q555" s="25"/>
      <c r="R555" s="54"/>
      <c r="W555" s="23"/>
      <c r="X555" s="23"/>
      <c r="Y555" s="23"/>
      <c r="Z555" s="43"/>
      <c r="AA555" s="23"/>
      <c r="AB555" s="23"/>
      <c r="AC555" s="23"/>
      <c r="AD555" s="23"/>
      <c r="AE555" s="23"/>
      <c r="AF555" s="23"/>
      <c r="AG555" s="23"/>
      <c r="AH555" s="23"/>
      <c r="AI555" s="49"/>
    </row>
    <row r="556" spans="1:35">
      <c r="A556" s="23"/>
      <c r="B556" s="42"/>
      <c r="C556" s="49"/>
      <c r="E556" s="49"/>
      <c r="G556" s="43"/>
      <c r="H556" s="44"/>
      <c r="L556" s="42"/>
      <c r="M556" s="42"/>
      <c r="N556" s="25"/>
      <c r="O556" s="54"/>
      <c r="P556"/>
      <c r="Q556" s="25"/>
      <c r="R556" s="54"/>
      <c r="W556" s="23"/>
      <c r="X556" s="23"/>
      <c r="Y556" s="23"/>
      <c r="Z556" s="43"/>
      <c r="AA556" s="23"/>
      <c r="AB556" s="23"/>
      <c r="AC556" s="23"/>
      <c r="AD556" s="23"/>
      <c r="AE556" s="23"/>
      <c r="AF556" s="23"/>
      <c r="AG556" s="23"/>
      <c r="AH556" s="23"/>
      <c r="AI556" s="49"/>
    </row>
    <row r="557" spans="1:35">
      <c r="A557" s="23"/>
      <c r="B557" s="42"/>
      <c r="C557" s="49"/>
      <c r="E557" s="49"/>
      <c r="G557" s="43"/>
      <c r="H557" s="44"/>
      <c r="L557" s="42"/>
      <c r="M557" s="42"/>
      <c r="N557" s="25"/>
      <c r="O557" s="54"/>
      <c r="P557"/>
      <c r="Q557" s="25"/>
      <c r="R557" s="54"/>
      <c r="W557" s="23"/>
      <c r="X557" s="23"/>
      <c r="Y557" s="23"/>
      <c r="Z557" s="43"/>
      <c r="AA557" s="23"/>
      <c r="AB557" s="23"/>
      <c r="AC557" s="23"/>
      <c r="AD557" s="23"/>
      <c r="AE557" s="23"/>
      <c r="AF557" s="23"/>
      <c r="AG557" s="23"/>
      <c r="AH557" s="23"/>
      <c r="AI557" s="49"/>
    </row>
    <row r="558" spans="1:35">
      <c r="A558" s="49"/>
      <c r="B558" s="42"/>
      <c r="C558" s="49"/>
      <c r="E558" s="49"/>
      <c r="G558" s="43"/>
      <c r="H558" s="44"/>
      <c r="L558" s="42"/>
      <c r="M558" s="42"/>
      <c r="N558" s="25"/>
      <c r="O558" s="54"/>
      <c r="P558"/>
      <c r="Q558" s="25"/>
      <c r="R558" s="54"/>
      <c r="W558" s="23"/>
      <c r="X558" s="23"/>
      <c r="Y558" s="23"/>
      <c r="Z558" s="43"/>
      <c r="AA558" s="23"/>
      <c r="AB558" s="23"/>
      <c r="AC558" s="23"/>
      <c r="AD558" s="23"/>
      <c r="AE558" s="23"/>
      <c r="AF558" s="23"/>
      <c r="AG558" s="23"/>
      <c r="AH558" s="23"/>
      <c r="AI558" s="49"/>
    </row>
    <row r="559" spans="1:35">
      <c r="A559" s="23"/>
      <c r="B559" s="42"/>
      <c r="G559" s="43"/>
      <c r="H559" s="44"/>
      <c r="L559" s="42"/>
      <c r="M559" s="42"/>
      <c r="N559" s="25"/>
      <c r="O559" s="54"/>
      <c r="P559"/>
      <c r="Q559" s="25"/>
      <c r="R559" s="54"/>
      <c r="W559" s="23"/>
      <c r="X559" s="23"/>
      <c r="Y559" s="23"/>
      <c r="Z559" s="43"/>
      <c r="AA559" s="23"/>
      <c r="AB559" s="23"/>
      <c r="AC559" s="23"/>
      <c r="AD559" s="23"/>
      <c r="AE559" s="23"/>
      <c r="AF559" s="23"/>
      <c r="AG559" s="23"/>
      <c r="AH559" s="23"/>
      <c r="AI559" s="23"/>
    </row>
    <row r="560" spans="1:35">
      <c r="A560" s="23"/>
      <c r="B560" s="42"/>
      <c r="C560" s="49"/>
      <c r="E560" s="49"/>
      <c r="G560" s="43"/>
      <c r="H560" s="44"/>
      <c r="L560" s="42"/>
      <c r="M560" s="42"/>
      <c r="N560" s="25"/>
      <c r="O560" s="54"/>
      <c r="P560"/>
      <c r="Q560" s="25"/>
      <c r="R560" s="54"/>
      <c r="W560" s="23"/>
      <c r="X560" s="23"/>
      <c r="Y560" s="23"/>
      <c r="Z560" s="43"/>
      <c r="AA560" s="23"/>
      <c r="AB560" s="23"/>
      <c r="AC560" s="23"/>
      <c r="AD560" s="23"/>
      <c r="AE560" s="23"/>
      <c r="AF560" s="23"/>
      <c r="AG560" s="23"/>
      <c r="AH560" s="23"/>
      <c r="AI560" s="49"/>
    </row>
    <row r="561" spans="1:35">
      <c r="A561" s="23"/>
      <c r="B561" s="42"/>
      <c r="G561" s="43"/>
      <c r="H561" s="44"/>
      <c r="L561" s="42"/>
      <c r="M561" s="42"/>
      <c r="N561" s="25"/>
      <c r="O561" s="54"/>
      <c r="P561"/>
      <c r="Q561" s="25"/>
      <c r="R561" s="54"/>
      <c r="W561" s="23"/>
      <c r="X561" s="23"/>
      <c r="Y561" s="23"/>
      <c r="Z561" s="43"/>
      <c r="AA561" s="23"/>
      <c r="AB561" s="23"/>
      <c r="AC561" s="23"/>
      <c r="AD561" s="23"/>
      <c r="AE561" s="23"/>
      <c r="AF561" s="23"/>
      <c r="AG561" s="23"/>
      <c r="AH561" s="23"/>
      <c r="AI561" s="23"/>
    </row>
    <row r="562" spans="1:35">
      <c r="A562" s="23"/>
      <c r="B562" s="42"/>
      <c r="C562" s="49"/>
      <c r="E562" s="49"/>
      <c r="G562" s="43"/>
      <c r="H562" s="44"/>
      <c r="L562" s="42"/>
      <c r="M562" s="42"/>
      <c r="N562" s="25"/>
      <c r="O562" s="54"/>
      <c r="P562"/>
      <c r="Q562" s="25"/>
      <c r="R562" s="54"/>
      <c r="W562" s="23"/>
      <c r="X562" s="23"/>
      <c r="Y562" s="23"/>
      <c r="Z562" s="43"/>
      <c r="AA562" s="23"/>
      <c r="AB562" s="23"/>
      <c r="AC562" s="23"/>
      <c r="AD562" s="23"/>
      <c r="AE562" s="23"/>
      <c r="AF562" s="23"/>
      <c r="AG562" s="23"/>
      <c r="AH562" s="23"/>
      <c r="AI562" s="49"/>
    </row>
    <row r="563" spans="1:35">
      <c r="A563" s="23"/>
      <c r="B563" s="42"/>
      <c r="C563" s="49"/>
      <c r="E563" s="49"/>
      <c r="G563" s="43"/>
      <c r="H563" s="44"/>
      <c r="L563" s="42"/>
      <c r="M563" s="42"/>
      <c r="N563" s="25"/>
      <c r="O563" s="54"/>
      <c r="P563"/>
      <c r="Q563" s="25"/>
      <c r="R563" s="54"/>
      <c r="W563" s="23"/>
      <c r="X563" s="23"/>
      <c r="Y563" s="23"/>
      <c r="Z563" s="43"/>
      <c r="AA563" s="23"/>
      <c r="AB563" s="23"/>
      <c r="AC563" s="23"/>
      <c r="AD563" s="23"/>
      <c r="AE563" s="23"/>
      <c r="AF563" s="23"/>
      <c r="AG563" s="23"/>
      <c r="AH563" s="23"/>
      <c r="AI563" s="49"/>
    </row>
    <row r="564" spans="1:35">
      <c r="A564" s="23"/>
      <c r="B564" s="42"/>
      <c r="C564" s="49"/>
      <c r="E564" s="49"/>
      <c r="G564" s="43"/>
      <c r="H564" s="44"/>
      <c r="L564" s="42"/>
      <c r="M564" s="42"/>
      <c r="N564" s="25"/>
      <c r="O564" s="54"/>
      <c r="P564"/>
      <c r="Q564" s="25"/>
      <c r="R564" s="54"/>
      <c r="W564" s="23"/>
      <c r="X564" s="23"/>
      <c r="Y564" s="23"/>
      <c r="Z564" s="43"/>
      <c r="AA564" s="23"/>
      <c r="AB564" s="23"/>
      <c r="AC564" s="23"/>
      <c r="AD564" s="23"/>
      <c r="AE564" s="23"/>
      <c r="AF564" s="23"/>
      <c r="AG564" s="23"/>
      <c r="AH564" s="23"/>
      <c r="AI564" s="49"/>
    </row>
    <row r="565" spans="1:35">
      <c r="A565" s="23"/>
      <c r="B565" s="42"/>
      <c r="C565" s="49"/>
      <c r="E565" s="49"/>
      <c r="G565" s="43"/>
      <c r="H565" s="44"/>
      <c r="L565" s="42"/>
      <c r="M565" s="42"/>
      <c r="N565" s="25"/>
      <c r="O565" s="54"/>
      <c r="P565"/>
      <c r="Q565" s="25"/>
      <c r="R565" s="54"/>
      <c r="W565" s="23"/>
      <c r="X565" s="23"/>
      <c r="Y565" s="23"/>
      <c r="Z565" s="43"/>
      <c r="AA565" s="23"/>
      <c r="AB565" s="23"/>
      <c r="AC565" s="23"/>
      <c r="AD565" s="23"/>
      <c r="AE565" s="23"/>
      <c r="AF565" s="23"/>
      <c r="AG565" s="23"/>
      <c r="AH565" s="23"/>
      <c r="AI565" s="49"/>
    </row>
    <row r="566" spans="1:35">
      <c r="A566" s="23"/>
      <c r="B566" s="42"/>
      <c r="C566" s="49"/>
      <c r="E566" s="49"/>
      <c r="G566" s="43"/>
      <c r="H566" s="44"/>
      <c r="L566" s="42"/>
      <c r="M566" s="42"/>
      <c r="N566" s="25"/>
      <c r="O566" s="54"/>
      <c r="P566"/>
      <c r="Q566" s="25"/>
      <c r="R566" s="54"/>
      <c r="W566" s="23"/>
      <c r="X566" s="23"/>
      <c r="Y566" s="23"/>
      <c r="Z566" s="43"/>
      <c r="AA566" s="23"/>
      <c r="AB566" s="23"/>
      <c r="AC566" s="23"/>
      <c r="AD566" s="23"/>
      <c r="AE566" s="23"/>
      <c r="AF566" s="23"/>
      <c r="AG566" s="23"/>
      <c r="AH566" s="23"/>
      <c r="AI566" s="49"/>
    </row>
    <row r="567" spans="1:35">
      <c r="A567" s="23"/>
      <c r="B567" s="42"/>
      <c r="G567" s="43"/>
      <c r="H567" s="44"/>
      <c r="L567" s="42"/>
      <c r="M567" s="42"/>
      <c r="N567" s="25"/>
      <c r="O567" s="54"/>
      <c r="P567"/>
      <c r="Q567" s="25"/>
      <c r="R567" s="54"/>
      <c r="W567" s="23"/>
      <c r="X567" s="23"/>
      <c r="Y567" s="23"/>
      <c r="Z567" s="43"/>
      <c r="AA567" s="23"/>
      <c r="AB567" s="23"/>
      <c r="AC567" s="23"/>
      <c r="AD567" s="23"/>
      <c r="AE567" s="23"/>
      <c r="AF567" s="23"/>
      <c r="AG567" s="23"/>
      <c r="AH567" s="23"/>
      <c r="AI567" s="23"/>
    </row>
    <row r="568" spans="1:35">
      <c r="A568" s="23"/>
      <c r="B568" s="42"/>
      <c r="C568" s="49"/>
      <c r="E568" s="49"/>
      <c r="G568" s="43"/>
      <c r="H568" s="44"/>
      <c r="L568" s="42"/>
      <c r="M568" s="42"/>
      <c r="N568" s="25"/>
      <c r="O568" s="54"/>
      <c r="P568"/>
      <c r="Q568" s="25"/>
      <c r="R568" s="54"/>
      <c r="W568" s="23"/>
      <c r="X568" s="23"/>
      <c r="Y568" s="23"/>
      <c r="Z568" s="43"/>
      <c r="AA568" s="23"/>
      <c r="AB568" s="23"/>
      <c r="AC568" s="23"/>
      <c r="AD568" s="23"/>
      <c r="AE568" s="23"/>
      <c r="AF568" s="23"/>
      <c r="AG568" s="23"/>
      <c r="AH568" s="23"/>
      <c r="AI568" s="49"/>
    </row>
    <row r="569" spans="1:35">
      <c r="A569" s="23"/>
      <c r="B569" s="42"/>
      <c r="C569" s="49"/>
      <c r="E569" s="49"/>
      <c r="G569" s="43"/>
      <c r="H569" s="44"/>
      <c r="L569" s="42"/>
      <c r="M569" s="42"/>
      <c r="N569" s="25"/>
      <c r="O569" s="54"/>
      <c r="P569"/>
      <c r="Q569" s="25"/>
      <c r="R569" s="54"/>
      <c r="W569" s="23"/>
      <c r="X569" s="23"/>
      <c r="Y569" s="23"/>
      <c r="Z569" s="43"/>
      <c r="AA569" s="23"/>
      <c r="AB569" s="23"/>
      <c r="AC569" s="23"/>
      <c r="AD569" s="23"/>
      <c r="AE569" s="23"/>
      <c r="AF569" s="23"/>
      <c r="AG569" s="23"/>
      <c r="AH569" s="23"/>
      <c r="AI569" s="49"/>
    </row>
    <row r="570" spans="1:35">
      <c r="A570" s="23"/>
      <c r="B570" s="42"/>
      <c r="C570" s="49"/>
      <c r="E570" s="49"/>
      <c r="G570" s="43"/>
      <c r="H570" s="44"/>
      <c r="L570" s="42"/>
      <c r="M570" s="42"/>
      <c r="N570" s="25"/>
      <c r="O570" s="54"/>
      <c r="P570"/>
      <c r="Q570" s="25"/>
      <c r="R570" s="54"/>
      <c r="W570" s="23"/>
      <c r="X570" s="23"/>
      <c r="Y570" s="23"/>
      <c r="Z570" s="43"/>
      <c r="AA570" s="23"/>
      <c r="AB570" s="23"/>
      <c r="AC570" s="23"/>
      <c r="AD570" s="23"/>
      <c r="AE570" s="23"/>
      <c r="AF570" s="23"/>
      <c r="AG570" s="23"/>
      <c r="AH570" s="23"/>
      <c r="AI570" s="49"/>
    </row>
    <row r="571" spans="1:35">
      <c r="A571" s="23"/>
      <c r="B571" s="42"/>
      <c r="C571" s="49"/>
      <c r="E571" s="49"/>
      <c r="G571" s="43"/>
      <c r="H571" s="44"/>
      <c r="L571" s="42"/>
      <c r="M571" s="42"/>
      <c r="N571" s="25"/>
      <c r="O571" s="54"/>
      <c r="P571"/>
      <c r="Q571" s="25"/>
      <c r="R571" s="54"/>
      <c r="W571" s="23"/>
      <c r="X571" s="23"/>
      <c r="Y571" s="23"/>
      <c r="Z571" s="43"/>
      <c r="AA571" s="23"/>
      <c r="AB571" s="23"/>
      <c r="AC571" s="23"/>
      <c r="AD571" s="23"/>
      <c r="AE571" s="23"/>
      <c r="AF571" s="23"/>
      <c r="AG571" s="23"/>
      <c r="AH571" s="23"/>
      <c r="AI571" s="49"/>
    </row>
    <row r="572" spans="1:35">
      <c r="A572" s="23"/>
      <c r="B572" s="42"/>
      <c r="C572" s="49"/>
      <c r="E572" s="49"/>
      <c r="G572" s="43"/>
      <c r="H572" s="44"/>
      <c r="L572" s="42"/>
      <c r="M572" s="42"/>
      <c r="N572" s="25"/>
      <c r="O572" s="54"/>
      <c r="P572"/>
      <c r="Q572" s="25"/>
      <c r="R572" s="54"/>
      <c r="W572" s="23"/>
      <c r="X572" s="23"/>
      <c r="Y572" s="23"/>
      <c r="Z572" s="43"/>
      <c r="AA572" s="23"/>
      <c r="AB572" s="23"/>
      <c r="AC572" s="23"/>
      <c r="AD572" s="23"/>
      <c r="AE572" s="23"/>
      <c r="AF572" s="23"/>
      <c r="AG572" s="23"/>
      <c r="AH572" s="23"/>
      <c r="AI572" s="49"/>
    </row>
    <row r="573" spans="1:35">
      <c r="A573" s="23"/>
      <c r="B573" s="42"/>
      <c r="C573" s="49"/>
      <c r="E573" s="49"/>
      <c r="G573" s="43"/>
      <c r="H573" s="44"/>
      <c r="L573" s="42"/>
      <c r="M573" s="42"/>
      <c r="N573" s="25"/>
      <c r="O573" s="54"/>
      <c r="P573"/>
      <c r="Q573" s="25"/>
      <c r="R573" s="54"/>
      <c r="W573" s="23"/>
      <c r="X573" s="23"/>
      <c r="Y573" s="23"/>
      <c r="Z573" s="43"/>
      <c r="AA573" s="23"/>
      <c r="AB573" s="23"/>
      <c r="AC573" s="23"/>
      <c r="AD573" s="23"/>
      <c r="AE573" s="23"/>
      <c r="AF573" s="23"/>
      <c r="AG573" s="23"/>
      <c r="AH573" s="23"/>
      <c r="AI573" s="49"/>
    </row>
    <row r="574" spans="1:35">
      <c r="A574" s="23"/>
      <c r="B574" s="42"/>
      <c r="C574" s="49"/>
      <c r="E574" s="49"/>
      <c r="G574" s="43"/>
      <c r="H574" s="44"/>
      <c r="L574" s="42"/>
      <c r="M574" s="42"/>
      <c r="N574" s="25"/>
      <c r="O574" s="54"/>
      <c r="P574"/>
      <c r="Q574" s="25"/>
      <c r="R574" s="54"/>
      <c r="W574" s="23"/>
      <c r="X574" s="23"/>
      <c r="Y574" s="23"/>
      <c r="Z574" s="43"/>
      <c r="AA574" s="23"/>
      <c r="AB574" s="23"/>
      <c r="AC574" s="23"/>
      <c r="AD574" s="23"/>
      <c r="AE574" s="23"/>
      <c r="AF574" s="23"/>
      <c r="AG574" s="23"/>
      <c r="AH574" s="23"/>
      <c r="AI574" s="49"/>
    </row>
    <row r="575" spans="1:35">
      <c r="A575" s="23"/>
      <c r="B575" s="42"/>
      <c r="C575" s="49"/>
      <c r="E575" s="49"/>
      <c r="G575" s="43"/>
      <c r="H575" s="44"/>
      <c r="L575" s="42"/>
      <c r="M575" s="42"/>
      <c r="N575" s="25"/>
      <c r="O575" s="54"/>
      <c r="P575"/>
      <c r="Q575" s="25"/>
      <c r="R575" s="54"/>
      <c r="W575" s="23"/>
      <c r="X575" s="23"/>
      <c r="Y575" s="23"/>
      <c r="Z575" s="43"/>
      <c r="AA575" s="23"/>
      <c r="AB575" s="23"/>
      <c r="AC575" s="23"/>
      <c r="AD575" s="23"/>
      <c r="AE575" s="23"/>
      <c r="AF575" s="23"/>
      <c r="AG575" s="23"/>
      <c r="AH575" s="23"/>
      <c r="AI575" s="49"/>
    </row>
    <row r="576" spans="1:35">
      <c r="A576" s="23"/>
      <c r="B576" s="42"/>
      <c r="C576" s="49"/>
      <c r="E576" s="49"/>
      <c r="G576" s="43"/>
      <c r="H576" s="44"/>
      <c r="L576" s="42"/>
      <c r="M576" s="42"/>
      <c r="N576" s="25"/>
      <c r="O576" s="54"/>
      <c r="P576"/>
      <c r="Q576" s="25"/>
      <c r="R576" s="54"/>
      <c r="W576" s="23"/>
      <c r="X576" s="23"/>
      <c r="Y576" s="23"/>
      <c r="Z576" s="43"/>
      <c r="AA576" s="23"/>
      <c r="AB576" s="23"/>
      <c r="AC576" s="23"/>
      <c r="AD576" s="23"/>
      <c r="AE576" s="23"/>
      <c r="AF576" s="23"/>
      <c r="AG576" s="23"/>
      <c r="AH576" s="23"/>
      <c r="AI576" s="49"/>
    </row>
    <row r="577" spans="1:35">
      <c r="A577" s="23"/>
      <c r="B577" s="42"/>
      <c r="C577" s="49"/>
      <c r="E577" s="49"/>
      <c r="G577" s="43"/>
      <c r="H577" s="44"/>
      <c r="L577" s="42"/>
      <c r="M577" s="42"/>
      <c r="N577" s="25"/>
      <c r="O577" s="54"/>
      <c r="P577"/>
      <c r="Q577" s="25"/>
      <c r="R577" s="54"/>
      <c r="W577" s="23"/>
      <c r="X577" s="23"/>
      <c r="Y577" s="23"/>
      <c r="Z577" s="43"/>
      <c r="AA577" s="23"/>
      <c r="AB577" s="23"/>
      <c r="AC577" s="23"/>
      <c r="AD577" s="23"/>
      <c r="AE577" s="23"/>
      <c r="AF577" s="23"/>
      <c r="AG577" s="23"/>
      <c r="AH577" s="23"/>
      <c r="AI577" s="49"/>
    </row>
    <row r="578" spans="1:35">
      <c r="A578" s="23"/>
      <c r="B578" s="42"/>
      <c r="C578" s="49"/>
      <c r="E578" s="49"/>
      <c r="G578" s="43"/>
      <c r="H578" s="44"/>
      <c r="L578" s="42"/>
      <c r="M578" s="42"/>
      <c r="N578" s="25"/>
      <c r="O578" s="54"/>
      <c r="P578"/>
      <c r="Q578" s="25"/>
      <c r="R578" s="54"/>
      <c r="W578" s="23"/>
      <c r="X578" s="23"/>
      <c r="Y578" s="23"/>
      <c r="Z578" s="43"/>
      <c r="AA578" s="23"/>
      <c r="AB578" s="23"/>
      <c r="AC578" s="23"/>
      <c r="AD578" s="23"/>
      <c r="AE578" s="23"/>
      <c r="AF578" s="23"/>
      <c r="AG578" s="23"/>
      <c r="AH578" s="23"/>
      <c r="AI578" s="49"/>
    </row>
    <row r="579" spans="1:35">
      <c r="A579" s="23"/>
      <c r="B579" s="42"/>
      <c r="C579" s="49"/>
      <c r="E579" s="49"/>
      <c r="G579" s="43"/>
      <c r="H579" s="44"/>
      <c r="L579" s="42"/>
      <c r="M579" s="42"/>
      <c r="N579" s="25"/>
      <c r="O579" s="54"/>
      <c r="P579"/>
      <c r="Q579" s="25"/>
      <c r="R579" s="54"/>
      <c r="W579" s="23"/>
      <c r="X579" s="23"/>
      <c r="Y579" s="23"/>
      <c r="Z579" s="43"/>
      <c r="AA579" s="23"/>
      <c r="AB579" s="23"/>
      <c r="AC579" s="23"/>
      <c r="AD579" s="23"/>
      <c r="AE579" s="23"/>
      <c r="AF579" s="23"/>
      <c r="AG579" s="23"/>
      <c r="AH579" s="23"/>
      <c r="AI579" s="49"/>
    </row>
    <row r="580" spans="1:35">
      <c r="B580" s="42"/>
      <c r="C580" s="49"/>
      <c r="E580" s="49"/>
      <c r="G580" s="43"/>
      <c r="H580" s="44"/>
      <c r="L580" s="42"/>
      <c r="M580" s="42"/>
      <c r="N580" s="25"/>
      <c r="O580" s="54"/>
      <c r="P580"/>
      <c r="Q580" s="25"/>
      <c r="R580" s="54"/>
      <c r="W580" s="23"/>
      <c r="X580" s="23"/>
      <c r="Y580" s="23"/>
      <c r="Z580" s="43"/>
      <c r="AA580" s="23"/>
      <c r="AB580" s="23"/>
      <c r="AC580" s="23"/>
      <c r="AD580" s="23"/>
      <c r="AE580" s="23"/>
      <c r="AF580" s="23"/>
      <c r="AG580" s="23"/>
      <c r="AH580" s="23"/>
      <c r="AI580" s="23"/>
    </row>
    <row r="581" spans="1:35">
      <c r="A581" s="23"/>
      <c r="B581" s="42"/>
      <c r="C581" s="49"/>
      <c r="E581" s="49"/>
      <c r="G581" s="43"/>
      <c r="H581" s="44"/>
      <c r="L581" s="42"/>
      <c r="M581" s="42"/>
      <c r="N581" s="25"/>
      <c r="O581" s="54"/>
      <c r="P581"/>
      <c r="Q581" s="25"/>
      <c r="R581" s="54"/>
      <c r="W581" s="23"/>
      <c r="X581" s="23"/>
      <c r="Y581" s="23"/>
      <c r="Z581" s="43"/>
      <c r="AA581" s="23"/>
      <c r="AB581" s="23"/>
      <c r="AC581" s="23"/>
      <c r="AD581" s="23"/>
      <c r="AE581" s="23"/>
      <c r="AF581" s="23"/>
      <c r="AG581" s="23"/>
      <c r="AH581" s="23"/>
      <c r="AI581" s="49"/>
    </row>
    <row r="582" spans="1:35">
      <c r="A582" s="23"/>
      <c r="B582" s="42"/>
      <c r="C582" s="49"/>
      <c r="E582" s="49"/>
      <c r="G582" s="43"/>
      <c r="H582" s="44"/>
      <c r="L582" s="42"/>
      <c r="M582" s="42"/>
      <c r="N582" s="25"/>
      <c r="O582" s="54"/>
      <c r="P582"/>
      <c r="Q582" s="25"/>
      <c r="R582" s="54"/>
      <c r="W582" s="23"/>
      <c r="X582" s="23"/>
      <c r="Y582" s="23"/>
      <c r="Z582" s="43"/>
      <c r="AA582" s="23"/>
      <c r="AB582" s="23"/>
      <c r="AC582" s="23"/>
      <c r="AD582" s="23"/>
      <c r="AE582" s="23"/>
      <c r="AF582" s="23"/>
      <c r="AG582" s="23"/>
      <c r="AH582" s="23"/>
      <c r="AI582" s="49"/>
    </row>
    <row r="583" spans="1:35">
      <c r="A583" s="23"/>
      <c r="B583" s="42"/>
      <c r="C583" s="49"/>
      <c r="E583" s="49"/>
      <c r="G583" s="43"/>
      <c r="H583" s="44"/>
      <c r="L583" s="42"/>
      <c r="M583" s="42"/>
      <c r="N583" s="25"/>
      <c r="O583" s="54"/>
      <c r="P583"/>
      <c r="Q583" s="25"/>
      <c r="R583" s="54"/>
      <c r="W583" s="23"/>
      <c r="X583" s="23"/>
      <c r="Y583" s="23"/>
      <c r="Z583" s="43"/>
      <c r="AA583" s="23"/>
      <c r="AB583" s="23"/>
      <c r="AC583" s="23"/>
      <c r="AD583" s="23"/>
      <c r="AE583" s="23"/>
      <c r="AF583" s="23"/>
      <c r="AG583" s="23"/>
      <c r="AH583" s="23"/>
      <c r="AI583" s="49"/>
    </row>
    <row r="584" spans="1:35">
      <c r="A584" s="23"/>
      <c r="B584" s="42"/>
      <c r="C584" s="49"/>
      <c r="E584" s="49"/>
      <c r="G584" s="43"/>
      <c r="H584" s="44"/>
      <c r="L584" s="42"/>
      <c r="M584" s="42"/>
      <c r="N584" s="25"/>
      <c r="O584" s="54"/>
      <c r="P584"/>
      <c r="Q584" s="25"/>
      <c r="R584" s="54"/>
      <c r="W584" s="23"/>
      <c r="X584" s="23"/>
      <c r="Y584" s="23"/>
      <c r="Z584" s="43"/>
      <c r="AA584" s="23"/>
      <c r="AB584" s="23"/>
      <c r="AC584" s="23"/>
      <c r="AD584" s="23"/>
      <c r="AE584" s="23"/>
      <c r="AF584" s="23"/>
      <c r="AG584" s="23"/>
      <c r="AH584" s="23"/>
      <c r="AI584" s="49"/>
    </row>
    <row r="585" spans="1:35">
      <c r="A585" s="23"/>
      <c r="B585" s="42"/>
      <c r="C585" s="49"/>
      <c r="E585" s="49"/>
      <c r="G585" s="43"/>
      <c r="H585" s="44"/>
      <c r="L585" s="42"/>
      <c r="M585" s="42"/>
      <c r="N585" s="25"/>
      <c r="O585" s="54"/>
      <c r="P585"/>
      <c r="Q585" s="25"/>
      <c r="R585" s="54"/>
      <c r="W585" s="23"/>
      <c r="X585" s="23"/>
      <c r="Y585" s="23"/>
      <c r="Z585" s="43"/>
      <c r="AA585" s="23"/>
      <c r="AB585" s="23"/>
      <c r="AC585" s="23"/>
      <c r="AD585" s="23"/>
      <c r="AE585" s="23"/>
      <c r="AF585" s="23"/>
      <c r="AG585" s="23"/>
      <c r="AH585" s="23"/>
      <c r="AI585" s="49"/>
    </row>
    <row r="586" spans="1:35">
      <c r="A586" s="23"/>
      <c r="B586" s="42"/>
      <c r="G586" s="43"/>
      <c r="H586" s="44"/>
      <c r="L586" s="42"/>
      <c r="M586" s="42"/>
      <c r="N586" s="25"/>
      <c r="O586" s="54"/>
      <c r="P586"/>
      <c r="Q586" s="25"/>
      <c r="R586" s="54"/>
      <c r="W586" s="23"/>
      <c r="X586" s="23"/>
      <c r="Y586" s="23"/>
      <c r="Z586" s="43"/>
      <c r="AA586" s="23"/>
      <c r="AB586" s="23"/>
      <c r="AC586" s="23"/>
      <c r="AD586" s="23"/>
      <c r="AE586" s="23"/>
      <c r="AF586" s="23"/>
      <c r="AG586" s="23"/>
      <c r="AH586" s="23"/>
      <c r="AI586" s="23"/>
    </row>
    <row r="587" spans="1:35">
      <c r="A587" s="23"/>
      <c r="B587" s="42"/>
      <c r="C587" s="49"/>
      <c r="E587" s="49"/>
      <c r="G587" s="43"/>
      <c r="H587" s="44"/>
      <c r="L587" s="42"/>
      <c r="M587" s="42"/>
      <c r="N587" s="25"/>
      <c r="O587" s="54"/>
      <c r="P587"/>
      <c r="Q587" s="25"/>
      <c r="R587" s="54"/>
      <c r="W587" s="23"/>
      <c r="X587" s="23"/>
      <c r="Y587" s="23"/>
      <c r="Z587" s="43"/>
      <c r="AA587" s="23"/>
      <c r="AB587" s="23"/>
      <c r="AC587" s="23"/>
      <c r="AD587" s="23"/>
      <c r="AE587" s="23"/>
      <c r="AF587" s="23"/>
      <c r="AG587" s="23"/>
      <c r="AH587" s="23"/>
      <c r="AI587" s="49"/>
    </row>
    <row r="588" spans="1:35">
      <c r="A588" s="23"/>
      <c r="B588" s="42"/>
      <c r="C588" s="49"/>
      <c r="E588" s="49"/>
      <c r="G588" s="43"/>
      <c r="H588" s="44"/>
      <c r="L588" s="42"/>
      <c r="M588" s="42"/>
      <c r="N588" s="25"/>
      <c r="O588" s="54"/>
      <c r="P588"/>
      <c r="Q588" s="25"/>
      <c r="R588" s="54"/>
      <c r="W588" s="23"/>
      <c r="X588" s="23"/>
      <c r="Y588" s="23"/>
      <c r="Z588" s="43"/>
      <c r="AA588" s="23"/>
      <c r="AB588" s="23"/>
      <c r="AC588" s="23"/>
      <c r="AD588" s="23"/>
      <c r="AE588" s="23"/>
      <c r="AF588" s="23"/>
      <c r="AG588" s="23"/>
      <c r="AH588" s="23"/>
      <c r="AI588" s="49"/>
    </row>
    <row r="589" spans="1:35">
      <c r="A589" s="23"/>
      <c r="B589" s="42"/>
      <c r="C589" s="49"/>
      <c r="E589" s="49"/>
      <c r="G589" s="43"/>
      <c r="H589" s="44"/>
      <c r="L589" s="42"/>
      <c r="M589" s="42"/>
      <c r="N589" s="25"/>
      <c r="O589" s="54"/>
      <c r="P589"/>
      <c r="Q589" s="25"/>
      <c r="R589" s="54"/>
      <c r="W589" s="23"/>
      <c r="X589" s="23"/>
      <c r="Y589" s="23"/>
      <c r="Z589" s="43"/>
      <c r="AA589" s="23"/>
      <c r="AB589" s="23"/>
      <c r="AC589" s="23"/>
      <c r="AD589" s="23"/>
      <c r="AE589" s="23"/>
      <c r="AF589" s="23"/>
      <c r="AG589" s="23"/>
      <c r="AH589" s="23"/>
      <c r="AI589" s="49"/>
    </row>
    <row r="590" spans="1:35">
      <c r="A590" s="23"/>
      <c r="B590" s="42"/>
      <c r="C590" s="49"/>
      <c r="E590" s="49"/>
      <c r="G590" s="43"/>
      <c r="H590" s="44"/>
      <c r="L590" s="42"/>
      <c r="M590" s="42"/>
      <c r="N590" s="25"/>
      <c r="O590" s="54"/>
      <c r="P590"/>
      <c r="Q590" s="25"/>
      <c r="R590" s="54"/>
      <c r="W590" s="23"/>
      <c r="X590" s="23"/>
      <c r="Y590" s="23"/>
      <c r="Z590" s="43"/>
      <c r="AA590" s="23"/>
      <c r="AB590" s="23"/>
      <c r="AC590" s="23"/>
      <c r="AD590" s="23"/>
      <c r="AE590" s="23"/>
      <c r="AF590" s="23"/>
      <c r="AG590" s="23"/>
      <c r="AH590" s="23"/>
      <c r="AI590" s="49"/>
    </row>
    <row r="591" spans="1:35">
      <c r="A591" s="23"/>
      <c r="B591" s="42"/>
      <c r="C591" s="49"/>
      <c r="E591" s="49"/>
      <c r="G591" s="43"/>
      <c r="H591" s="44"/>
      <c r="L591" s="42"/>
      <c r="M591" s="42"/>
      <c r="N591" s="25"/>
      <c r="O591" s="54"/>
      <c r="P591"/>
      <c r="Q591" s="25"/>
      <c r="R591" s="54"/>
      <c r="W591" s="23"/>
      <c r="X591" s="23"/>
      <c r="Y591" s="23"/>
      <c r="Z591" s="43"/>
      <c r="AA591" s="23"/>
      <c r="AB591" s="23"/>
      <c r="AC591" s="23"/>
      <c r="AD591" s="23"/>
      <c r="AE591" s="23"/>
      <c r="AF591" s="23"/>
      <c r="AG591" s="23"/>
      <c r="AH591" s="23"/>
      <c r="AI591" s="49"/>
    </row>
    <row r="592" spans="1:35">
      <c r="A592" s="23"/>
      <c r="B592" s="42"/>
      <c r="C592" s="49"/>
      <c r="E592" s="49"/>
      <c r="G592" s="43"/>
      <c r="H592" s="44"/>
      <c r="L592" s="42"/>
      <c r="M592" s="42"/>
      <c r="N592" s="25"/>
      <c r="O592" s="54"/>
      <c r="P592"/>
      <c r="Q592" s="25"/>
      <c r="R592" s="54"/>
      <c r="W592" s="23"/>
      <c r="X592" s="23"/>
      <c r="Y592" s="23"/>
      <c r="Z592" s="43"/>
      <c r="AA592" s="23"/>
      <c r="AB592" s="23"/>
      <c r="AC592" s="23"/>
      <c r="AD592" s="23"/>
      <c r="AE592" s="23"/>
      <c r="AF592" s="23"/>
      <c r="AG592" s="23"/>
      <c r="AH592" s="23"/>
      <c r="AI592" s="49"/>
    </row>
    <row r="593" spans="1:35">
      <c r="A593" s="23"/>
      <c r="B593" s="42"/>
      <c r="C593" s="49"/>
      <c r="E593" s="49"/>
      <c r="G593" s="43"/>
      <c r="H593" s="44"/>
      <c r="L593" s="42"/>
      <c r="M593" s="42"/>
      <c r="N593" s="25"/>
      <c r="O593" s="54"/>
      <c r="P593"/>
      <c r="Q593" s="25"/>
      <c r="R593" s="54"/>
      <c r="W593" s="23"/>
      <c r="X593" s="23"/>
      <c r="Y593" s="23"/>
      <c r="Z593" s="43"/>
      <c r="AA593" s="23"/>
      <c r="AB593" s="23"/>
      <c r="AC593" s="23"/>
      <c r="AD593" s="23"/>
      <c r="AE593" s="23"/>
      <c r="AF593" s="23"/>
      <c r="AG593" s="23"/>
      <c r="AH593" s="23"/>
      <c r="AI593" s="49"/>
    </row>
    <row r="594" spans="1:35">
      <c r="A594" s="23"/>
      <c r="B594" s="42"/>
      <c r="G594" s="43"/>
      <c r="H594" s="44"/>
      <c r="L594" s="42"/>
      <c r="M594" s="42"/>
      <c r="N594" s="25"/>
      <c r="O594" s="54"/>
      <c r="P594"/>
      <c r="Q594" s="25"/>
      <c r="R594" s="54"/>
      <c r="W594" s="23"/>
      <c r="X594" s="23"/>
      <c r="Y594" s="23"/>
      <c r="Z594" s="43"/>
      <c r="AA594" s="23"/>
      <c r="AB594" s="23"/>
      <c r="AC594" s="23"/>
      <c r="AD594" s="23"/>
      <c r="AE594" s="23"/>
      <c r="AF594" s="23"/>
      <c r="AG594" s="23"/>
      <c r="AH594" s="23"/>
      <c r="AI594" s="23"/>
    </row>
    <row r="595" spans="1:35">
      <c r="A595" s="23"/>
      <c r="B595" s="42"/>
      <c r="C595" s="49"/>
      <c r="E595" s="49"/>
      <c r="G595" s="43"/>
      <c r="H595" s="44"/>
      <c r="L595" s="42"/>
      <c r="M595" s="42"/>
      <c r="N595" s="25"/>
      <c r="O595" s="54"/>
      <c r="P595"/>
      <c r="Q595" s="25"/>
      <c r="R595" s="54"/>
      <c r="W595" s="23"/>
      <c r="X595" s="23"/>
      <c r="Y595" s="23"/>
      <c r="Z595" s="43"/>
      <c r="AA595" s="23"/>
      <c r="AB595" s="23"/>
      <c r="AC595" s="23"/>
      <c r="AD595" s="23"/>
      <c r="AE595" s="23"/>
      <c r="AF595" s="23"/>
      <c r="AG595" s="23"/>
      <c r="AH595" s="23"/>
      <c r="AI595" s="49"/>
    </row>
    <row r="596" spans="1:35">
      <c r="A596" s="23"/>
      <c r="B596" s="42"/>
      <c r="C596" s="49"/>
      <c r="E596" s="49"/>
      <c r="G596" s="43"/>
      <c r="H596" s="44"/>
      <c r="L596" s="42"/>
      <c r="M596" s="42"/>
      <c r="N596" s="25"/>
      <c r="O596" s="54"/>
      <c r="P596"/>
      <c r="Q596" s="25"/>
      <c r="R596" s="54"/>
      <c r="W596" s="23"/>
      <c r="X596" s="23"/>
      <c r="Y596" s="23"/>
      <c r="Z596" s="43"/>
      <c r="AA596" s="23"/>
      <c r="AB596" s="23"/>
      <c r="AC596" s="23"/>
      <c r="AD596" s="23"/>
      <c r="AE596" s="23"/>
      <c r="AF596" s="23"/>
      <c r="AG596" s="23"/>
      <c r="AH596" s="23"/>
      <c r="AI596" s="49"/>
    </row>
    <row r="597" spans="1:35">
      <c r="B597" s="42"/>
      <c r="G597" s="43"/>
      <c r="H597" s="44"/>
      <c r="L597" s="42"/>
      <c r="M597" s="42"/>
      <c r="N597" s="25"/>
      <c r="O597" s="54"/>
      <c r="P597"/>
      <c r="Q597" s="25"/>
      <c r="R597" s="54"/>
      <c r="W597" s="23"/>
      <c r="X597" s="23"/>
      <c r="Y597" s="23"/>
      <c r="Z597" s="43"/>
      <c r="AA597" s="23"/>
      <c r="AB597" s="23"/>
      <c r="AC597" s="23"/>
      <c r="AD597" s="23"/>
      <c r="AE597" s="23"/>
      <c r="AF597" s="23"/>
      <c r="AG597" s="23"/>
      <c r="AH597" s="23"/>
      <c r="AI597" s="48"/>
    </row>
    <row r="598" spans="1:35">
      <c r="A598" s="23"/>
      <c r="B598" s="42"/>
      <c r="C598" s="49"/>
      <c r="E598" s="49"/>
      <c r="G598" s="43"/>
      <c r="H598" s="44"/>
      <c r="L598" s="42"/>
      <c r="M598" s="42"/>
      <c r="N598" s="25"/>
      <c r="O598" s="54"/>
      <c r="P598"/>
      <c r="Q598" s="25"/>
      <c r="R598" s="54"/>
      <c r="W598" s="23"/>
      <c r="X598" s="23"/>
      <c r="Y598" s="23"/>
      <c r="Z598" s="43"/>
      <c r="AA598" s="23"/>
      <c r="AB598" s="23"/>
      <c r="AC598" s="23"/>
      <c r="AD598" s="23"/>
      <c r="AE598" s="23"/>
      <c r="AF598" s="23"/>
      <c r="AG598" s="23"/>
      <c r="AH598" s="23"/>
      <c r="AI598" s="49"/>
    </row>
    <row r="599" spans="1:35">
      <c r="A599" s="23"/>
      <c r="B599" s="42"/>
      <c r="C599" s="49"/>
      <c r="E599" s="49"/>
      <c r="G599" s="43"/>
      <c r="H599" s="44"/>
      <c r="L599" s="42"/>
      <c r="M599" s="42"/>
      <c r="N599" s="25"/>
      <c r="O599" s="54"/>
      <c r="P599"/>
      <c r="Q599" s="25"/>
      <c r="R599" s="54"/>
      <c r="W599" s="23"/>
      <c r="X599" s="23"/>
      <c r="Y599" s="23"/>
      <c r="Z599" s="43"/>
      <c r="AA599" s="23"/>
      <c r="AB599" s="23"/>
      <c r="AC599" s="23"/>
      <c r="AD599" s="23"/>
      <c r="AE599" s="23"/>
      <c r="AF599" s="23"/>
      <c r="AG599" s="23"/>
      <c r="AH599" s="23"/>
      <c r="AI599" s="49"/>
    </row>
    <row r="600" spans="1:35">
      <c r="A600" s="23"/>
      <c r="B600" s="42"/>
      <c r="C600" s="49"/>
      <c r="E600" s="49"/>
      <c r="G600" s="43"/>
      <c r="H600" s="44"/>
      <c r="L600" s="42"/>
      <c r="M600" s="42"/>
      <c r="N600" s="25"/>
      <c r="O600" s="54"/>
      <c r="P600"/>
      <c r="Q600" s="25"/>
      <c r="R600" s="54"/>
      <c r="W600" s="23"/>
      <c r="X600" s="23"/>
      <c r="Y600" s="23"/>
      <c r="Z600" s="43"/>
      <c r="AA600" s="23"/>
      <c r="AB600" s="23"/>
      <c r="AC600" s="23"/>
      <c r="AD600" s="23"/>
      <c r="AE600" s="23"/>
      <c r="AF600" s="23"/>
      <c r="AG600" s="23"/>
      <c r="AH600" s="23"/>
      <c r="AI600" s="49"/>
    </row>
    <row r="601" spans="1:35">
      <c r="A601" s="23"/>
      <c r="B601" s="42"/>
      <c r="C601" s="49"/>
      <c r="E601" s="49"/>
      <c r="G601" s="43"/>
      <c r="H601" s="44"/>
      <c r="L601" s="42"/>
      <c r="M601" s="42"/>
      <c r="N601" s="25"/>
      <c r="O601" s="54"/>
      <c r="P601"/>
      <c r="Q601" s="25"/>
      <c r="R601" s="54"/>
      <c r="W601" s="23"/>
      <c r="X601" s="23"/>
      <c r="Y601" s="23"/>
      <c r="Z601" s="43"/>
      <c r="AA601" s="23"/>
      <c r="AB601" s="23"/>
      <c r="AC601" s="23"/>
      <c r="AD601" s="23"/>
      <c r="AE601" s="23"/>
      <c r="AF601" s="23"/>
      <c r="AG601" s="23"/>
      <c r="AH601" s="23"/>
      <c r="AI601" s="49"/>
    </row>
    <row r="602" spans="1:35">
      <c r="A602" s="23"/>
      <c r="B602" s="42"/>
      <c r="G602" s="43"/>
      <c r="H602" s="44"/>
      <c r="L602" s="42"/>
      <c r="M602" s="42"/>
      <c r="N602" s="25"/>
      <c r="O602" s="54"/>
      <c r="P602"/>
      <c r="Q602" s="25"/>
      <c r="R602" s="54"/>
      <c r="W602" s="23"/>
      <c r="X602" s="23"/>
      <c r="Y602" s="23"/>
      <c r="Z602" s="43"/>
      <c r="AA602" s="23"/>
      <c r="AB602" s="23"/>
      <c r="AC602" s="23"/>
      <c r="AD602" s="23"/>
      <c r="AE602" s="23"/>
      <c r="AF602" s="23"/>
      <c r="AG602" s="23"/>
      <c r="AH602" s="23"/>
      <c r="AI602" s="23"/>
    </row>
    <row r="603" spans="1:35">
      <c r="A603" s="23"/>
      <c r="B603" s="42"/>
      <c r="C603" s="49"/>
      <c r="E603" s="49"/>
      <c r="G603" s="43"/>
      <c r="H603" s="44"/>
      <c r="L603" s="42"/>
      <c r="M603" s="42"/>
      <c r="N603" s="25"/>
      <c r="O603" s="54"/>
      <c r="P603"/>
      <c r="Q603" s="25"/>
      <c r="R603" s="54"/>
      <c r="W603" s="23"/>
      <c r="X603" s="23"/>
      <c r="Y603" s="23"/>
      <c r="Z603" s="43"/>
      <c r="AA603" s="23"/>
      <c r="AB603" s="23"/>
      <c r="AC603" s="23"/>
      <c r="AD603" s="23"/>
      <c r="AE603" s="23"/>
      <c r="AF603" s="23"/>
      <c r="AG603" s="23"/>
      <c r="AH603" s="23"/>
      <c r="AI603" s="49"/>
    </row>
    <row r="604" spans="1:35">
      <c r="A604" s="23"/>
      <c r="B604" s="42"/>
      <c r="C604" s="49"/>
      <c r="E604" s="49"/>
      <c r="G604" s="43"/>
      <c r="H604" s="44"/>
      <c r="L604" s="42"/>
      <c r="M604" s="42"/>
      <c r="N604" s="25"/>
      <c r="O604" s="54"/>
      <c r="P604"/>
      <c r="Q604" s="25"/>
      <c r="R604" s="54"/>
      <c r="W604" s="23"/>
      <c r="X604" s="23"/>
      <c r="Y604" s="23"/>
      <c r="Z604" s="43"/>
      <c r="AA604" s="23"/>
      <c r="AB604" s="23"/>
      <c r="AC604" s="23"/>
      <c r="AD604" s="23"/>
      <c r="AE604" s="23"/>
      <c r="AF604" s="23"/>
      <c r="AG604" s="23"/>
      <c r="AH604" s="23"/>
      <c r="AI604" s="49"/>
    </row>
    <row r="605" spans="1:35">
      <c r="A605" s="23"/>
      <c r="B605" s="42"/>
      <c r="C605" s="49"/>
      <c r="E605" s="49"/>
      <c r="G605" s="43"/>
      <c r="H605" s="44"/>
      <c r="L605" s="42"/>
      <c r="M605" s="42"/>
      <c r="N605" s="25"/>
      <c r="O605" s="54"/>
      <c r="P605"/>
      <c r="Q605" s="25"/>
      <c r="R605" s="54"/>
      <c r="W605" s="23"/>
      <c r="X605" s="23"/>
      <c r="Y605" s="23"/>
      <c r="Z605" s="43"/>
      <c r="AA605" s="23"/>
      <c r="AB605" s="23"/>
      <c r="AC605" s="23"/>
      <c r="AD605" s="23"/>
      <c r="AE605" s="23"/>
      <c r="AF605" s="23"/>
      <c r="AG605" s="23"/>
      <c r="AH605" s="23"/>
      <c r="AI605" s="49"/>
    </row>
    <row r="606" spans="1:35">
      <c r="A606" s="23"/>
      <c r="B606" s="42"/>
      <c r="C606" s="49"/>
      <c r="E606" s="49"/>
      <c r="G606" s="43"/>
      <c r="H606" s="44"/>
      <c r="L606" s="42"/>
      <c r="M606" s="42"/>
      <c r="N606" s="25"/>
      <c r="O606" s="54"/>
      <c r="P606"/>
      <c r="Q606" s="25"/>
      <c r="R606" s="54"/>
      <c r="W606" s="23"/>
      <c r="X606" s="23"/>
      <c r="Y606" s="23"/>
      <c r="Z606" s="43"/>
      <c r="AA606" s="23"/>
      <c r="AB606" s="23"/>
      <c r="AC606" s="23"/>
      <c r="AD606" s="23"/>
      <c r="AE606" s="23"/>
      <c r="AF606" s="23"/>
      <c r="AG606" s="23"/>
      <c r="AH606" s="23"/>
      <c r="AI606" s="49"/>
    </row>
    <row r="607" spans="1:35">
      <c r="A607" s="23"/>
      <c r="B607" s="42"/>
      <c r="C607" s="49"/>
      <c r="E607" s="49"/>
      <c r="G607" s="43"/>
      <c r="H607" s="44"/>
      <c r="L607" s="42"/>
      <c r="M607" s="42"/>
      <c r="N607" s="25"/>
      <c r="O607" s="54"/>
      <c r="P607"/>
      <c r="Q607" s="25"/>
      <c r="R607" s="54"/>
      <c r="W607" s="23"/>
      <c r="X607" s="23"/>
      <c r="Y607" s="23"/>
      <c r="Z607" s="43"/>
      <c r="AA607" s="23"/>
      <c r="AB607" s="23"/>
      <c r="AC607" s="23"/>
      <c r="AD607" s="23"/>
      <c r="AE607" s="23"/>
      <c r="AF607" s="23"/>
      <c r="AG607" s="23"/>
      <c r="AH607" s="23"/>
      <c r="AI607" s="49"/>
    </row>
    <row r="608" spans="1:35">
      <c r="A608" s="23"/>
      <c r="B608" s="42"/>
      <c r="C608" s="49"/>
      <c r="E608" s="49"/>
      <c r="G608" s="43"/>
      <c r="H608" s="44"/>
      <c r="L608" s="42"/>
      <c r="M608" s="42"/>
      <c r="N608" s="25"/>
      <c r="O608" s="54"/>
      <c r="P608"/>
      <c r="Q608" s="25"/>
      <c r="R608" s="54"/>
      <c r="W608" s="23"/>
      <c r="X608" s="23"/>
      <c r="Y608" s="23"/>
      <c r="Z608" s="43"/>
      <c r="AA608" s="23"/>
      <c r="AB608" s="23"/>
      <c r="AC608" s="23"/>
      <c r="AD608" s="23"/>
      <c r="AE608" s="23"/>
      <c r="AF608" s="23"/>
      <c r="AG608" s="23"/>
      <c r="AH608" s="23"/>
      <c r="AI608" s="49"/>
    </row>
    <row r="609" spans="1:35">
      <c r="A609" s="23"/>
      <c r="B609" s="42"/>
      <c r="G609" s="43"/>
      <c r="H609" s="44"/>
      <c r="L609" s="42"/>
      <c r="M609" s="42"/>
      <c r="N609" s="25"/>
      <c r="O609" s="54"/>
      <c r="P609"/>
      <c r="Q609" s="25"/>
      <c r="R609" s="54"/>
      <c r="W609" s="23"/>
      <c r="X609" s="23"/>
      <c r="Y609" s="23"/>
      <c r="Z609" s="43"/>
      <c r="AA609" s="23"/>
      <c r="AB609" s="23"/>
      <c r="AC609" s="23"/>
      <c r="AD609" s="23"/>
      <c r="AE609" s="23"/>
      <c r="AF609" s="23"/>
      <c r="AG609" s="23"/>
      <c r="AH609" s="23"/>
      <c r="AI609" s="23"/>
    </row>
    <row r="610" spans="1:35">
      <c r="A610" s="23"/>
      <c r="B610" s="42"/>
      <c r="C610" s="49"/>
      <c r="E610" s="49"/>
      <c r="G610" s="43"/>
      <c r="H610" s="44"/>
      <c r="L610" s="42"/>
      <c r="M610" s="42"/>
      <c r="N610" s="25"/>
      <c r="O610" s="54"/>
      <c r="P610"/>
      <c r="Q610" s="25"/>
      <c r="R610" s="54"/>
      <c r="W610" s="23"/>
      <c r="X610" s="23"/>
      <c r="Y610" s="23"/>
      <c r="Z610" s="43"/>
      <c r="AA610" s="23"/>
      <c r="AB610" s="23"/>
      <c r="AC610" s="23"/>
      <c r="AD610" s="23"/>
      <c r="AE610" s="23"/>
      <c r="AF610" s="23"/>
      <c r="AG610" s="23"/>
      <c r="AH610" s="23"/>
      <c r="AI610" s="49"/>
    </row>
    <row r="611" spans="1:35">
      <c r="A611" s="23"/>
      <c r="B611" s="42"/>
      <c r="C611" s="49"/>
      <c r="E611" s="49"/>
      <c r="G611" s="43"/>
      <c r="H611" s="44"/>
      <c r="L611" s="42"/>
      <c r="M611" s="42"/>
      <c r="N611" s="25"/>
      <c r="O611" s="54"/>
      <c r="P611"/>
      <c r="Q611" s="25"/>
      <c r="R611" s="54"/>
      <c r="W611" s="23"/>
      <c r="X611" s="23"/>
      <c r="Y611" s="23"/>
      <c r="Z611" s="43"/>
      <c r="AA611" s="23"/>
      <c r="AB611" s="23"/>
      <c r="AC611" s="23"/>
      <c r="AD611" s="23"/>
      <c r="AE611" s="23"/>
      <c r="AF611" s="23"/>
      <c r="AG611" s="23"/>
      <c r="AH611" s="23"/>
      <c r="AI611" s="49"/>
    </row>
    <row r="612" spans="1:35">
      <c r="A612" s="23"/>
      <c r="B612" s="42"/>
      <c r="C612" s="49"/>
      <c r="E612" s="49"/>
      <c r="G612" s="43"/>
      <c r="H612" s="44"/>
      <c r="L612" s="42"/>
      <c r="M612" s="42"/>
      <c r="N612" s="25"/>
      <c r="O612" s="54"/>
      <c r="P612"/>
      <c r="Q612" s="25"/>
      <c r="R612" s="54"/>
      <c r="W612" s="23"/>
      <c r="X612" s="23"/>
      <c r="Y612" s="23"/>
      <c r="Z612" s="43"/>
      <c r="AA612" s="23"/>
      <c r="AB612" s="23"/>
      <c r="AC612" s="23"/>
      <c r="AD612" s="23"/>
      <c r="AE612" s="23"/>
      <c r="AF612" s="23"/>
      <c r="AG612" s="23"/>
      <c r="AH612" s="23"/>
      <c r="AI612" s="49"/>
    </row>
    <row r="613" spans="1:35">
      <c r="A613" s="23"/>
      <c r="B613" s="42"/>
      <c r="C613" s="49"/>
      <c r="E613" s="49"/>
      <c r="G613" s="43"/>
      <c r="H613" s="44"/>
      <c r="L613" s="42"/>
      <c r="M613" s="42"/>
      <c r="N613" s="25"/>
      <c r="O613" s="54"/>
      <c r="P613"/>
      <c r="Q613" s="25"/>
      <c r="R613" s="54"/>
      <c r="W613" s="23"/>
      <c r="X613" s="23"/>
      <c r="Y613" s="23"/>
      <c r="Z613" s="43"/>
      <c r="AA613" s="23"/>
      <c r="AB613" s="23"/>
      <c r="AC613" s="23"/>
      <c r="AD613" s="23"/>
      <c r="AE613" s="23"/>
      <c r="AF613" s="23"/>
      <c r="AG613" s="23"/>
      <c r="AH613" s="23"/>
      <c r="AI613" s="49"/>
    </row>
    <row r="614" spans="1:35">
      <c r="A614" s="23"/>
      <c r="B614" s="42"/>
      <c r="C614" s="49"/>
      <c r="E614" s="49"/>
      <c r="G614" s="43"/>
      <c r="H614" s="44"/>
      <c r="L614" s="42"/>
      <c r="M614" s="42"/>
      <c r="N614" s="25"/>
      <c r="O614" s="54"/>
      <c r="P614"/>
      <c r="Q614" s="25"/>
      <c r="R614" s="54"/>
      <c r="W614" s="23"/>
      <c r="X614" s="23"/>
      <c r="Y614" s="23"/>
      <c r="Z614" s="43"/>
      <c r="AA614" s="23"/>
      <c r="AB614" s="23"/>
      <c r="AC614" s="23"/>
      <c r="AD614" s="23"/>
      <c r="AE614" s="23"/>
      <c r="AF614" s="23"/>
      <c r="AG614" s="23"/>
      <c r="AH614" s="23"/>
      <c r="AI614" s="49"/>
    </row>
    <row r="615" spans="1:35">
      <c r="A615" s="23"/>
      <c r="B615" s="42"/>
      <c r="C615" s="49"/>
      <c r="E615" s="49"/>
      <c r="G615" s="43"/>
      <c r="H615" s="44"/>
      <c r="L615" s="42"/>
      <c r="M615" s="42"/>
      <c r="N615" s="25"/>
      <c r="O615" s="54"/>
      <c r="P615"/>
      <c r="Q615" s="25"/>
      <c r="R615" s="54"/>
      <c r="W615" s="23"/>
      <c r="X615" s="23"/>
      <c r="Y615" s="23"/>
      <c r="Z615" s="43"/>
      <c r="AA615" s="23"/>
      <c r="AB615" s="23"/>
      <c r="AC615" s="23"/>
      <c r="AD615" s="23"/>
      <c r="AE615" s="23"/>
      <c r="AF615" s="23"/>
      <c r="AG615" s="23"/>
      <c r="AH615" s="23"/>
      <c r="AI615" s="49"/>
    </row>
    <row r="616" spans="1:35">
      <c r="A616" s="23"/>
      <c r="B616" s="42"/>
      <c r="C616" s="49"/>
      <c r="E616" s="49"/>
      <c r="G616" s="43"/>
      <c r="H616" s="44"/>
      <c r="L616" s="42"/>
      <c r="M616" s="42"/>
      <c r="N616" s="25"/>
      <c r="O616" s="54"/>
      <c r="P616"/>
      <c r="Q616" s="25"/>
      <c r="R616" s="54"/>
      <c r="W616" s="23"/>
      <c r="X616" s="23"/>
      <c r="Y616" s="23"/>
      <c r="Z616" s="43"/>
      <c r="AA616" s="23"/>
      <c r="AB616" s="23"/>
      <c r="AC616" s="23"/>
      <c r="AD616" s="23"/>
      <c r="AE616" s="23"/>
      <c r="AF616" s="23"/>
      <c r="AG616" s="23"/>
      <c r="AH616" s="23"/>
      <c r="AI616" s="49"/>
    </row>
    <row r="617" spans="1:35">
      <c r="A617" s="23"/>
      <c r="B617" s="42"/>
      <c r="C617" s="49"/>
      <c r="E617" s="49"/>
      <c r="G617" s="43"/>
      <c r="H617" s="44"/>
      <c r="L617" s="42"/>
      <c r="M617" s="42"/>
      <c r="N617" s="25"/>
      <c r="O617" s="54"/>
      <c r="P617"/>
      <c r="Q617" s="25"/>
      <c r="R617" s="54"/>
      <c r="W617" s="23"/>
      <c r="X617" s="23"/>
      <c r="Y617" s="23"/>
      <c r="Z617" s="43"/>
      <c r="AA617" s="23"/>
      <c r="AB617" s="23"/>
      <c r="AC617" s="23"/>
      <c r="AD617" s="23"/>
      <c r="AE617" s="23"/>
      <c r="AF617" s="23"/>
      <c r="AG617" s="23"/>
      <c r="AH617" s="23"/>
      <c r="AI617" s="49"/>
    </row>
    <row r="618" spans="1:35">
      <c r="A618" s="23"/>
      <c r="B618" s="42"/>
      <c r="G618" s="43"/>
      <c r="H618" s="44"/>
      <c r="L618" s="42"/>
      <c r="M618" s="42"/>
      <c r="N618" s="25"/>
      <c r="O618" s="54"/>
      <c r="P618"/>
      <c r="Q618" s="25"/>
      <c r="R618" s="54"/>
      <c r="W618" s="23"/>
      <c r="X618" s="23"/>
      <c r="Y618" s="23"/>
      <c r="Z618" s="43"/>
      <c r="AA618" s="23"/>
      <c r="AB618" s="23"/>
      <c r="AC618" s="23"/>
      <c r="AD618" s="23"/>
      <c r="AE618" s="23"/>
      <c r="AF618" s="23"/>
      <c r="AG618" s="23"/>
      <c r="AH618" s="23"/>
      <c r="AI618" s="23"/>
    </row>
    <row r="619" spans="1:35">
      <c r="A619" s="23"/>
      <c r="B619" s="42"/>
      <c r="C619" s="49"/>
      <c r="E619" s="49"/>
      <c r="G619" s="43"/>
      <c r="H619" s="44"/>
      <c r="L619" s="42"/>
      <c r="M619" s="42"/>
      <c r="N619" s="25"/>
      <c r="O619" s="54"/>
      <c r="P619"/>
      <c r="Q619" s="25"/>
      <c r="R619" s="54"/>
      <c r="W619" s="23"/>
      <c r="X619" s="23"/>
      <c r="Y619" s="23"/>
      <c r="Z619" s="43"/>
      <c r="AA619" s="23"/>
      <c r="AB619" s="23"/>
      <c r="AC619" s="23"/>
      <c r="AD619" s="23"/>
      <c r="AE619" s="23"/>
      <c r="AF619" s="23"/>
      <c r="AG619" s="23"/>
      <c r="AH619" s="23"/>
      <c r="AI619" s="49"/>
    </row>
    <row r="620" spans="1:35">
      <c r="A620" s="23"/>
      <c r="B620" s="42"/>
      <c r="C620" s="49"/>
      <c r="E620" s="49"/>
      <c r="G620" s="43"/>
      <c r="H620" s="44"/>
      <c r="L620" s="42"/>
      <c r="M620" s="42"/>
      <c r="N620" s="25"/>
      <c r="O620" s="54"/>
      <c r="P620"/>
      <c r="Q620" s="25"/>
      <c r="R620" s="54"/>
      <c r="W620" s="23"/>
      <c r="X620" s="23"/>
      <c r="Y620" s="23"/>
      <c r="Z620" s="43"/>
      <c r="AA620" s="23"/>
      <c r="AB620" s="23"/>
      <c r="AC620" s="23"/>
      <c r="AD620" s="23"/>
      <c r="AE620" s="23"/>
      <c r="AF620" s="23"/>
      <c r="AG620" s="23"/>
      <c r="AH620" s="23"/>
      <c r="AI620" s="49"/>
    </row>
    <row r="621" spans="1:35">
      <c r="A621" s="23"/>
      <c r="B621" s="42"/>
      <c r="C621" s="49"/>
      <c r="E621" s="49"/>
      <c r="G621" s="43"/>
      <c r="H621" s="44"/>
      <c r="L621" s="42"/>
      <c r="M621" s="42"/>
      <c r="N621" s="25"/>
      <c r="O621" s="54"/>
      <c r="P621"/>
      <c r="Q621" s="25"/>
      <c r="R621" s="54"/>
      <c r="W621" s="23"/>
      <c r="X621" s="23"/>
      <c r="Y621" s="23"/>
      <c r="Z621" s="43"/>
      <c r="AA621" s="23"/>
      <c r="AB621" s="23"/>
      <c r="AC621" s="23"/>
      <c r="AD621" s="23"/>
      <c r="AE621" s="23"/>
      <c r="AF621" s="23"/>
      <c r="AG621" s="23"/>
      <c r="AH621" s="23"/>
      <c r="AI621" s="49"/>
    </row>
    <row r="622" spans="1:35">
      <c r="A622" s="23"/>
      <c r="B622" s="42"/>
      <c r="C622" s="49"/>
      <c r="E622" s="49"/>
      <c r="G622" s="43"/>
      <c r="H622" s="44"/>
      <c r="L622" s="42"/>
      <c r="M622" s="42"/>
      <c r="N622" s="25"/>
      <c r="O622" s="54"/>
      <c r="P622"/>
      <c r="Q622" s="25"/>
      <c r="R622" s="54"/>
      <c r="W622" s="23"/>
      <c r="X622" s="23"/>
      <c r="Y622" s="23"/>
      <c r="Z622" s="43"/>
      <c r="AA622" s="23"/>
      <c r="AB622" s="23"/>
      <c r="AC622" s="23"/>
      <c r="AD622" s="23"/>
      <c r="AE622" s="23"/>
      <c r="AF622" s="23"/>
      <c r="AG622" s="23"/>
      <c r="AH622" s="23"/>
      <c r="AI622" s="49"/>
    </row>
    <row r="623" spans="1:35">
      <c r="A623" s="23"/>
      <c r="B623" s="42"/>
      <c r="C623" s="49"/>
      <c r="E623" s="49"/>
      <c r="G623" s="43"/>
      <c r="H623" s="44"/>
      <c r="L623" s="42"/>
      <c r="M623" s="42"/>
      <c r="N623" s="25"/>
      <c r="O623" s="54"/>
      <c r="P623"/>
      <c r="Q623" s="25"/>
      <c r="R623" s="54"/>
      <c r="W623" s="23"/>
      <c r="X623" s="23"/>
      <c r="Y623" s="23"/>
      <c r="Z623" s="43"/>
      <c r="AA623" s="23"/>
      <c r="AB623" s="23"/>
      <c r="AC623" s="23"/>
      <c r="AD623" s="23"/>
      <c r="AE623" s="23"/>
      <c r="AF623" s="23"/>
      <c r="AG623" s="23"/>
      <c r="AH623" s="23"/>
      <c r="AI623" s="49"/>
    </row>
    <row r="624" spans="1:35">
      <c r="A624" s="23"/>
      <c r="B624" s="42"/>
      <c r="C624" s="49"/>
      <c r="E624" s="49"/>
      <c r="G624" s="43"/>
      <c r="H624" s="44"/>
      <c r="L624" s="42"/>
      <c r="M624" s="42"/>
      <c r="N624" s="25"/>
      <c r="O624" s="54"/>
      <c r="P624"/>
      <c r="Q624" s="25"/>
      <c r="R624" s="54"/>
      <c r="W624" s="23"/>
      <c r="X624" s="23"/>
      <c r="Y624" s="23"/>
      <c r="Z624" s="43"/>
      <c r="AA624" s="23"/>
      <c r="AB624" s="23"/>
      <c r="AC624" s="23"/>
      <c r="AD624" s="23"/>
      <c r="AE624" s="23"/>
      <c r="AF624" s="23"/>
      <c r="AG624" s="23"/>
      <c r="AH624" s="23"/>
      <c r="AI624" s="49"/>
    </row>
    <row r="625" spans="1:35">
      <c r="A625" s="23"/>
      <c r="B625" s="42"/>
      <c r="C625" s="49"/>
      <c r="E625" s="49"/>
      <c r="G625" s="43"/>
      <c r="H625" s="44"/>
      <c r="L625" s="42"/>
      <c r="M625" s="42"/>
      <c r="N625" s="25"/>
      <c r="O625" s="54"/>
      <c r="P625"/>
      <c r="Q625" s="25"/>
      <c r="R625" s="54"/>
      <c r="W625" s="23"/>
      <c r="X625" s="23"/>
      <c r="Y625" s="23"/>
      <c r="Z625" s="43"/>
      <c r="AA625" s="23"/>
      <c r="AB625" s="23"/>
      <c r="AC625" s="23"/>
      <c r="AD625" s="23"/>
      <c r="AE625" s="23"/>
      <c r="AF625" s="23"/>
      <c r="AG625" s="23"/>
      <c r="AH625" s="23"/>
      <c r="AI625" s="49"/>
    </row>
    <row r="626" spans="1:35">
      <c r="A626" s="23"/>
      <c r="B626" s="42"/>
      <c r="C626" s="49"/>
      <c r="E626" s="49"/>
      <c r="G626" s="43"/>
      <c r="H626" s="44"/>
      <c r="L626" s="42"/>
      <c r="M626" s="42"/>
      <c r="N626" s="25"/>
      <c r="O626" s="54"/>
      <c r="P626"/>
      <c r="Q626" s="25"/>
      <c r="R626" s="54"/>
      <c r="W626" s="23"/>
      <c r="X626" s="23"/>
      <c r="Y626" s="23"/>
      <c r="Z626" s="43"/>
      <c r="AA626" s="23"/>
      <c r="AB626" s="23"/>
      <c r="AC626" s="23"/>
      <c r="AD626" s="23"/>
      <c r="AE626" s="23"/>
      <c r="AF626" s="23"/>
      <c r="AG626" s="23"/>
      <c r="AH626" s="23"/>
      <c r="AI626" s="49"/>
    </row>
    <row r="627" spans="1:35">
      <c r="A627" s="23"/>
      <c r="B627" s="42"/>
      <c r="C627" s="49"/>
      <c r="E627" s="49"/>
      <c r="G627" s="43"/>
      <c r="H627" s="44"/>
      <c r="L627" s="42"/>
      <c r="M627" s="42"/>
      <c r="N627" s="25"/>
      <c r="O627" s="54"/>
      <c r="P627"/>
      <c r="Q627" s="25"/>
      <c r="R627" s="54"/>
      <c r="W627" s="23"/>
      <c r="X627" s="23"/>
      <c r="Y627" s="23"/>
      <c r="Z627" s="43"/>
      <c r="AA627" s="23"/>
      <c r="AB627" s="23"/>
      <c r="AC627" s="23"/>
      <c r="AD627" s="23"/>
      <c r="AE627" s="23"/>
      <c r="AF627" s="23"/>
      <c r="AG627" s="23"/>
      <c r="AH627" s="23"/>
      <c r="AI627" s="49"/>
    </row>
    <row r="628" spans="1:35">
      <c r="B628" s="42"/>
      <c r="C628" s="49"/>
      <c r="E628" s="49"/>
      <c r="G628" s="43"/>
      <c r="H628" s="44"/>
      <c r="L628" s="42"/>
      <c r="M628" s="42"/>
      <c r="N628" s="25"/>
      <c r="O628" s="54"/>
      <c r="P628"/>
      <c r="Q628" s="25"/>
      <c r="R628" s="54"/>
      <c r="W628" s="23"/>
      <c r="X628" s="23"/>
      <c r="Y628" s="23"/>
      <c r="Z628" s="43"/>
      <c r="AA628" s="23"/>
      <c r="AB628" s="23"/>
      <c r="AC628" s="23"/>
      <c r="AD628" s="23"/>
      <c r="AE628" s="23"/>
      <c r="AF628" s="23"/>
      <c r="AG628" s="23"/>
      <c r="AH628" s="23"/>
      <c r="AI628" s="23"/>
    </row>
    <row r="629" spans="1:35">
      <c r="A629" s="23"/>
      <c r="B629" s="42"/>
      <c r="C629" s="49"/>
      <c r="E629" s="49"/>
      <c r="G629" s="43"/>
      <c r="H629" s="44"/>
      <c r="L629" s="42"/>
      <c r="M629" s="42"/>
      <c r="N629" s="25"/>
      <c r="O629" s="54"/>
      <c r="P629"/>
      <c r="Q629" s="25"/>
      <c r="R629" s="54"/>
      <c r="W629" s="23"/>
      <c r="X629" s="23"/>
      <c r="Y629" s="23"/>
      <c r="Z629" s="43"/>
      <c r="AA629" s="23"/>
      <c r="AB629" s="23"/>
      <c r="AC629" s="23"/>
      <c r="AD629" s="23"/>
      <c r="AE629" s="23"/>
      <c r="AF629" s="23"/>
      <c r="AG629" s="23"/>
      <c r="AH629" s="23"/>
      <c r="AI629" s="49"/>
    </row>
    <row r="630" spans="1:35">
      <c r="A630" s="23"/>
      <c r="B630" s="42"/>
      <c r="C630" s="49"/>
      <c r="E630" s="49"/>
      <c r="G630" s="43"/>
      <c r="H630" s="44"/>
      <c r="L630" s="42"/>
      <c r="M630" s="42"/>
      <c r="N630" s="25"/>
      <c r="O630" s="54"/>
      <c r="P630"/>
      <c r="Q630" s="25"/>
      <c r="R630" s="54"/>
      <c r="W630" s="23"/>
      <c r="X630" s="23"/>
      <c r="Y630" s="23"/>
      <c r="Z630" s="43"/>
      <c r="AA630" s="23"/>
      <c r="AB630" s="23"/>
      <c r="AC630" s="23"/>
      <c r="AD630" s="23"/>
      <c r="AE630" s="23"/>
      <c r="AF630" s="23"/>
      <c r="AG630" s="23"/>
      <c r="AH630" s="23"/>
      <c r="AI630" s="49"/>
    </row>
    <row r="631" spans="1:35">
      <c r="A631" s="23"/>
      <c r="B631" s="42"/>
      <c r="C631" s="49"/>
      <c r="E631" s="49"/>
      <c r="G631" s="43"/>
      <c r="H631" s="44"/>
      <c r="L631" s="42"/>
      <c r="M631" s="42"/>
      <c r="N631" s="25"/>
      <c r="O631" s="54"/>
      <c r="P631"/>
      <c r="Q631" s="25"/>
      <c r="R631" s="54"/>
      <c r="W631" s="23"/>
      <c r="X631" s="23"/>
      <c r="Y631" s="23"/>
      <c r="Z631" s="43"/>
      <c r="AA631" s="23"/>
      <c r="AB631" s="23"/>
      <c r="AC631" s="23"/>
      <c r="AD631" s="23"/>
      <c r="AE631" s="23"/>
      <c r="AF631" s="23"/>
      <c r="AG631" s="23"/>
      <c r="AH631" s="23"/>
      <c r="AI631" s="49"/>
    </row>
    <row r="632" spans="1:35">
      <c r="A632" s="23"/>
      <c r="B632" s="42"/>
      <c r="G632" s="43"/>
      <c r="H632" s="44"/>
      <c r="L632" s="42"/>
      <c r="M632" s="42"/>
      <c r="N632" s="25"/>
      <c r="O632" s="54"/>
      <c r="P632"/>
      <c r="Q632" s="25"/>
      <c r="R632" s="54"/>
      <c r="W632" s="23"/>
      <c r="X632" s="23"/>
      <c r="Y632" s="23"/>
      <c r="Z632" s="43"/>
      <c r="AA632" s="23"/>
      <c r="AB632" s="23"/>
      <c r="AC632" s="23"/>
      <c r="AD632" s="23"/>
      <c r="AE632" s="23"/>
      <c r="AF632" s="23"/>
      <c r="AG632" s="23"/>
      <c r="AH632" s="23"/>
      <c r="AI632" s="23"/>
    </row>
    <row r="633" spans="1:35">
      <c r="A633" s="23"/>
      <c r="B633" s="42"/>
      <c r="C633" s="49"/>
      <c r="E633" s="49"/>
      <c r="G633" s="43"/>
      <c r="H633" s="44"/>
      <c r="L633" s="42"/>
      <c r="M633" s="42"/>
      <c r="N633" s="25"/>
      <c r="O633" s="54"/>
      <c r="P633"/>
      <c r="Q633" s="25"/>
      <c r="R633" s="54"/>
      <c r="W633" s="23"/>
      <c r="X633" s="23"/>
      <c r="Y633" s="23"/>
      <c r="Z633" s="43"/>
      <c r="AA633" s="23"/>
      <c r="AB633" s="23"/>
      <c r="AC633" s="23"/>
      <c r="AD633" s="23"/>
      <c r="AE633" s="23"/>
      <c r="AF633" s="23"/>
      <c r="AG633" s="23"/>
      <c r="AH633" s="23"/>
      <c r="AI633" s="49"/>
    </row>
    <row r="634" spans="1:35">
      <c r="A634" s="23"/>
      <c r="B634" s="42"/>
      <c r="C634" s="49"/>
      <c r="E634" s="49"/>
      <c r="G634" s="43"/>
      <c r="H634" s="44"/>
      <c r="L634" s="42"/>
      <c r="M634" s="42"/>
      <c r="N634" s="25"/>
      <c r="O634" s="54"/>
      <c r="P634"/>
      <c r="Q634" s="25"/>
      <c r="R634" s="54"/>
      <c r="W634" s="23"/>
      <c r="X634" s="23"/>
      <c r="Y634" s="23"/>
      <c r="Z634" s="43"/>
      <c r="AA634" s="23"/>
      <c r="AB634" s="23"/>
      <c r="AC634" s="23"/>
      <c r="AD634" s="23"/>
      <c r="AE634" s="23"/>
      <c r="AF634" s="23"/>
      <c r="AG634" s="23"/>
      <c r="AH634" s="23"/>
      <c r="AI634" s="49"/>
    </row>
    <row r="635" spans="1:35">
      <c r="A635" s="49"/>
      <c r="B635" s="42"/>
      <c r="C635" s="49"/>
      <c r="E635" s="49"/>
      <c r="G635" s="43"/>
      <c r="H635" s="44"/>
      <c r="L635" s="42"/>
      <c r="M635" s="42"/>
      <c r="N635" s="25"/>
      <c r="O635" s="54"/>
      <c r="P635"/>
      <c r="Q635" s="25"/>
      <c r="R635" s="54"/>
      <c r="W635" s="23"/>
      <c r="X635" s="23"/>
      <c r="Y635" s="23"/>
      <c r="Z635" s="43"/>
      <c r="AA635" s="23"/>
      <c r="AB635" s="23"/>
      <c r="AC635" s="23"/>
      <c r="AD635" s="23"/>
      <c r="AE635" s="23"/>
      <c r="AF635" s="23"/>
      <c r="AG635" s="23"/>
      <c r="AH635" s="23"/>
      <c r="AI635" s="49"/>
    </row>
    <row r="636" spans="1:35">
      <c r="A636" s="23"/>
      <c r="B636" s="42"/>
      <c r="C636" s="49"/>
      <c r="E636" s="49"/>
      <c r="G636" s="43"/>
      <c r="H636" s="44"/>
      <c r="L636" s="42"/>
      <c r="M636" s="42"/>
      <c r="N636" s="25"/>
      <c r="O636" s="54"/>
      <c r="P636"/>
      <c r="Q636" s="25"/>
      <c r="R636" s="54"/>
      <c r="W636" s="23"/>
      <c r="X636" s="23"/>
      <c r="Y636" s="23"/>
      <c r="Z636" s="43"/>
      <c r="AA636" s="23"/>
      <c r="AB636" s="23"/>
      <c r="AC636" s="23"/>
      <c r="AD636" s="23"/>
      <c r="AE636" s="23"/>
      <c r="AF636" s="23"/>
      <c r="AG636" s="23"/>
      <c r="AH636" s="23"/>
      <c r="AI636" s="49"/>
    </row>
    <row r="637" spans="1:35">
      <c r="A637" s="23"/>
      <c r="B637" s="42"/>
      <c r="C637" s="49"/>
      <c r="E637" s="49"/>
      <c r="G637" s="43"/>
      <c r="H637" s="44"/>
      <c r="L637" s="42"/>
      <c r="M637" s="42"/>
      <c r="N637" s="25"/>
      <c r="O637" s="54"/>
      <c r="P637"/>
      <c r="Q637" s="25"/>
      <c r="R637" s="54"/>
      <c r="W637" s="23"/>
      <c r="X637" s="23"/>
      <c r="Y637" s="23"/>
      <c r="Z637" s="43"/>
      <c r="AA637" s="23"/>
      <c r="AB637" s="23"/>
      <c r="AC637" s="23"/>
      <c r="AD637" s="23"/>
      <c r="AE637" s="23"/>
      <c r="AF637" s="23"/>
      <c r="AG637" s="23"/>
      <c r="AH637" s="23"/>
      <c r="AI637" s="49"/>
    </row>
    <row r="638" spans="1:35">
      <c r="A638" s="23"/>
      <c r="B638" s="42"/>
      <c r="C638" s="49"/>
      <c r="E638" s="49"/>
      <c r="G638" s="43"/>
      <c r="H638" s="44"/>
      <c r="L638" s="42"/>
      <c r="M638" s="42"/>
      <c r="N638" s="25"/>
      <c r="O638" s="54"/>
      <c r="P638"/>
      <c r="Q638" s="25"/>
      <c r="R638" s="54"/>
      <c r="W638" s="23"/>
      <c r="X638" s="23"/>
      <c r="Y638" s="23"/>
      <c r="Z638" s="43"/>
      <c r="AA638" s="23"/>
      <c r="AB638" s="23"/>
      <c r="AC638" s="23"/>
      <c r="AD638" s="23"/>
      <c r="AE638" s="23"/>
      <c r="AF638" s="23"/>
      <c r="AG638" s="23"/>
      <c r="AH638" s="23"/>
      <c r="AI638" s="49"/>
    </row>
    <row r="639" spans="1:35">
      <c r="B639" s="42"/>
      <c r="G639" s="43"/>
      <c r="H639" s="44"/>
      <c r="L639" s="42"/>
      <c r="M639" s="42"/>
      <c r="N639" s="25"/>
      <c r="O639" s="54"/>
      <c r="P639"/>
      <c r="Q639" s="25"/>
      <c r="R639" s="54"/>
      <c r="W639" s="23"/>
      <c r="X639" s="23"/>
      <c r="Y639" s="23"/>
      <c r="Z639" s="43"/>
      <c r="AA639" s="23"/>
      <c r="AB639" s="23"/>
      <c r="AC639" s="23"/>
      <c r="AD639" s="23"/>
      <c r="AE639" s="23"/>
      <c r="AF639" s="23"/>
      <c r="AG639" s="23"/>
      <c r="AH639" s="23"/>
      <c r="AI639" s="48"/>
    </row>
    <row r="640" spans="1:35">
      <c r="A640" s="23"/>
      <c r="B640" s="42"/>
      <c r="C640" s="49"/>
      <c r="E640" s="49"/>
      <c r="G640" s="43"/>
      <c r="H640" s="44"/>
      <c r="L640" s="42"/>
      <c r="M640" s="42"/>
      <c r="N640" s="25"/>
      <c r="O640" s="54"/>
      <c r="P640"/>
      <c r="Q640" s="25"/>
      <c r="R640" s="54"/>
      <c r="W640" s="23"/>
      <c r="X640" s="23"/>
      <c r="Y640" s="23"/>
      <c r="Z640" s="43"/>
      <c r="AA640" s="23"/>
      <c r="AB640" s="23"/>
      <c r="AC640" s="23"/>
      <c r="AD640" s="23"/>
      <c r="AE640" s="23"/>
      <c r="AF640" s="23"/>
      <c r="AG640" s="23"/>
      <c r="AH640" s="23"/>
      <c r="AI640" s="49"/>
    </row>
    <row r="641" spans="1:35">
      <c r="A641" s="23"/>
      <c r="B641" s="42"/>
      <c r="G641" s="43"/>
      <c r="H641" s="44"/>
      <c r="L641" s="42"/>
      <c r="M641" s="42"/>
      <c r="N641" s="25"/>
      <c r="O641" s="54"/>
      <c r="P641"/>
      <c r="Q641" s="25"/>
      <c r="R641" s="54"/>
      <c r="W641" s="23"/>
      <c r="X641" s="23"/>
      <c r="Y641" s="23"/>
      <c r="Z641" s="43"/>
      <c r="AA641" s="23"/>
      <c r="AB641" s="23"/>
      <c r="AC641" s="23"/>
      <c r="AD641" s="23"/>
      <c r="AE641" s="23"/>
      <c r="AF641" s="23"/>
      <c r="AG641" s="23"/>
      <c r="AH641" s="23"/>
      <c r="AI641" s="23"/>
    </row>
    <row r="642" spans="1:35">
      <c r="A642" s="23"/>
      <c r="B642" s="42"/>
      <c r="C642" s="49"/>
      <c r="E642" s="49"/>
      <c r="G642" s="43"/>
      <c r="H642" s="44"/>
      <c r="L642" s="42"/>
      <c r="M642" s="42"/>
      <c r="N642" s="25"/>
      <c r="O642" s="54"/>
      <c r="P642"/>
      <c r="Q642" s="25"/>
      <c r="R642" s="54"/>
      <c r="W642" s="23"/>
      <c r="X642" s="23"/>
      <c r="Y642" s="23"/>
      <c r="Z642" s="43"/>
      <c r="AA642" s="23"/>
      <c r="AB642" s="23"/>
      <c r="AC642" s="23"/>
      <c r="AD642" s="23"/>
      <c r="AE642" s="23"/>
      <c r="AF642" s="23"/>
      <c r="AG642" s="23"/>
      <c r="AH642" s="23"/>
      <c r="AI642" s="49"/>
    </row>
    <row r="643" spans="1:35">
      <c r="B643" s="42"/>
      <c r="C643" s="49"/>
      <c r="E643" s="49"/>
      <c r="G643" s="43"/>
      <c r="H643" s="44"/>
      <c r="L643" s="42"/>
      <c r="M643" s="42"/>
      <c r="N643" s="25"/>
      <c r="O643" s="54"/>
      <c r="P643"/>
      <c r="Q643" s="25"/>
      <c r="R643" s="54"/>
      <c r="W643" s="23"/>
      <c r="X643" s="23"/>
      <c r="Y643" s="23"/>
      <c r="Z643" s="43"/>
      <c r="AA643" s="23"/>
      <c r="AB643" s="23"/>
      <c r="AC643" s="23"/>
      <c r="AD643" s="23"/>
      <c r="AE643" s="23"/>
      <c r="AF643" s="23"/>
      <c r="AG643" s="23"/>
      <c r="AH643" s="23"/>
      <c r="AI643" s="23"/>
    </row>
    <row r="644" spans="1:35">
      <c r="A644" s="23"/>
      <c r="B644" s="42"/>
      <c r="C644" s="49"/>
      <c r="E644" s="49"/>
      <c r="G644" s="43"/>
      <c r="H644" s="44"/>
      <c r="L644" s="42"/>
      <c r="M644" s="42"/>
      <c r="N644" s="25"/>
      <c r="O644" s="54"/>
      <c r="P644"/>
      <c r="Q644" s="25"/>
      <c r="R644" s="54"/>
      <c r="W644" s="23"/>
      <c r="X644" s="23"/>
      <c r="Y644" s="23"/>
      <c r="Z644" s="43"/>
      <c r="AA644" s="23"/>
      <c r="AB644" s="23"/>
      <c r="AC644" s="23"/>
      <c r="AD644" s="23"/>
      <c r="AE644" s="23"/>
      <c r="AF644" s="23"/>
      <c r="AG644" s="23"/>
      <c r="AH644" s="23"/>
      <c r="AI644" s="49"/>
    </row>
    <row r="645" spans="1:35">
      <c r="A645" s="23"/>
      <c r="B645" s="42"/>
      <c r="C645" s="49"/>
      <c r="E645" s="49"/>
      <c r="G645" s="43"/>
      <c r="H645" s="44"/>
      <c r="L645" s="42"/>
      <c r="M645" s="42"/>
      <c r="N645" s="25"/>
      <c r="O645" s="54"/>
      <c r="P645"/>
      <c r="Q645" s="25"/>
      <c r="R645" s="54"/>
      <c r="W645" s="23"/>
      <c r="X645" s="23"/>
      <c r="Y645" s="23"/>
      <c r="Z645" s="43"/>
      <c r="AA645" s="23"/>
      <c r="AB645" s="23"/>
      <c r="AC645" s="23"/>
      <c r="AD645" s="23"/>
      <c r="AE645" s="23"/>
      <c r="AF645" s="23"/>
      <c r="AG645" s="23"/>
      <c r="AH645" s="23"/>
      <c r="AI645" s="49"/>
    </row>
    <row r="646" spans="1:35">
      <c r="A646" s="23"/>
      <c r="B646" s="42"/>
      <c r="C646" s="49"/>
      <c r="E646" s="49"/>
      <c r="G646" s="43"/>
      <c r="H646" s="44"/>
      <c r="L646" s="42"/>
      <c r="M646" s="42"/>
      <c r="N646" s="25"/>
      <c r="O646" s="54"/>
      <c r="P646"/>
      <c r="Q646" s="25"/>
      <c r="R646" s="54"/>
      <c r="W646" s="23"/>
      <c r="X646" s="23"/>
      <c r="Y646" s="23"/>
      <c r="Z646" s="43"/>
      <c r="AA646" s="23"/>
      <c r="AB646" s="23"/>
      <c r="AC646" s="23"/>
      <c r="AD646" s="23"/>
      <c r="AE646" s="23"/>
      <c r="AF646" s="23"/>
      <c r="AG646" s="23"/>
      <c r="AH646" s="23"/>
      <c r="AI646" s="49"/>
    </row>
    <row r="647" spans="1:35">
      <c r="A647" s="23"/>
      <c r="B647" s="42"/>
      <c r="C647" s="49"/>
      <c r="E647" s="49"/>
      <c r="G647" s="43"/>
      <c r="H647" s="44"/>
      <c r="L647" s="42"/>
      <c r="M647" s="42"/>
      <c r="N647" s="25"/>
      <c r="O647" s="54"/>
      <c r="P647"/>
      <c r="Q647" s="25"/>
      <c r="R647" s="54"/>
      <c r="W647" s="23"/>
      <c r="X647" s="23"/>
      <c r="Y647" s="23"/>
      <c r="Z647" s="43"/>
      <c r="AA647" s="23"/>
      <c r="AB647" s="23"/>
      <c r="AC647" s="23"/>
      <c r="AD647" s="23"/>
      <c r="AE647" s="23"/>
      <c r="AF647" s="23"/>
      <c r="AG647" s="23"/>
      <c r="AH647" s="23"/>
      <c r="AI647" s="49"/>
    </row>
    <row r="648" spans="1:35">
      <c r="A648" s="23"/>
      <c r="B648" s="42"/>
      <c r="C648" s="49"/>
      <c r="E648" s="49"/>
      <c r="G648" s="43"/>
      <c r="H648" s="44"/>
      <c r="L648" s="42"/>
      <c r="M648" s="42"/>
      <c r="N648" s="25"/>
      <c r="O648" s="54"/>
      <c r="P648"/>
      <c r="Q648" s="25"/>
      <c r="R648" s="54"/>
      <c r="W648" s="23"/>
      <c r="X648" s="23"/>
      <c r="Y648" s="23"/>
      <c r="Z648" s="43"/>
      <c r="AA648" s="23"/>
      <c r="AB648" s="23"/>
      <c r="AC648" s="23"/>
      <c r="AD648" s="23"/>
      <c r="AE648" s="23"/>
      <c r="AF648" s="23"/>
      <c r="AG648" s="23"/>
      <c r="AH648" s="23"/>
      <c r="AI648" s="49"/>
    </row>
    <row r="649" spans="1:35">
      <c r="A649" s="23"/>
      <c r="B649" s="42"/>
      <c r="C649" s="49"/>
      <c r="E649" s="49"/>
      <c r="G649" s="43"/>
      <c r="H649" s="44"/>
      <c r="L649" s="42"/>
      <c r="M649" s="42"/>
      <c r="N649" s="25"/>
      <c r="O649" s="54"/>
      <c r="P649"/>
      <c r="Q649" s="25"/>
      <c r="R649" s="54"/>
      <c r="W649" s="23"/>
      <c r="X649" s="23"/>
      <c r="Y649" s="23"/>
      <c r="Z649" s="43"/>
      <c r="AA649" s="23"/>
      <c r="AB649" s="23"/>
      <c r="AC649" s="23"/>
      <c r="AD649" s="23"/>
      <c r="AE649" s="23"/>
      <c r="AF649" s="23"/>
      <c r="AG649" s="23"/>
      <c r="AH649" s="23"/>
      <c r="AI649" s="49"/>
    </row>
    <row r="650" spans="1:35">
      <c r="A650" s="49"/>
      <c r="B650" s="42"/>
      <c r="C650" s="49"/>
      <c r="E650" s="49"/>
      <c r="G650" s="43"/>
      <c r="H650" s="44"/>
      <c r="L650" s="42"/>
      <c r="M650" s="42"/>
      <c r="N650" s="25"/>
      <c r="O650" s="54"/>
      <c r="P650"/>
      <c r="Q650" s="25"/>
      <c r="R650" s="54"/>
      <c r="W650" s="23"/>
      <c r="X650" s="23"/>
      <c r="Y650" s="23"/>
      <c r="Z650" s="43"/>
      <c r="AA650" s="23"/>
      <c r="AB650" s="23"/>
      <c r="AC650" s="23"/>
      <c r="AD650" s="23"/>
      <c r="AE650" s="23"/>
      <c r="AF650" s="23"/>
      <c r="AG650" s="23"/>
      <c r="AH650" s="23"/>
      <c r="AI650" s="49"/>
    </row>
    <row r="651" spans="1:35">
      <c r="A651" s="23"/>
      <c r="B651" s="42"/>
      <c r="C651" s="49"/>
      <c r="E651" s="49"/>
      <c r="G651" s="43"/>
      <c r="H651" s="44"/>
      <c r="L651" s="42"/>
      <c r="M651" s="42"/>
      <c r="N651" s="25"/>
      <c r="O651" s="54"/>
      <c r="P651"/>
      <c r="Q651" s="25"/>
      <c r="R651" s="54"/>
      <c r="W651" s="23"/>
      <c r="X651" s="23"/>
      <c r="Y651" s="23"/>
      <c r="Z651" s="43"/>
      <c r="AA651" s="23"/>
      <c r="AB651" s="23"/>
      <c r="AC651" s="23"/>
      <c r="AD651" s="23"/>
      <c r="AE651" s="23"/>
      <c r="AF651" s="23"/>
      <c r="AG651" s="23"/>
      <c r="AH651" s="23"/>
      <c r="AI651" s="49"/>
    </row>
    <row r="652" spans="1:35">
      <c r="A652" s="23"/>
      <c r="B652" s="42"/>
      <c r="C652" s="49"/>
      <c r="E652" s="49"/>
      <c r="G652" s="43"/>
      <c r="H652" s="44"/>
      <c r="L652" s="42"/>
      <c r="M652" s="42"/>
      <c r="N652" s="25"/>
      <c r="O652" s="54"/>
      <c r="P652"/>
      <c r="Q652" s="25"/>
      <c r="R652" s="54"/>
      <c r="W652" s="23"/>
      <c r="X652" s="23"/>
      <c r="Y652" s="23"/>
      <c r="Z652" s="43"/>
      <c r="AA652" s="23"/>
      <c r="AB652" s="23"/>
      <c r="AC652" s="23"/>
      <c r="AD652" s="23"/>
      <c r="AE652" s="23"/>
      <c r="AF652" s="23"/>
      <c r="AG652" s="23"/>
      <c r="AH652" s="23"/>
      <c r="AI652" s="49"/>
    </row>
    <row r="653" spans="1:35">
      <c r="A653" s="23"/>
      <c r="B653" s="42"/>
      <c r="C653" s="49"/>
      <c r="E653" s="49"/>
      <c r="G653" s="43"/>
      <c r="H653" s="44"/>
      <c r="L653" s="42"/>
      <c r="M653" s="42"/>
      <c r="N653" s="25"/>
      <c r="O653" s="54"/>
      <c r="P653"/>
      <c r="Q653" s="25"/>
      <c r="R653" s="54"/>
      <c r="W653" s="23"/>
      <c r="X653" s="23"/>
      <c r="Y653" s="23"/>
      <c r="Z653" s="43"/>
      <c r="AA653" s="23"/>
      <c r="AB653" s="23"/>
      <c r="AC653" s="23"/>
      <c r="AD653" s="23"/>
      <c r="AE653" s="23"/>
      <c r="AF653" s="23"/>
      <c r="AG653" s="23"/>
      <c r="AH653" s="23"/>
      <c r="AI653" s="49"/>
    </row>
    <row r="654" spans="1:35">
      <c r="A654" s="23"/>
      <c r="B654" s="42"/>
      <c r="C654" s="49"/>
      <c r="E654" s="49"/>
      <c r="G654" s="43"/>
      <c r="H654" s="44"/>
      <c r="L654" s="42"/>
      <c r="M654" s="42"/>
      <c r="N654" s="25"/>
      <c r="O654" s="54"/>
      <c r="P654"/>
      <c r="Q654" s="25"/>
      <c r="R654" s="54"/>
      <c r="W654" s="23"/>
      <c r="X654" s="23"/>
      <c r="Y654" s="23"/>
      <c r="Z654" s="43"/>
      <c r="AA654" s="23"/>
      <c r="AB654" s="23"/>
      <c r="AC654" s="23"/>
      <c r="AD654" s="23"/>
      <c r="AE654" s="23"/>
      <c r="AF654" s="23"/>
      <c r="AG654" s="23"/>
      <c r="AH654" s="23"/>
      <c r="AI654" s="49"/>
    </row>
    <row r="655" spans="1:35">
      <c r="B655" s="42"/>
      <c r="G655" s="43"/>
      <c r="H655" s="44"/>
      <c r="L655" s="42"/>
      <c r="M655" s="42"/>
      <c r="N655" s="25"/>
      <c r="O655" s="54"/>
      <c r="P655"/>
      <c r="Q655" s="25"/>
      <c r="R655" s="54"/>
      <c r="W655" s="23"/>
      <c r="X655" s="23"/>
      <c r="Y655" s="23"/>
      <c r="Z655" s="43"/>
      <c r="AA655" s="23"/>
      <c r="AB655" s="23"/>
      <c r="AC655" s="23"/>
      <c r="AD655" s="23"/>
      <c r="AE655" s="23"/>
      <c r="AF655" s="23"/>
      <c r="AG655" s="23"/>
      <c r="AH655" s="23"/>
      <c r="AI655" s="48"/>
    </row>
    <row r="656" spans="1:35">
      <c r="A656" s="23"/>
      <c r="B656" s="42"/>
      <c r="C656" s="49"/>
      <c r="E656" s="49"/>
      <c r="G656" s="43"/>
      <c r="H656" s="44"/>
      <c r="L656" s="42"/>
      <c r="M656" s="42"/>
      <c r="N656" s="25"/>
      <c r="O656" s="54"/>
      <c r="P656"/>
      <c r="Q656" s="25"/>
      <c r="R656" s="54"/>
      <c r="W656" s="23"/>
      <c r="X656" s="23"/>
      <c r="Y656" s="23"/>
      <c r="Z656" s="43"/>
      <c r="AA656" s="23"/>
      <c r="AB656" s="23"/>
      <c r="AC656" s="23"/>
      <c r="AD656" s="23"/>
      <c r="AE656" s="23"/>
      <c r="AF656" s="23"/>
      <c r="AG656" s="23"/>
      <c r="AH656" s="23"/>
      <c r="AI656" s="49"/>
    </row>
    <row r="657" spans="1:35">
      <c r="A657" s="23"/>
      <c r="B657" s="42"/>
      <c r="C657" s="49"/>
      <c r="E657" s="49"/>
      <c r="G657" s="43"/>
      <c r="H657" s="44"/>
      <c r="L657" s="42"/>
      <c r="M657" s="42"/>
      <c r="N657" s="25"/>
      <c r="O657" s="54"/>
      <c r="P657"/>
      <c r="Q657" s="25"/>
      <c r="R657" s="54"/>
      <c r="W657" s="23"/>
      <c r="X657" s="23"/>
      <c r="Y657" s="23"/>
      <c r="Z657" s="43"/>
      <c r="AA657" s="23"/>
      <c r="AB657" s="23"/>
      <c r="AC657" s="23"/>
      <c r="AD657" s="23"/>
      <c r="AE657" s="23"/>
      <c r="AF657" s="23"/>
      <c r="AG657" s="23"/>
      <c r="AH657" s="23"/>
      <c r="AI657" s="49"/>
    </row>
    <row r="658" spans="1:35">
      <c r="A658" s="23"/>
      <c r="B658" s="42"/>
      <c r="G658" s="43"/>
      <c r="H658" s="44"/>
      <c r="L658" s="42"/>
      <c r="M658" s="42"/>
      <c r="N658" s="25"/>
      <c r="O658" s="54"/>
      <c r="P658"/>
      <c r="Q658" s="25"/>
      <c r="R658" s="54"/>
      <c r="W658" s="23"/>
      <c r="X658" s="23"/>
      <c r="Y658" s="23"/>
      <c r="Z658" s="43"/>
      <c r="AA658" s="23"/>
      <c r="AB658" s="23"/>
      <c r="AC658" s="23"/>
      <c r="AD658" s="23"/>
      <c r="AE658" s="23"/>
      <c r="AF658" s="23"/>
      <c r="AG658" s="23"/>
      <c r="AH658" s="23"/>
    </row>
    <row r="659" spans="1:35">
      <c r="A659" s="23"/>
      <c r="B659" s="42"/>
      <c r="C659" s="49"/>
      <c r="E659" s="49"/>
      <c r="G659" s="43"/>
      <c r="H659" s="44"/>
      <c r="L659" s="42"/>
      <c r="M659" s="42"/>
      <c r="N659" s="25"/>
      <c r="O659" s="54"/>
      <c r="P659"/>
      <c r="Q659" s="25"/>
      <c r="R659" s="54"/>
      <c r="W659" s="23"/>
      <c r="X659" s="23"/>
      <c r="Y659" s="23"/>
      <c r="Z659" s="43"/>
      <c r="AA659" s="23"/>
      <c r="AB659" s="23"/>
      <c r="AC659" s="23"/>
      <c r="AD659" s="23"/>
      <c r="AE659" s="23"/>
      <c r="AF659" s="23"/>
      <c r="AG659" s="23"/>
      <c r="AH659" s="23"/>
      <c r="AI659" s="49"/>
    </row>
    <row r="660" spans="1:35">
      <c r="A660" s="23"/>
      <c r="B660" s="42"/>
      <c r="C660" s="49"/>
      <c r="E660" s="49"/>
      <c r="G660" s="43"/>
      <c r="H660" s="44"/>
      <c r="L660" s="42"/>
      <c r="M660" s="42"/>
      <c r="N660" s="25"/>
      <c r="O660" s="54"/>
      <c r="P660"/>
      <c r="Q660" s="25"/>
      <c r="R660" s="54"/>
      <c r="W660" s="23"/>
      <c r="X660" s="23"/>
      <c r="Y660" s="23"/>
      <c r="Z660" s="43"/>
      <c r="AA660" s="23"/>
      <c r="AB660" s="23"/>
      <c r="AC660" s="23"/>
      <c r="AD660" s="23"/>
      <c r="AE660" s="23"/>
      <c r="AF660" s="23"/>
      <c r="AG660" s="23"/>
      <c r="AH660" s="23"/>
      <c r="AI660" s="49"/>
    </row>
    <row r="661" spans="1:35">
      <c r="A661" s="23"/>
      <c r="B661" s="42"/>
      <c r="C661" s="49"/>
      <c r="E661" s="49"/>
      <c r="G661" s="43"/>
      <c r="H661" s="44"/>
      <c r="L661" s="42"/>
      <c r="M661" s="42"/>
      <c r="N661" s="25"/>
      <c r="O661" s="54"/>
      <c r="P661"/>
      <c r="Q661" s="25"/>
      <c r="R661" s="54"/>
      <c r="W661" s="23"/>
      <c r="X661" s="23"/>
      <c r="Y661" s="23"/>
      <c r="Z661" s="43"/>
      <c r="AA661" s="23"/>
      <c r="AB661" s="23"/>
      <c r="AC661" s="23"/>
      <c r="AD661" s="23"/>
      <c r="AE661" s="23"/>
      <c r="AF661" s="23"/>
      <c r="AG661" s="23"/>
      <c r="AH661" s="23"/>
      <c r="AI661" s="49"/>
    </row>
    <row r="662" spans="1:35">
      <c r="A662" s="23"/>
      <c r="B662" s="42"/>
      <c r="C662" s="49"/>
      <c r="E662" s="49"/>
      <c r="G662" s="43"/>
      <c r="H662" s="44"/>
      <c r="L662" s="42"/>
      <c r="M662" s="42"/>
      <c r="N662" s="25"/>
      <c r="O662" s="54"/>
      <c r="P662"/>
      <c r="Q662" s="25"/>
      <c r="R662" s="54"/>
      <c r="W662" s="23"/>
      <c r="X662" s="23"/>
      <c r="Y662" s="23"/>
      <c r="Z662" s="43"/>
      <c r="AA662" s="23"/>
      <c r="AB662" s="23"/>
      <c r="AC662" s="23"/>
      <c r="AD662" s="23"/>
      <c r="AE662" s="23"/>
      <c r="AF662" s="23"/>
      <c r="AG662" s="23"/>
      <c r="AH662" s="23"/>
      <c r="AI662" s="49"/>
    </row>
    <row r="663" spans="1:35">
      <c r="A663" s="23"/>
      <c r="B663" s="42"/>
      <c r="C663" s="49"/>
      <c r="E663" s="49"/>
      <c r="G663" s="43"/>
      <c r="H663" s="44"/>
      <c r="L663" s="42"/>
      <c r="M663" s="42"/>
      <c r="N663" s="25"/>
      <c r="O663" s="54"/>
      <c r="P663"/>
      <c r="Q663" s="25"/>
      <c r="R663" s="54"/>
      <c r="W663" s="23"/>
      <c r="X663" s="23"/>
      <c r="Y663" s="23"/>
      <c r="Z663" s="43"/>
      <c r="AA663" s="23"/>
      <c r="AB663" s="23"/>
      <c r="AC663" s="23"/>
      <c r="AD663" s="23"/>
      <c r="AE663" s="23"/>
      <c r="AF663" s="23"/>
      <c r="AG663" s="23"/>
      <c r="AH663" s="23"/>
      <c r="AI663" s="49"/>
    </row>
    <row r="664" spans="1:35">
      <c r="A664" s="23"/>
      <c r="B664" s="42"/>
      <c r="C664" s="49"/>
      <c r="E664" s="49"/>
      <c r="G664" s="43"/>
      <c r="H664" s="44"/>
      <c r="L664" s="42"/>
      <c r="M664" s="42"/>
      <c r="N664" s="25"/>
      <c r="O664" s="54"/>
      <c r="P664"/>
      <c r="Q664" s="25"/>
      <c r="R664" s="54"/>
      <c r="W664" s="23"/>
      <c r="X664" s="23"/>
      <c r="Y664" s="23"/>
      <c r="Z664" s="43"/>
      <c r="AA664" s="23"/>
      <c r="AB664" s="23"/>
      <c r="AC664" s="23"/>
      <c r="AD664" s="23"/>
      <c r="AE664" s="23"/>
      <c r="AF664" s="23"/>
      <c r="AG664" s="23"/>
      <c r="AH664" s="23"/>
      <c r="AI664" s="49"/>
    </row>
    <row r="665" spans="1:35">
      <c r="A665" s="23"/>
      <c r="B665" s="42"/>
      <c r="G665" s="43"/>
      <c r="H665" s="44"/>
      <c r="L665" s="42"/>
      <c r="M665" s="42"/>
      <c r="N665" s="25"/>
      <c r="O665" s="54"/>
      <c r="P665"/>
      <c r="Q665" s="25"/>
      <c r="R665" s="54"/>
      <c r="W665" s="23"/>
      <c r="X665" s="23"/>
      <c r="Y665" s="23"/>
      <c r="Z665" s="43"/>
      <c r="AA665" s="23"/>
      <c r="AB665" s="23"/>
      <c r="AC665" s="23"/>
      <c r="AD665" s="23"/>
      <c r="AE665" s="23"/>
      <c r="AF665" s="23"/>
      <c r="AG665" s="23"/>
      <c r="AH665" s="23"/>
      <c r="AI665" s="23"/>
    </row>
    <row r="666" spans="1:35">
      <c r="A666" s="23"/>
      <c r="B666" s="42"/>
      <c r="C666" s="49"/>
      <c r="E666" s="49"/>
      <c r="G666" s="43"/>
      <c r="H666" s="44"/>
      <c r="L666" s="42"/>
      <c r="M666" s="42"/>
      <c r="N666" s="25"/>
      <c r="O666" s="54"/>
      <c r="P666"/>
      <c r="Q666" s="25"/>
      <c r="R666" s="54"/>
      <c r="W666" s="23"/>
      <c r="X666" s="23"/>
      <c r="Y666" s="23"/>
      <c r="Z666" s="43"/>
      <c r="AA666" s="23"/>
      <c r="AB666" s="23"/>
      <c r="AC666" s="23"/>
      <c r="AD666" s="23"/>
      <c r="AE666" s="23"/>
      <c r="AF666" s="23"/>
      <c r="AG666" s="23"/>
      <c r="AH666" s="23"/>
      <c r="AI666" s="49"/>
    </row>
    <row r="667" spans="1:35">
      <c r="A667" s="23"/>
      <c r="B667" s="42"/>
      <c r="G667" s="43"/>
      <c r="H667" s="44"/>
      <c r="L667" s="42"/>
      <c r="M667" s="42"/>
      <c r="N667" s="25"/>
      <c r="O667" s="54"/>
      <c r="P667"/>
      <c r="Q667" s="25"/>
      <c r="R667" s="54"/>
      <c r="W667" s="23"/>
      <c r="X667" s="23"/>
      <c r="Y667" s="23"/>
      <c r="Z667" s="43"/>
      <c r="AA667" s="23"/>
      <c r="AB667" s="23"/>
      <c r="AC667" s="23"/>
      <c r="AD667" s="23"/>
      <c r="AE667" s="23"/>
      <c r="AF667" s="23"/>
      <c r="AG667" s="23"/>
      <c r="AH667" s="23"/>
    </row>
    <row r="668" spans="1:35">
      <c r="A668" s="23"/>
      <c r="B668" s="42"/>
      <c r="C668" s="49"/>
      <c r="E668" s="49"/>
      <c r="G668" s="43"/>
      <c r="H668" s="44"/>
      <c r="L668" s="42"/>
      <c r="M668" s="42"/>
      <c r="N668" s="25"/>
      <c r="O668" s="54"/>
      <c r="P668"/>
      <c r="Q668" s="25"/>
      <c r="R668" s="54"/>
      <c r="W668" s="23"/>
      <c r="X668" s="23"/>
      <c r="Y668" s="23"/>
      <c r="Z668" s="43"/>
      <c r="AA668" s="23"/>
      <c r="AB668" s="23"/>
      <c r="AC668" s="23"/>
      <c r="AD668" s="23"/>
      <c r="AE668" s="23"/>
      <c r="AF668" s="23"/>
      <c r="AG668" s="23"/>
      <c r="AH668" s="23"/>
      <c r="AI668" s="49"/>
    </row>
    <row r="669" spans="1:35">
      <c r="A669" s="23"/>
      <c r="B669" s="42"/>
      <c r="C669" s="49"/>
      <c r="E669" s="49"/>
      <c r="G669" s="43"/>
      <c r="H669" s="44"/>
      <c r="L669" s="42"/>
      <c r="M669" s="42"/>
      <c r="N669" s="25"/>
      <c r="O669" s="54"/>
      <c r="P669"/>
      <c r="Q669" s="25"/>
      <c r="R669" s="54"/>
      <c r="W669" s="23"/>
      <c r="X669" s="23"/>
      <c r="Y669" s="23"/>
      <c r="Z669" s="43"/>
      <c r="AA669" s="23"/>
      <c r="AB669" s="23"/>
      <c r="AC669" s="23"/>
      <c r="AD669" s="23"/>
      <c r="AE669" s="23"/>
      <c r="AF669" s="23"/>
      <c r="AG669" s="23"/>
      <c r="AH669" s="23"/>
      <c r="AI669" s="49"/>
    </row>
    <row r="670" spans="1:35">
      <c r="B670" s="42"/>
      <c r="G670" s="43"/>
      <c r="H670" s="44"/>
      <c r="L670" s="42"/>
      <c r="M670" s="42"/>
      <c r="N670" s="25"/>
      <c r="O670" s="54"/>
      <c r="P670"/>
      <c r="Q670" s="25"/>
      <c r="R670" s="54"/>
      <c r="W670" s="23"/>
      <c r="X670" s="23"/>
      <c r="Y670" s="23"/>
      <c r="Z670" s="43"/>
      <c r="AA670" s="23"/>
      <c r="AB670" s="23"/>
      <c r="AC670" s="23"/>
      <c r="AD670" s="23"/>
      <c r="AE670" s="23"/>
      <c r="AF670" s="23"/>
      <c r="AG670" s="23"/>
      <c r="AH670" s="23"/>
      <c r="AI670" s="48"/>
    </row>
    <row r="671" spans="1:35">
      <c r="A671" s="23"/>
      <c r="B671" s="42"/>
      <c r="G671" s="43"/>
      <c r="H671" s="44"/>
      <c r="L671" s="42"/>
      <c r="M671" s="42"/>
      <c r="N671" s="25"/>
      <c r="O671" s="54"/>
      <c r="P671"/>
      <c r="Q671" s="25"/>
      <c r="R671" s="54"/>
      <c r="W671" s="23"/>
      <c r="X671" s="23"/>
      <c r="Y671" s="23"/>
      <c r="Z671" s="43"/>
      <c r="AA671" s="23"/>
      <c r="AB671" s="23"/>
      <c r="AC671" s="23"/>
      <c r="AD671" s="23"/>
      <c r="AE671" s="23"/>
      <c r="AF671" s="23"/>
      <c r="AG671" s="23"/>
      <c r="AH671" s="23"/>
      <c r="AI671" s="23"/>
    </row>
    <row r="672" spans="1:35">
      <c r="B672" s="42"/>
      <c r="C672" s="49"/>
      <c r="E672" s="49"/>
      <c r="G672" s="43"/>
      <c r="H672" s="44"/>
      <c r="L672" s="42"/>
      <c r="M672" s="42"/>
      <c r="N672" s="25"/>
      <c r="O672" s="54"/>
      <c r="P672"/>
      <c r="Q672" s="25"/>
      <c r="R672" s="54"/>
      <c r="W672" s="23"/>
      <c r="X672" s="23"/>
      <c r="Y672" s="23"/>
      <c r="Z672" s="43"/>
      <c r="AA672" s="23"/>
      <c r="AB672" s="23"/>
      <c r="AC672" s="23"/>
      <c r="AD672" s="23"/>
      <c r="AE672" s="23"/>
      <c r="AF672" s="23"/>
      <c r="AG672" s="23"/>
      <c r="AH672" s="23"/>
      <c r="AI672" s="23"/>
    </row>
    <row r="673" spans="1:35">
      <c r="A673" s="23"/>
      <c r="B673" s="42"/>
      <c r="C673" s="49"/>
      <c r="E673" s="49"/>
      <c r="G673" s="43"/>
      <c r="H673" s="44"/>
      <c r="L673" s="42"/>
      <c r="M673" s="42"/>
      <c r="N673" s="25"/>
      <c r="O673" s="54"/>
      <c r="P673"/>
      <c r="Q673" s="25"/>
      <c r="R673" s="54"/>
      <c r="W673" s="23"/>
      <c r="X673" s="23"/>
      <c r="Y673" s="23"/>
      <c r="Z673" s="43"/>
      <c r="AA673" s="23"/>
      <c r="AB673" s="23"/>
      <c r="AC673" s="23"/>
      <c r="AD673" s="23"/>
      <c r="AE673" s="23"/>
      <c r="AF673" s="23"/>
      <c r="AG673" s="23"/>
      <c r="AH673" s="23"/>
      <c r="AI673" s="49"/>
    </row>
    <row r="674" spans="1:35">
      <c r="A674" s="23"/>
      <c r="B674" s="42"/>
      <c r="C674" s="49"/>
      <c r="E674" s="49"/>
      <c r="G674" s="43"/>
      <c r="H674" s="44"/>
      <c r="L674" s="42"/>
      <c r="M674" s="42"/>
      <c r="N674" s="25"/>
      <c r="O674" s="54"/>
      <c r="P674"/>
      <c r="Q674" s="25"/>
      <c r="R674" s="54"/>
      <c r="W674" s="23"/>
      <c r="X674" s="23"/>
      <c r="Y674" s="23"/>
      <c r="Z674" s="43"/>
      <c r="AA674" s="23"/>
      <c r="AB674" s="23"/>
      <c r="AC674" s="23"/>
      <c r="AD674" s="23"/>
      <c r="AE674" s="23"/>
      <c r="AF674" s="23"/>
      <c r="AG674" s="23"/>
      <c r="AH674" s="23"/>
      <c r="AI674" s="49"/>
    </row>
    <row r="675" spans="1:35">
      <c r="A675" s="23"/>
      <c r="B675" s="42"/>
      <c r="C675" s="49"/>
      <c r="E675" s="49"/>
      <c r="G675" s="43"/>
      <c r="H675" s="44"/>
      <c r="L675" s="42"/>
      <c r="M675" s="42"/>
      <c r="N675" s="25"/>
      <c r="O675" s="54"/>
      <c r="P675"/>
      <c r="Q675" s="25"/>
      <c r="R675" s="54"/>
      <c r="W675" s="23"/>
      <c r="X675" s="23"/>
      <c r="Y675" s="23"/>
      <c r="Z675" s="43"/>
      <c r="AA675" s="23"/>
      <c r="AB675" s="23"/>
      <c r="AC675" s="23"/>
      <c r="AD675" s="23"/>
      <c r="AE675" s="23"/>
      <c r="AF675" s="23"/>
      <c r="AG675" s="23"/>
      <c r="AH675" s="23"/>
      <c r="AI675" s="49"/>
    </row>
    <row r="676" spans="1:35">
      <c r="B676" s="42"/>
      <c r="G676" s="43"/>
      <c r="H676" s="44"/>
      <c r="L676" s="42"/>
      <c r="M676" s="42"/>
      <c r="N676" s="25"/>
      <c r="O676" s="54"/>
      <c r="P676"/>
      <c r="Q676" s="25"/>
      <c r="R676" s="54"/>
      <c r="W676" s="23"/>
      <c r="X676" s="23"/>
      <c r="Y676" s="23"/>
      <c r="Z676" s="43"/>
      <c r="AA676" s="23"/>
      <c r="AB676" s="23"/>
      <c r="AC676" s="23"/>
      <c r="AD676" s="23"/>
      <c r="AE676" s="23"/>
      <c r="AF676" s="23"/>
      <c r="AG676" s="23"/>
      <c r="AH676" s="23"/>
    </row>
    <row r="677" spans="1:35">
      <c r="A677" s="23"/>
      <c r="B677" s="42"/>
      <c r="C677" s="49"/>
      <c r="E677" s="49"/>
      <c r="G677" s="43"/>
      <c r="H677" s="44"/>
      <c r="L677" s="42"/>
      <c r="M677" s="42"/>
      <c r="N677" s="25"/>
      <c r="O677" s="54"/>
      <c r="P677"/>
      <c r="Q677" s="25"/>
      <c r="R677" s="54"/>
      <c r="W677" s="23"/>
      <c r="X677" s="23"/>
      <c r="Y677" s="23"/>
      <c r="Z677" s="43"/>
      <c r="AA677" s="23"/>
      <c r="AB677" s="23"/>
      <c r="AC677" s="23"/>
      <c r="AD677" s="23"/>
      <c r="AE677" s="23"/>
      <c r="AF677" s="23"/>
      <c r="AG677" s="23"/>
      <c r="AH677" s="23"/>
      <c r="AI677" s="49"/>
    </row>
    <row r="678" spans="1:35">
      <c r="A678" s="23"/>
      <c r="B678" s="42"/>
      <c r="C678" s="49"/>
      <c r="E678" s="49"/>
      <c r="G678" s="43"/>
      <c r="H678" s="44"/>
      <c r="L678" s="42"/>
      <c r="M678" s="42"/>
      <c r="N678" s="25"/>
      <c r="O678" s="54"/>
      <c r="P678"/>
      <c r="Q678" s="25"/>
      <c r="R678" s="54"/>
      <c r="W678" s="23"/>
      <c r="X678" s="23"/>
      <c r="Y678" s="23"/>
      <c r="Z678" s="43"/>
      <c r="AA678" s="23"/>
      <c r="AB678" s="23"/>
      <c r="AC678" s="23"/>
      <c r="AD678" s="23"/>
      <c r="AE678" s="23"/>
      <c r="AF678" s="23"/>
      <c r="AG678" s="23"/>
      <c r="AH678" s="23"/>
      <c r="AI678" s="49"/>
    </row>
    <row r="679" spans="1:35">
      <c r="A679" s="23"/>
      <c r="B679" s="42"/>
      <c r="C679" s="49"/>
      <c r="E679" s="49"/>
      <c r="G679" s="43"/>
      <c r="H679" s="44"/>
      <c r="L679" s="42"/>
      <c r="M679" s="42"/>
      <c r="N679" s="25"/>
      <c r="O679" s="54"/>
      <c r="P679"/>
      <c r="Q679" s="25"/>
      <c r="R679" s="54"/>
      <c r="W679" s="23"/>
      <c r="X679" s="23"/>
      <c r="Y679" s="23"/>
      <c r="Z679" s="43"/>
      <c r="AA679" s="23"/>
      <c r="AB679" s="23"/>
      <c r="AC679" s="23"/>
      <c r="AD679" s="23"/>
      <c r="AE679" s="23"/>
      <c r="AF679" s="23"/>
      <c r="AG679" s="23"/>
      <c r="AH679" s="23"/>
      <c r="AI679" s="49"/>
    </row>
    <row r="680" spans="1:35">
      <c r="B680" s="42"/>
      <c r="G680" s="43"/>
      <c r="H680" s="44"/>
      <c r="L680" s="42"/>
      <c r="M680" s="42"/>
      <c r="N680" s="25"/>
      <c r="O680" s="54"/>
      <c r="P680"/>
      <c r="Q680" s="25"/>
      <c r="R680" s="54"/>
      <c r="W680" s="23"/>
      <c r="X680" s="23"/>
      <c r="Y680" s="23"/>
      <c r="Z680" s="43"/>
      <c r="AA680" s="23"/>
      <c r="AB680" s="23"/>
      <c r="AC680" s="23"/>
      <c r="AD680" s="23"/>
      <c r="AE680" s="23"/>
      <c r="AF680" s="23"/>
      <c r="AG680" s="23"/>
      <c r="AH680" s="23"/>
      <c r="AI680" s="48"/>
    </row>
    <row r="681" spans="1:35">
      <c r="A681" s="49"/>
      <c r="B681" s="42"/>
      <c r="C681" s="49"/>
      <c r="E681" s="49"/>
      <c r="G681" s="43"/>
      <c r="H681" s="44"/>
      <c r="L681" s="42"/>
      <c r="M681" s="42"/>
      <c r="N681" s="25"/>
      <c r="O681" s="54"/>
      <c r="P681"/>
      <c r="Q681" s="25"/>
      <c r="R681" s="54"/>
      <c r="W681" s="23"/>
      <c r="X681" s="23"/>
      <c r="Y681" s="23"/>
      <c r="Z681" s="43"/>
      <c r="AA681" s="23"/>
      <c r="AB681" s="23"/>
      <c r="AC681" s="23"/>
      <c r="AD681" s="23"/>
      <c r="AE681" s="23"/>
      <c r="AF681" s="23"/>
      <c r="AG681" s="23"/>
      <c r="AH681" s="23"/>
      <c r="AI681" s="49"/>
    </row>
    <row r="682" spans="1:35">
      <c r="A682" s="23"/>
      <c r="B682" s="42"/>
      <c r="C682" s="49"/>
      <c r="E682" s="49"/>
      <c r="G682" s="43"/>
      <c r="H682" s="44"/>
      <c r="L682" s="42"/>
      <c r="M682" s="42"/>
      <c r="N682" s="25"/>
      <c r="O682" s="54"/>
      <c r="P682"/>
      <c r="Q682" s="25"/>
      <c r="R682" s="54"/>
      <c r="W682" s="23"/>
      <c r="X682" s="23"/>
      <c r="Y682" s="23"/>
      <c r="Z682" s="43"/>
      <c r="AA682" s="23"/>
      <c r="AB682" s="23"/>
      <c r="AC682" s="23"/>
      <c r="AD682" s="23"/>
      <c r="AE682" s="23"/>
      <c r="AF682" s="23"/>
      <c r="AG682" s="23"/>
      <c r="AH682" s="23"/>
      <c r="AI682" s="49"/>
    </row>
    <row r="683" spans="1:35">
      <c r="B683" s="42"/>
      <c r="G683" s="43"/>
      <c r="H683" s="44"/>
      <c r="L683" s="42"/>
      <c r="M683" s="42"/>
      <c r="N683" s="25"/>
      <c r="O683" s="54"/>
      <c r="P683"/>
      <c r="Q683" s="25"/>
      <c r="R683" s="54"/>
      <c r="W683" s="23"/>
      <c r="X683" s="23"/>
      <c r="Y683" s="23"/>
      <c r="Z683" s="43"/>
      <c r="AA683" s="23"/>
      <c r="AB683" s="23"/>
      <c r="AC683" s="23"/>
      <c r="AD683" s="23"/>
      <c r="AE683" s="23"/>
      <c r="AF683" s="23"/>
      <c r="AG683" s="23"/>
      <c r="AH683" s="23"/>
      <c r="AI683" s="48"/>
    </row>
    <row r="684" spans="1:35">
      <c r="A684" s="23"/>
      <c r="B684" s="42"/>
      <c r="C684" s="49"/>
      <c r="E684" s="49"/>
      <c r="G684" s="43"/>
      <c r="H684" s="44"/>
      <c r="L684" s="42"/>
      <c r="M684" s="42"/>
      <c r="N684" s="25"/>
      <c r="O684" s="54"/>
      <c r="P684"/>
      <c r="Q684" s="25"/>
      <c r="R684" s="54"/>
      <c r="W684" s="23"/>
      <c r="X684" s="23"/>
      <c r="Y684" s="23"/>
      <c r="Z684" s="43"/>
      <c r="AA684" s="23"/>
      <c r="AB684" s="23"/>
      <c r="AC684" s="23"/>
      <c r="AD684" s="23"/>
      <c r="AE684" s="23"/>
      <c r="AF684" s="23"/>
      <c r="AG684" s="23"/>
      <c r="AH684" s="23"/>
      <c r="AI684" s="49"/>
    </row>
    <row r="685" spans="1:35">
      <c r="A685" s="23"/>
      <c r="B685" s="42"/>
      <c r="C685" s="49"/>
      <c r="E685" s="49"/>
      <c r="G685" s="43"/>
      <c r="H685" s="44"/>
      <c r="L685" s="42"/>
      <c r="M685" s="42"/>
      <c r="N685" s="25"/>
      <c r="O685" s="54"/>
      <c r="P685"/>
      <c r="Q685" s="25"/>
      <c r="R685" s="54"/>
      <c r="W685" s="23"/>
      <c r="X685" s="23"/>
      <c r="Y685" s="23"/>
      <c r="Z685" s="43"/>
      <c r="AA685" s="23"/>
      <c r="AB685" s="23"/>
      <c r="AC685" s="23"/>
      <c r="AD685" s="23"/>
      <c r="AE685" s="23"/>
      <c r="AF685" s="23"/>
      <c r="AG685" s="23"/>
      <c r="AH685" s="23"/>
      <c r="AI685" s="49"/>
    </row>
    <row r="686" spans="1:35">
      <c r="A686" s="23"/>
      <c r="B686" s="42"/>
      <c r="C686" s="49"/>
      <c r="E686" s="49"/>
      <c r="G686" s="43"/>
      <c r="H686" s="44"/>
      <c r="L686" s="42"/>
      <c r="M686" s="42"/>
      <c r="N686" s="25"/>
      <c r="O686" s="54"/>
      <c r="P686"/>
      <c r="Q686" s="25"/>
      <c r="R686" s="54"/>
      <c r="W686" s="23"/>
      <c r="X686" s="23"/>
      <c r="Y686" s="23"/>
      <c r="Z686" s="43"/>
      <c r="AA686" s="23"/>
      <c r="AB686" s="23"/>
      <c r="AC686" s="23"/>
      <c r="AD686" s="23"/>
      <c r="AE686" s="23"/>
      <c r="AF686" s="23"/>
      <c r="AG686" s="23"/>
      <c r="AH686" s="23"/>
      <c r="AI686" s="49"/>
    </row>
    <row r="687" spans="1:35">
      <c r="A687" s="49"/>
      <c r="B687" s="42"/>
      <c r="C687" s="49"/>
      <c r="E687" s="49"/>
      <c r="G687" s="43"/>
      <c r="H687" s="44"/>
      <c r="L687" s="42"/>
      <c r="M687" s="42"/>
      <c r="N687" s="25"/>
      <c r="O687" s="54"/>
      <c r="P687"/>
      <c r="Q687" s="25"/>
      <c r="R687" s="54"/>
      <c r="W687" s="23"/>
      <c r="X687" s="23"/>
      <c r="Y687" s="23"/>
      <c r="Z687" s="43"/>
      <c r="AA687" s="23"/>
      <c r="AB687" s="23"/>
      <c r="AC687" s="23"/>
      <c r="AD687" s="23"/>
      <c r="AE687" s="23"/>
      <c r="AF687" s="23"/>
      <c r="AG687" s="23"/>
      <c r="AH687" s="23"/>
      <c r="AI687" s="49"/>
    </row>
    <row r="688" spans="1:35">
      <c r="A688" s="23"/>
      <c r="B688" s="42"/>
      <c r="C688" s="49"/>
      <c r="E688" s="49"/>
      <c r="G688" s="43"/>
      <c r="H688" s="44"/>
      <c r="L688" s="42"/>
      <c r="M688" s="42"/>
      <c r="N688" s="25"/>
      <c r="O688" s="54"/>
      <c r="P688"/>
      <c r="Q688" s="25"/>
      <c r="R688" s="54"/>
      <c r="W688" s="23"/>
      <c r="X688" s="23"/>
      <c r="Y688" s="23"/>
      <c r="Z688" s="43"/>
      <c r="AA688" s="23"/>
      <c r="AB688" s="23"/>
      <c r="AC688" s="23"/>
      <c r="AD688" s="23"/>
      <c r="AE688" s="23"/>
      <c r="AF688" s="23"/>
      <c r="AG688" s="23"/>
      <c r="AH688" s="23"/>
      <c r="AI688" s="49"/>
    </row>
    <row r="689" spans="1:35">
      <c r="A689" s="23"/>
      <c r="B689" s="42"/>
      <c r="C689" s="49"/>
      <c r="E689" s="49"/>
      <c r="G689" s="43"/>
      <c r="H689" s="44"/>
      <c r="L689" s="42"/>
      <c r="M689" s="42"/>
      <c r="N689" s="25"/>
      <c r="O689" s="54"/>
      <c r="P689"/>
      <c r="Q689" s="25"/>
      <c r="R689" s="54"/>
      <c r="W689" s="23"/>
      <c r="X689" s="23"/>
      <c r="Y689" s="23"/>
      <c r="Z689" s="43"/>
      <c r="AA689" s="23"/>
      <c r="AB689" s="23"/>
      <c r="AC689" s="23"/>
      <c r="AD689" s="23"/>
      <c r="AE689" s="23"/>
      <c r="AF689" s="23"/>
      <c r="AG689" s="23"/>
      <c r="AH689" s="23"/>
      <c r="AI689" s="49"/>
    </row>
    <row r="690" spans="1:35">
      <c r="A690" s="49"/>
      <c r="B690" s="42"/>
      <c r="C690" s="49"/>
      <c r="E690" s="49"/>
      <c r="G690" s="43"/>
      <c r="H690" s="44"/>
      <c r="L690" s="42"/>
      <c r="M690" s="42"/>
      <c r="N690" s="25"/>
      <c r="O690" s="54"/>
      <c r="P690"/>
      <c r="Q690" s="25"/>
      <c r="R690" s="54"/>
      <c r="W690" s="23"/>
      <c r="X690" s="23"/>
      <c r="Y690" s="23"/>
      <c r="Z690" s="43"/>
      <c r="AA690" s="23"/>
      <c r="AB690" s="23"/>
      <c r="AC690" s="23"/>
      <c r="AD690" s="23"/>
      <c r="AE690" s="23"/>
      <c r="AF690" s="23"/>
      <c r="AG690" s="23"/>
      <c r="AH690" s="23"/>
      <c r="AI690" s="49"/>
    </row>
    <row r="691" spans="1:35">
      <c r="A691" s="23"/>
      <c r="B691" s="42"/>
      <c r="G691" s="43"/>
      <c r="H691" s="44"/>
      <c r="L691" s="42"/>
      <c r="M691" s="42"/>
      <c r="N691" s="25"/>
      <c r="O691" s="54"/>
      <c r="P691"/>
      <c r="Q691" s="25"/>
      <c r="R691" s="54"/>
      <c r="W691" s="23"/>
      <c r="X691" s="23"/>
      <c r="Y691" s="23"/>
      <c r="Z691" s="43"/>
      <c r="AA691" s="23"/>
      <c r="AB691" s="23"/>
      <c r="AC691" s="23"/>
      <c r="AD691" s="23"/>
      <c r="AE691" s="23"/>
      <c r="AF691" s="23"/>
      <c r="AG691" s="23"/>
      <c r="AH691" s="23"/>
      <c r="AI691" s="23"/>
    </row>
    <row r="692" spans="1:35">
      <c r="A692" s="23"/>
      <c r="B692" s="42"/>
      <c r="C692" s="49"/>
      <c r="E692" s="49"/>
      <c r="G692" s="43"/>
      <c r="H692" s="44"/>
      <c r="L692" s="42"/>
      <c r="M692" s="42"/>
      <c r="N692" s="25"/>
      <c r="O692" s="54"/>
      <c r="P692"/>
      <c r="Q692" s="25"/>
      <c r="R692" s="54"/>
      <c r="W692" s="23"/>
      <c r="X692" s="23"/>
      <c r="Y692" s="23"/>
      <c r="Z692" s="43"/>
      <c r="AA692" s="23"/>
      <c r="AB692" s="23"/>
      <c r="AC692" s="23"/>
      <c r="AD692" s="23"/>
      <c r="AE692" s="23"/>
      <c r="AF692" s="23"/>
      <c r="AG692" s="23"/>
      <c r="AH692" s="23"/>
      <c r="AI692" s="49"/>
    </row>
    <row r="693" spans="1:35">
      <c r="A693" s="23"/>
      <c r="B693" s="42"/>
      <c r="C693" s="49"/>
      <c r="E693" s="49"/>
      <c r="G693" s="43"/>
      <c r="H693" s="44"/>
      <c r="L693" s="42"/>
      <c r="M693" s="42"/>
      <c r="N693" s="25"/>
      <c r="O693" s="54"/>
      <c r="P693"/>
      <c r="Q693" s="25"/>
      <c r="R693" s="54"/>
      <c r="W693" s="23"/>
      <c r="X693" s="23"/>
      <c r="Y693" s="23"/>
      <c r="Z693" s="43"/>
      <c r="AA693" s="23"/>
      <c r="AB693" s="23"/>
      <c r="AC693" s="23"/>
      <c r="AD693" s="23"/>
      <c r="AE693" s="23"/>
      <c r="AF693" s="23"/>
      <c r="AG693" s="23"/>
      <c r="AH693" s="23"/>
      <c r="AI693" s="49"/>
    </row>
    <row r="694" spans="1:35">
      <c r="A694" s="50"/>
      <c r="B694" s="42"/>
      <c r="C694" s="49"/>
      <c r="E694" s="49"/>
      <c r="G694" s="43"/>
      <c r="H694" s="44"/>
      <c r="L694" s="42"/>
      <c r="M694" s="42"/>
      <c r="N694" s="25"/>
      <c r="O694" s="54"/>
      <c r="P694"/>
      <c r="Q694" s="25"/>
      <c r="R694" s="54"/>
      <c r="W694" s="23"/>
      <c r="X694" s="23"/>
      <c r="Y694" s="23"/>
      <c r="Z694" s="43"/>
      <c r="AA694" s="23"/>
      <c r="AB694" s="23"/>
      <c r="AC694" s="23"/>
      <c r="AD694" s="23"/>
      <c r="AE694" s="23"/>
      <c r="AF694" s="23"/>
      <c r="AG694" s="23"/>
      <c r="AH694" s="23"/>
      <c r="AI694" s="49"/>
    </row>
    <row r="695" spans="1:35">
      <c r="A695" s="23"/>
      <c r="B695" s="42"/>
      <c r="C695" s="49"/>
      <c r="E695" s="49"/>
      <c r="G695" s="43"/>
      <c r="H695" s="44"/>
      <c r="L695" s="42"/>
      <c r="M695" s="42"/>
      <c r="N695" s="25"/>
      <c r="O695" s="54"/>
      <c r="P695"/>
      <c r="Q695" s="25"/>
      <c r="R695" s="54"/>
      <c r="W695" s="23"/>
      <c r="X695" s="23"/>
      <c r="Y695" s="23"/>
      <c r="Z695" s="43"/>
      <c r="AA695" s="23"/>
      <c r="AB695" s="23"/>
      <c r="AC695" s="23"/>
      <c r="AD695" s="23"/>
      <c r="AE695" s="23"/>
      <c r="AF695" s="23"/>
      <c r="AG695" s="23"/>
      <c r="AH695" s="23"/>
      <c r="AI695" s="49"/>
    </row>
    <row r="696" spans="1:35">
      <c r="B696" s="42"/>
      <c r="G696" s="43"/>
      <c r="H696" s="44"/>
      <c r="L696" s="42"/>
      <c r="M696" s="42"/>
      <c r="N696" s="25"/>
      <c r="O696" s="54"/>
      <c r="P696"/>
      <c r="Q696" s="25"/>
      <c r="R696" s="54"/>
      <c r="W696" s="23"/>
      <c r="X696" s="23"/>
      <c r="Y696" s="23"/>
      <c r="Z696" s="43"/>
      <c r="AA696" s="23"/>
      <c r="AB696" s="23"/>
      <c r="AC696" s="23"/>
      <c r="AD696" s="23"/>
      <c r="AE696" s="23"/>
      <c r="AF696" s="23"/>
      <c r="AG696" s="23"/>
      <c r="AH696" s="23"/>
    </row>
    <row r="697" spans="1:35">
      <c r="B697" s="42"/>
      <c r="G697" s="43"/>
      <c r="H697" s="44"/>
      <c r="L697" s="42"/>
      <c r="M697" s="42"/>
      <c r="N697" s="25"/>
      <c r="O697" s="54"/>
      <c r="P697"/>
      <c r="Q697" s="25"/>
      <c r="R697" s="54"/>
      <c r="W697" s="23"/>
      <c r="X697" s="23"/>
      <c r="Y697" s="23"/>
      <c r="Z697" s="43"/>
      <c r="AA697" s="23"/>
      <c r="AB697" s="23"/>
      <c r="AC697" s="23"/>
      <c r="AD697" s="23"/>
      <c r="AE697" s="23"/>
      <c r="AF697" s="23"/>
      <c r="AG697" s="23"/>
      <c r="AH697" s="23"/>
      <c r="AI697" s="48"/>
    </row>
    <row r="698" spans="1:35">
      <c r="A698" s="23"/>
      <c r="B698" s="42"/>
      <c r="C698" s="49"/>
      <c r="E698" s="49"/>
      <c r="G698" s="43"/>
      <c r="H698" s="44"/>
      <c r="L698" s="42"/>
      <c r="M698" s="42"/>
      <c r="N698" s="25"/>
      <c r="O698" s="54"/>
      <c r="P698"/>
      <c r="Q698" s="25"/>
      <c r="R698" s="54"/>
      <c r="W698" s="23"/>
      <c r="X698" s="23"/>
      <c r="Y698" s="23"/>
      <c r="Z698" s="43"/>
      <c r="AA698" s="23"/>
      <c r="AB698" s="23"/>
      <c r="AC698" s="23"/>
      <c r="AD698" s="23"/>
      <c r="AE698" s="23"/>
      <c r="AF698" s="23"/>
      <c r="AG698" s="23"/>
      <c r="AH698" s="23"/>
      <c r="AI698" s="49"/>
    </row>
    <row r="699" spans="1:35">
      <c r="A699" s="49"/>
      <c r="B699" s="42"/>
      <c r="C699" s="49"/>
      <c r="E699" s="49"/>
      <c r="G699" s="43"/>
      <c r="H699" s="44"/>
      <c r="L699" s="42"/>
      <c r="M699" s="42"/>
      <c r="N699" s="25"/>
      <c r="O699" s="54"/>
      <c r="P699"/>
      <c r="Q699" s="25"/>
      <c r="R699" s="54"/>
      <c r="W699" s="23"/>
      <c r="X699" s="23"/>
      <c r="Y699" s="23"/>
      <c r="Z699" s="43"/>
      <c r="AA699" s="23"/>
      <c r="AB699" s="23"/>
      <c r="AC699" s="23"/>
      <c r="AD699" s="23"/>
      <c r="AE699" s="23"/>
      <c r="AF699" s="23"/>
      <c r="AG699" s="23"/>
      <c r="AH699" s="23"/>
      <c r="AI699" s="49"/>
    </row>
    <row r="700" spans="1:35">
      <c r="A700" s="23"/>
      <c r="B700" s="42"/>
      <c r="C700" s="49"/>
      <c r="E700" s="49"/>
      <c r="G700" s="43"/>
      <c r="H700" s="44"/>
      <c r="L700" s="42"/>
      <c r="M700" s="42"/>
      <c r="N700" s="25"/>
      <c r="O700" s="54"/>
      <c r="P700"/>
      <c r="Q700" s="25"/>
      <c r="R700" s="54"/>
      <c r="W700" s="23"/>
      <c r="X700" s="23"/>
      <c r="Y700" s="23"/>
      <c r="Z700" s="43"/>
      <c r="AA700" s="23"/>
      <c r="AB700" s="23"/>
      <c r="AC700" s="23"/>
      <c r="AD700" s="23"/>
      <c r="AE700" s="23"/>
      <c r="AF700" s="23"/>
      <c r="AG700" s="23"/>
      <c r="AH700" s="23"/>
      <c r="AI700" s="49"/>
    </row>
    <row r="701" spans="1:35">
      <c r="A701" s="23"/>
      <c r="B701" s="42"/>
      <c r="C701" s="49"/>
      <c r="E701" s="49"/>
      <c r="G701" s="43"/>
      <c r="H701" s="44"/>
      <c r="L701" s="42"/>
      <c r="M701" s="42"/>
      <c r="N701" s="25"/>
      <c r="O701" s="54"/>
      <c r="P701"/>
      <c r="Q701" s="25"/>
      <c r="R701" s="54"/>
      <c r="W701" s="23"/>
      <c r="X701" s="23"/>
      <c r="Y701" s="23"/>
      <c r="Z701" s="43"/>
      <c r="AA701" s="23"/>
      <c r="AB701" s="23"/>
      <c r="AC701" s="23"/>
      <c r="AD701" s="23"/>
      <c r="AE701" s="23"/>
      <c r="AF701" s="23"/>
      <c r="AG701" s="23"/>
      <c r="AH701" s="23"/>
      <c r="AI701" s="49"/>
    </row>
    <row r="702" spans="1:35">
      <c r="A702" s="23"/>
      <c r="B702" s="42"/>
      <c r="C702" s="49"/>
      <c r="E702" s="49"/>
      <c r="G702" s="43"/>
      <c r="H702" s="44"/>
      <c r="L702" s="42"/>
      <c r="M702" s="42"/>
      <c r="N702" s="25"/>
      <c r="O702" s="54"/>
      <c r="P702"/>
      <c r="Q702" s="25"/>
      <c r="R702" s="54"/>
      <c r="W702" s="23"/>
      <c r="X702" s="23"/>
      <c r="Y702" s="23"/>
      <c r="Z702" s="43"/>
      <c r="AA702" s="23"/>
      <c r="AB702" s="23"/>
      <c r="AC702" s="23"/>
      <c r="AD702" s="23"/>
      <c r="AE702" s="23"/>
      <c r="AF702" s="23"/>
      <c r="AG702" s="23"/>
      <c r="AH702" s="23"/>
      <c r="AI702" s="49"/>
    </row>
    <row r="703" spans="1:35">
      <c r="A703" s="23"/>
      <c r="B703" s="42"/>
      <c r="G703" s="43"/>
      <c r="H703" s="44"/>
      <c r="L703" s="42"/>
      <c r="M703" s="42"/>
      <c r="N703" s="25"/>
      <c r="O703" s="54"/>
      <c r="P703"/>
      <c r="Q703" s="25"/>
      <c r="R703" s="54"/>
      <c r="W703" s="23"/>
      <c r="X703" s="23"/>
      <c r="Y703" s="23"/>
      <c r="Z703" s="43"/>
      <c r="AA703" s="23"/>
      <c r="AB703" s="23"/>
      <c r="AC703" s="23"/>
      <c r="AD703" s="23"/>
      <c r="AE703" s="23"/>
      <c r="AF703" s="23"/>
      <c r="AG703" s="23"/>
      <c r="AH703" s="23"/>
      <c r="AI703" s="23"/>
    </row>
    <row r="704" spans="1:35">
      <c r="A704" s="23"/>
      <c r="B704" s="42"/>
      <c r="C704" s="49"/>
      <c r="E704" s="49"/>
      <c r="G704" s="43"/>
      <c r="H704" s="44"/>
      <c r="L704" s="42"/>
      <c r="M704" s="42"/>
      <c r="N704" s="25"/>
      <c r="O704" s="54"/>
      <c r="P704"/>
      <c r="Q704" s="25"/>
      <c r="R704" s="54"/>
      <c r="W704" s="23"/>
      <c r="X704" s="23"/>
      <c r="Y704" s="23"/>
      <c r="Z704" s="43"/>
      <c r="AA704" s="23"/>
      <c r="AB704" s="23"/>
      <c r="AC704" s="23"/>
      <c r="AD704" s="23"/>
      <c r="AE704" s="23"/>
      <c r="AF704" s="23"/>
      <c r="AG704" s="23"/>
      <c r="AH704" s="23"/>
      <c r="AI704" s="49"/>
    </row>
    <row r="705" spans="1:35">
      <c r="A705" s="23"/>
      <c r="B705" s="42"/>
      <c r="G705" s="43"/>
      <c r="H705" s="44"/>
      <c r="L705" s="42"/>
      <c r="M705" s="42"/>
      <c r="N705" s="25"/>
      <c r="O705" s="54"/>
      <c r="P705"/>
      <c r="Q705" s="25"/>
      <c r="R705" s="54"/>
      <c r="W705" s="23"/>
      <c r="X705" s="23"/>
      <c r="Y705" s="23"/>
      <c r="Z705" s="43"/>
      <c r="AA705" s="23"/>
      <c r="AB705" s="23"/>
      <c r="AC705" s="23"/>
      <c r="AD705" s="23"/>
      <c r="AE705" s="23"/>
      <c r="AF705" s="23"/>
      <c r="AG705" s="23"/>
      <c r="AH705" s="23"/>
      <c r="AI705" s="23"/>
    </row>
    <row r="706" spans="1:35">
      <c r="A706" s="23"/>
      <c r="B706" s="42"/>
      <c r="C706" s="49"/>
      <c r="E706" s="49"/>
      <c r="G706" s="43"/>
      <c r="H706" s="44"/>
      <c r="L706" s="42"/>
      <c r="M706" s="42"/>
      <c r="N706" s="25"/>
      <c r="O706" s="54"/>
      <c r="P706"/>
      <c r="Q706" s="25"/>
      <c r="R706" s="54"/>
      <c r="W706" s="23"/>
      <c r="X706" s="23"/>
      <c r="Y706" s="23"/>
      <c r="Z706" s="43"/>
      <c r="AA706" s="23"/>
      <c r="AB706" s="23"/>
      <c r="AC706" s="23"/>
      <c r="AD706" s="23"/>
      <c r="AE706" s="23"/>
      <c r="AF706" s="23"/>
      <c r="AG706" s="23"/>
      <c r="AH706" s="23"/>
      <c r="AI706" s="49"/>
    </row>
    <row r="707" spans="1:35">
      <c r="B707" s="42"/>
      <c r="G707" s="43"/>
      <c r="H707" s="44"/>
      <c r="L707" s="42"/>
      <c r="M707" s="42"/>
      <c r="N707" s="25"/>
      <c r="O707" s="54"/>
      <c r="P707"/>
      <c r="Q707" s="25"/>
      <c r="R707" s="54"/>
      <c r="W707" s="23"/>
      <c r="X707" s="23"/>
      <c r="Y707" s="23"/>
      <c r="Z707" s="43"/>
      <c r="AA707" s="23"/>
      <c r="AB707" s="23"/>
      <c r="AC707" s="23"/>
      <c r="AD707" s="23"/>
      <c r="AE707" s="23"/>
      <c r="AF707" s="23"/>
      <c r="AG707" s="23"/>
      <c r="AH707" s="23"/>
    </row>
    <row r="708" spans="1:35">
      <c r="A708" s="23"/>
      <c r="B708" s="42"/>
      <c r="C708" s="49"/>
      <c r="E708" s="49"/>
      <c r="G708" s="43"/>
      <c r="H708" s="44"/>
      <c r="L708" s="42"/>
      <c r="M708" s="42"/>
      <c r="N708" s="25"/>
      <c r="O708" s="54"/>
      <c r="P708"/>
      <c r="Q708" s="25"/>
      <c r="R708" s="54"/>
      <c r="W708" s="23"/>
      <c r="X708" s="23"/>
      <c r="Y708" s="23"/>
      <c r="Z708" s="43"/>
      <c r="AA708" s="23"/>
      <c r="AB708" s="23"/>
      <c r="AC708" s="23"/>
      <c r="AD708" s="23"/>
      <c r="AE708" s="23"/>
      <c r="AF708" s="23"/>
      <c r="AG708" s="23"/>
      <c r="AH708" s="23"/>
      <c r="AI708" s="49"/>
    </row>
    <row r="709" spans="1:35">
      <c r="A709" s="23"/>
      <c r="B709" s="42"/>
      <c r="G709" s="43"/>
      <c r="H709" s="44"/>
      <c r="L709" s="42"/>
      <c r="M709" s="42"/>
      <c r="N709" s="25"/>
      <c r="O709" s="54"/>
      <c r="P709"/>
      <c r="Q709" s="25"/>
      <c r="R709" s="54"/>
      <c r="W709" s="23"/>
      <c r="X709" s="23"/>
      <c r="Y709" s="23"/>
      <c r="Z709" s="43"/>
      <c r="AA709" s="23"/>
      <c r="AB709" s="23"/>
      <c r="AC709" s="23"/>
      <c r="AD709" s="23"/>
      <c r="AE709" s="23"/>
      <c r="AF709" s="23"/>
      <c r="AG709" s="23"/>
      <c r="AH709" s="23"/>
      <c r="AI709" s="23"/>
    </row>
    <row r="710" spans="1:35">
      <c r="B710" s="42"/>
      <c r="G710" s="43"/>
      <c r="H710" s="44"/>
      <c r="L710" s="42"/>
      <c r="M710" s="42"/>
      <c r="N710" s="25"/>
      <c r="O710" s="54"/>
      <c r="P710"/>
      <c r="Q710" s="25"/>
      <c r="R710" s="54"/>
      <c r="W710" s="23"/>
      <c r="X710" s="23"/>
      <c r="Y710" s="23"/>
      <c r="Z710" s="43"/>
      <c r="AA710" s="23"/>
      <c r="AB710" s="23"/>
      <c r="AC710" s="23"/>
      <c r="AD710" s="23"/>
      <c r="AE710" s="23"/>
      <c r="AF710" s="23"/>
      <c r="AG710" s="23"/>
      <c r="AH710" s="23"/>
      <c r="AI710" s="48"/>
    </row>
    <row r="711" spans="1:35">
      <c r="A711" s="23"/>
      <c r="B711" s="42"/>
      <c r="C711" s="49"/>
      <c r="E711" s="49"/>
      <c r="G711" s="43"/>
      <c r="H711" s="44"/>
      <c r="L711" s="42"/>
      <c r="M711" s="42"/>
      <c r="N711" s="25"/>
      <c r="O711" s="54"/>
      <c r="P711"/>
      <c r="Q711" s="25"/>
      <c r="R711" s="54"/>
      <c r="W711" s="23"/>
      <c r="X711" s="23"/>
      <c r="Y711" s="23"/>
      <c r="Z711" s="43"/>
      <c r="AA711" s="23"/>
      <c r="AB711" s="23"/>
      <c r="AC711" s="23"/>
      <c r="AD711" s="23"/>
      <c r="AE711" s="23"/>
      <c r="AF711" s="23"/>
      <c r="AG711" s="23"/>
      <c r="AH711" s="23"/>
      <c r="AI711" s="49"/>
    </row>
    <row r="712" spans="1:35">
      <c r="B712" s="42"/>
      <c r="G712" s="43"/>
      <c r="H712" s="44"/>
      <c r="L712" s="42"/>
      <c r="M712" s="42"/>
      <c r="N712" s="25"/>
      <c r="O712" s="54"/>
      <c r="P712"/>
      <c r="Q712" s="25"/>
      <c r="R712" s="54"/>
      <c r="W712" s="23"/>
      <c r="X712" s="23"/>
      <c r="Y712" s="23"/>
      <c r="Z712" s="43"/>
      <c r="AA712" s="23"/>
      <c r="AB712" s="23"/>
      <c r="AC712" s="23"/>
      <c r="AD712" s="23"/>
      <c r="AE712" s="23"/>
      <c r="AF712" s="23"/>
      <c r="AG712" s="23"/>
      <c r="AH712" s="23"/>
      <c r="AI712" s="48"/>
    </row>
    <row r="713" spans="1:35">
      <c r="B713" s="42"/>
      <c r="G713" s="43"/>
      <c r="H713" s="44"/>
      <c r="L713" s="42"/>
      <c r="M713" s="42"/>
      <c r="N713" s="25"/>
      <c r="O713" s="54"/>
      <c r="P713"/>
      <c r="Q713" s="25"/>
      <c r="R713" s="54"/>
      <c r="W713" s="23"/>
      <c r="X713" s="23"/>
      <c r="Y713" s="23"/>
      <c r="Z713" s="43"/>
      <c r="AA713" s="23"/>
      <c r="AB713" s="23"/>
      <c r="AC713" s="23"/>
      <c r="AD713" s="23"/>
      <c r="AE713" s="23"/>
      <c r="AF713" s="23"/>
      <c r="AG713" s="23"/>
      <c r="AH713" s="23"/>
    </row>
    <row r="714" spans="1:35">
      <c r="A714" s="23"/>
      <c r="B714" s="42"/>
      <c r="C714" s="49"/>
      <c r="E714" s="49"/>
      <c r="G714" s="43"/>
      <c r="H714" s="44"/>
      <c r="L714" s="42"/>
      <c r="M714" s="42"/>
      <c r="N714" s="25"/>
      <c r="O714" s="54"/>
      <c r="P714"/>
      <c r="Q714" s="25"/>
      <c r="R714" s="54"/>
      <c r="W714" s="23"/>
      <c r="X714" s="23"/>
      <c r="Y714" s="23"/>
      <c r="Z714" s="43"/>
      <c r="AA714" s="23"/>
      <c r="AB714" s="23"/>
      <c r="AC714" s="23"/>
      <c r="AD714" s="23"/>
      <c r="AE714" s="23"/>
      <c r="AF714" s="23"/>
      <c r="AG714" s="23"/>
      <c r="AH714" s="23"/>
      <c r="AI714" s="49"/>
    </row>
    <row r="715" spans="1:35">
      <c r="A715" s="23"/>
      <c r="B715" s="42"/>
      <c r="C715" s="49"/>
      <c r="E715" s="49"/>
      <c r="G715" s="43"/>
      <c r="H715" s="44"/>
      <c r="L715" s="42"/>
      <c r="M715" s="42"/>
      <c r="N715" s="25"/>
      <c r="O715" s="54"/>
      <c r="P715"/>
      <c r="Q715" s="25"/>
      <c r="R715" s="54"/>
      <c r="W715" s="23"/>
      <c r="X715" s="23"/>
      <c r="Y715" s="23"/>
      <c r="Z715" s="43"/>
      <c r="AA715" s="23"/>
      <c r="AB715" s="23"/>
      <c r="AC715" s="23"/>
      <c r="AD715" s="23"/>
      <c r="AE715" s="23"/>
      <c r="AF715" s="23"/>
      <c r="AG715" s="23"/>
      <c r="AH715" s="23"/>
      <c r="AI715" s="49"/>
    </row>
    <row r="716" spans="1:35">
      <c r="A716" s="23"/>
      <c r="B716" s="42"/>
      <c r="C716" s="49"/>
      <c r="E716" s="49"/>
      <c r="G716" s="43"/>
      <c r="H716" s="44"/>
      <c r="L716" s="42"/>
      <c r="M716" s="42"/>
      <c r="N716" s="25"/>
      <c r="O716" s="54"/>
      <c r="P716"/>
      <c r="Q716" s="25"/>
      <c r="R716" s="54"/>
      <c r="W716" s="23"/>
      <c r="X716" s="23"/>
      <c r="Y716" s="23"/>
      <c r="Z716" s="43"/>
      <c r="AA716" s="23"/>
      <c r="AB716" s="23"/>
      <c r="AC716" s="23"/>
      <c r="AD716" s="23"/>
      <c r="AE716" s="23"/>
      <c r="AF716" s="23"/>
      <c r="AG716" s="23"/>
      <c r="AH716" s="23"/>
      <c r="AI716" s="49"/>
    </row>
    <row r="717" spans="1:35">
      <c r="A717" s="23"/>
      <c r="B717" s="42"/>
      <c r="C717" s="49"/>
      <c r="E717" s="49"/>
      <c r="G717" s="43"/>
      <c r="H717" s="44"/>
      <c r="L717" s="42"/>
      <c r="M717" s="42"/>
      <c r="N717" s="25"/>
      <c r="O717" s="54"/>
      <c r="P717"/>
      <c r="Q717" s="25"/>
      <c r="R717" s="54"/>
      <c r="W717" s="23"/>
      <c r="X717" s="23"/>
      <c r="Y717" s="23"/>
      <c r="Z717" s="43"/>
      <c r="AA717" s="23"/>
      <c r="AB717" s="23"/>
      <c r="AC717" s="23"/>
      <c r="AD717" s="23"/>
      <c r="AE717" s="23"/>
      <c r="AF717" s="23"/>
      <c r="AG717" s="23"/>
      <c r="AH717" s="23"/>
      <c r="AI717" s="49"/>
    </row>
    <row r="718" spans="1:35">
      <c r="A718" s="23"/>
      <c r="B718" s="42"/>
      <c r="G718" s="43"/>
      <c r="H718" s="44"/>
      <c r="L718" s="42"/>
      <c r="M718" s="42"/>
      <c r="N718" s="25"/>
      <c r="O718" s="54"/>
      <c r="P718"/>
      <c r="Q718" s="25"/>
      <c r="R718" s="54"/>
      <c r="W718" s="23"/>
      <c r="X718" s="23"/>
      <c r="Y718" s="23"/>
      <c r="Z718" s="43"/>
      <c r="AA718" s="23"/>
      <c r="AB718" s="23"/>
      <c r="AC718" s="23"/>
      <c r="AD718" s="23"/>
      <c r="AE718" s="23"/>
      <c r="AF718" s="23"/>
      <c r="AG718" s="23"/>
      <c r="AH718" s="23"/>
      <c r="AI718" s="23"/>
    </row>
    <row r="719" spans="1:35">
      <c r="A719" s="23"/>
      <c r="B719" s="42"/>
      <c r="G719" s="43"/>
      <c r="H719" s="44"/>
      <c r="L719" s="42"/>
      <c r="M719" s="42"/>
      <c r="N719" s="25"/>
      <c r="O719" s="54"/>
      <c r="P719"/>
      <c r="Q719" s="25"/>
      <c r="R719" s="54"/>
      <c r="W719" s="23"/>
      <c r="X719" s="23"/>
      <c r="Y719" s="23"/>
      <c r="Z719" s="43"/>
      <c r="AA719" s="23"/>
      <c r="AB719" s="23"/>
      <c r="AC719" s="23"/>
      <c r="AD719" s="23"/>
      <c r="AE719" s="23"/>
      <c r="AF719" s="23"/>
      <c r="AG719" s="23"/>
      <c r="AH719" s="23"/>
    </row>
    <row r="720" spans="1:35">
      <c r="A720" s="23"/>
      <c r="B720" s="42"/>
      <c r="C720" s="49"/>
      <c r="E720" s="49"/>
      <c r="G720" s="43"/>
      <c r="H720" s="44"/>
      <c r="L720" s="42"/>
      <c r="M720" s="42"/>
      <c r="N720" s="25"/>
      <c r="O720" s="54"/>
      <c r="P720"/>
      <c r="Q720" s="25"/>
      <c r="R720" s="54"/>
      <c r="W720" s="23"/>
      <c r="X720" s="23"/>
      <c r="Y720" s="23"/>
      <c r="Z720" s="43"/>
      <c r="AA720" s="23"/>
      <c r="AB720" s="23"/>
      <c r="AC720" s="23"/>
      <c r="AD720" s="23"/>
      <c r="AE720" s="23"/>
      <c r="AF720" s="23"/>
      <c r="AG720" s="23"/>
      <c r="AH720" s="23"/>
      <c r="AI720" s="49"/>
    </row>
    <row r="721" spans="1:35">
      <c r="A721" s="23"/>
      <c r="B721" s="42"/>
      <c r="C721" s="49"/>
      <c r="E721" s="49"/>
      <c r="G721" s="43"/>
      <c r="H721" s="44"/>
      <c r="L721" s="42"/>
      <c r="M721" s="42"/>
      <c r="N721" s="25"/>
      <c r="O721" s="54"/>
      <c r="P721"/>
      <c r="Q721" s="25"/>
      <c r="R721" s="54"/>
      <c r="W721" s="23"/>
      <c r="X721" s="23"/>
      <c r="Y721" s="23"/>
      <c r="Z721" s="43"/>
      <c r="AA721" s="23"/>
      <c r="AB721" s="23"/>
      <c r="AC721" s="23"/>
      <c r="AD721" s="23"/>
      <c r="AE721" s="23"/>
      <c r="AF721" s="23"/>
      <c r="AG721" s="23"/>
      <c r="AH721" s="23"/>
      <c r="AI721" s="49"/>
    </row>
    <row r="722" spans="1:35">
      <c r="A722" s="23"/>
      <c r="B722" s="42"/>
      <c r="C722" s="49"/>
      <c r="E722" s="49"/>
      <c r="G722" s="43"/>
      <c r="H722" s="44"/>
      <c r="L722" s="42"/>
      <c r="M722" s="42"/>
      <c r="N722" s="25"/>
      <c r="O722" s="54"/>
      <c r="P722"/>
      <c r="Q722" s="25"/>
      <c r="R722" s="54"/>
      <c r="W722" s="23"/>
      <c r="X722" s="23"/>
      <c r="Y722" s="23"/>
      <c r="Z722" s="43"/>
      <c r="AA722" s="23"/>
      <c r="AB722" s="23"/>
      <c r="AC722" s="23"/>
      <c r="AD722" s="23"/>
      <c r="AE722" s="23"/>
      <c r="AF722" s="23"/>
      <c r="AG722" s="23"/>
      <c r="AH722" s="23"/>
      <c r="AI722" s="49"/>
    </row>
    <row r="723" spans="1:35">
      <c r="B723" s="42"/>
      <c r="G723" s="43"/>
      <c r="H723" s="44"/>
      <c r="L723" s="42"/>
      <c r="M723" s="42"/>
      <c r="N723" s="25"/>
      <c r="O723" s="54"/>
      <c r="P723"/>
      <c r="Q723" s="25"/>
      <c r="R723" s="54"/>
      <c r="W723" s="23"/>
      <c r="X723" s="23"/>
      <c r="Y723" s="23"/>
      <c r="Z723" s="43"/>
      <c r="AA723" s="23"/>
      <c r="AB723" s="23"/>
      <c r="AC723" s="23"/>
      <c r="AD723" s="23"/>
      <c r="AE723" s="23"/>
      <c r="AF723" s="23"/>
      <c r="AG723" s="23"/>
      <c r="AH723" s="23"/>
    </row>
    <row r="724" spans="1:35">
      <c r="B724" s="42"/>
      <c r="G724" s="43"/>
      <c r="H724" s="44"/>
      <c r="L724" s="42"/>
      <c r="M724" s="42"/>
      <c r="N724" s="25"/>
      <c r="O724" s="54"/>
      <c r="P724"/>
      <c r="Q724" s="25"/>
      <c r="R724" s="54"/>
      <c r="W724" s="23"/>
      <c r="X724" s="23"/>
      <c r="Y724" s="23"/>
      <c r="Z724" s="43"/>
      <c r="AA724" s="23"/>
      <c r="AB724" s="23"/>
      <c r="AC724" s="23"/>
      <c r="AD724" s="23"/>
      <c r="AE724" s="23"/>
      <c r="AF724" s="23"/>
      <c r="AG724" s="23"/>
      <c r="AH724" s="23"/>
      <c r="AI724" s="48"/>
    </row>
    <row r="725" spans="1:35">
      <c r="B725" s="42"/>
      <c r="G725" s="43"/>
      <c r="H725" s="44"/>
      <c r="L725" s="42"/>
      <c r="M725" s="42"/>
      <c r="N725" s="25"/>
      <c r="O725" s="54"/>
      <c r="P725"/>
      <c r="Q725" s="25"/>
      <c r="R725" s="54"/>
      <c r="W725" s="23"/>
      <c r="X725" s="23"/>
      <c r="Y725" s="23"/>
      <c r="Z725" s="43"/>
      <c r="AA725" s="23"/>
      <c r="AB725" s="23"/>
      <c r="AC725" s="23"/>
      <c r="AD725" s="23"/>
      <c r="AE725" s="23"/>
      <c r="AF725" s="23"/>
      <c r="AG725" s="23"/>
      <c r="AH725" s="23"/>
      <c r="AI725" s="48"/>
    </row>
    <row r="726" spans="1:35">
      <c r="A726" s="23"/>
      <c r="B726" s="42"/>
      <c r="C726" s="49"/>
      <c r="E726" s="49"/>
      <c r="G726" s="43"/>
      <c r="H726" s="44"/>
      <c r="L726" s="42"/>
      <c r="M726" s="42"/>
      <c r="N726" s="25"/>
      <c r="O726" s="54"/>
      <c r="P726"/>
      <c r="Q726" s="25"/>
      <c r="R726" s="54"/>
      <c r="W726" s="23"/>
      <c r="X726" s="23"/>
      <c r="Y726" s="23"/>
      <c r="Z726" s="43"/>
      <c r="AA726" s="23"/>
      <c r="AB726" s="23"/>
      <c r="AC726" s="23"/>
      <c r="AD726" s="23"/>
      <c r="AE726" s="23"/>
      <c r="AF726" s="23"/>
      <c r="AG726" s="23"/>
      <c r="AH726" s="23"/>
      <c r="AI726" s="49"/>
    </row>
    <row r="727" spans="1:35">
      <c r="A727" s="23"/>
      <c r="B727" s="42"/>
      <c r="C727" s="49"/>
      <c r="E727" s="49"/>
      <c r="G727" s="43"/>
      <c r="H727" s="44"/>
      <c r="L727" s="42"/>
      <c r="M727" s="42"/>
      <c r="N727" s="25"/>
      <c r="O727" s="54"/>
      <c r="P727"/>
      <c r="Q727" s="25"/>
      <c r="R727" s="54"/>
      <c r="W727" s="23"/>
      <c r="X727" s="23"/>
      <c r="Y727" s="23"/>
      <c r="Z727" s="43"/>
      <c r="AA727" s="23"/>
      <c r="AB727" s="23"/>
      <c r="AC727" s="23"/>
      <c r="AD727" s="23"/>
      <c r="AE727" s="23"/>
      <c r="AF727" s="23"/>
      <c r="AG727" s="23"/>
      <c r="AH727" s="23"/>
      <c r="AI727" s="49"/>
    </row>
    <row r="728" spans="1:35">
      <c r="A728" s="50"/>
      <c r="B728" s="42"/>
      <c r="C728" s="49"/>
      <c r="E728" s="49"/>
      <c r="G728" s="43"/>
      <c r="H728" s="44"/>
      <c r="L728" s="42"/>
      <c r="M728" s="42"/>
      <c r="N728" s="25"/>
      <c r="O728" s="54"/>
      <c r="P728"/>
      <c r="Q728" s="25"/>
      <c r="R728" s="54"/>
      <c r="W728" s="23"/>
      <c r="X728" s="23"/>
      <c r="Y728" s="23"/>
      <c r="Z728" s="43"/>
      <c r="AA728" s="23"/>
      <c r="AB728" s="23"/>
      <c r="AC728" s="23"/>
      <c r="AD728" s="23"/>
      <c r="AE728" s="23"/>
      <c r="AF728" s="23"/>
      <c r="AG728" s="23"/>
      <c r="AH728" s="23"/>
      <c r="AI728" s="49"/>
    </row>
    <row r="729" spans="1:35">
      <c r="A729" s="23"/>
      <c r="B729" s="42"/>
      <c r="C729" s="49"/>
      <c r="E729" s="49"/>
      <c r="G729" s="43"/>
      <c r="H729" s="44"/>
      <c r="L729" s="42"/>
      <c r="M729" s="42"/>
      <c r="N729" s="25"/>
      <c r="O729" s="54"/>
      <c r="P729"/>
      <c r="Q729" s="25"/>
      <c r="R729" s="54"/>
      <c r="W729" s="23"/>
      <c r="X729" s="23"/>
      <c r="Y729" s="23"/>
      <c r="Z729" s="43"/>
      <c r="AA729" s="23"/>
      <c r="AB729" s="23"/>
      <c r="AC729" s="23"/>
      <c r="AD729" s="23"/>
      <c r="AE729" s="23"/>
      <c r="AF729" s="23"/>
      <c r="AG729" s="23"/>
      <c r="AH729" s="23"/>
      <c r="AI729" s="49"/>
    </row>
    <row r="730" spans="1:35">
      <c r="B730" s="42"/>
      <c r="G730" s="43"/>
      <c r="H730" s="44"/>
      <c r="L730" s="42"/>
      <c r="M730" s="42"/>
      <c r="N730" s="25"/>
      <c r="O730" s="54"/>
      <c r="P730"/>
      <c r="Q730" s="25"/>
      <c r="R730" s="54"/>
      <c r="W730" s="23"/>
      <c r="X730" s="23"/>
      <c r="Y730" s="23"/>
      <c r="Z730" s="43"/>
      <c r="AA730" s="23"/>
      <c r="AB730" s="23"/>
      <c r="AC730" s="23"/>
      <c r="AD730" s="23"/>
      <c r="AE730" s="23"/>
      <c r="AF730" s="23"/>
      <c r="AG730" s="23"/>
      <c r="AH730" s="23"/>
      <c r="AI730" s="48"/>
    </row>
    <row r="731" spans="1:35">
      <c r="B731" s="42"/>
      <c r="G731" s="43"/>
      <c r="H731" s="44"/>
      <c r="L731" s="42"/>
      <c r="M731" s="42"/>
      <c r="N731" s="25"/>
      <c r="O731" s="54"/>
      <c r="P731"/>
      <c r="Q731" s="25"/>
      <c r="R731" s="54"/>
      <c r="W731" s="23"/>
      <c r="X731" s="23"/>
      <c r="Y731" s="23"/>
      <c r="Z731" s="43"/>
      <c r="AA731" s="23"/>
      <c r="AB731" s="23"/>
      <c r="AC731" s="23"/>
      <c r="AD731" s="23"/>
      <c r="AE731" s="23"/>
      <c r="AF731" s="23"/>
      <c r="AG731" s="23"/>
      <c r="AH731" s="23"/>
    </row>
    <row r="732" spans="1:35">
      <c r="B732" s="42"/>
      <c r="G732" s="43"/>
      <c r="H732" s="44"/>
      <c r="L732" s="42"/>
      <c r="M732" s="42"/>
      <c r="N732" s="25"/>
      <c r="O732" s="54"/>
      <c r="P732"/>
      <c r="Q732" s="25"/>
      <c r="R732" s="54"/>
      <c r="W732" s="23"/>
      <c r="X732" s="23"/>
      <c r="Y732" s="23"/>
      <c r="Z732" s="43"/>
      <c r="AA732" s="23"/>
      <c r="AB732" s="23"/>
      <c r="AC732" s="23"/>
      <c r="AD732" s="23"/>
      <c r="AE732" s="23"/>
      <c r="AF732" s="23"/>
      <c r="AG732" s="23"/>
      <c r="AH732" s="23"/>
    </row>
    <row r="733" spans="1:35">
      <c r="A733" s="23"/>
      <c r="B733" s="42"/>
      <c r="C733" s="49"/>
      <c r="E733" s="49"/>
      <c r="G733" s="43"/>
      <c r="H733" s="44"/>
      <c r="L733" s="42"/>
      <c r="M733" s="42"/>
      <c r="N733" s="25"/>
      <c r="O733" s="54"/>
      <c r="P733"/>
      <c r="Q733" s="25"/>
      <c r="R733" s="54"/>
      <c r="W733" s="23"/>
      <c r="X733" s="23"/>
      <c r="Y733" s="23"/>
      <c r="Z733" s="43"/>
      <c r="AA733" s="23"/>
      <c r="AB733" s="23"/>
      <c r="AC733" s="23"/>
      <c r="AD733" s="23"/>
      <c r="AE733" s="23"/>
      <c r="AF733" s="23"/>
      <c r="AG733" s="23"/>
      <c r="AH733" s="23"/>
      <c r="AI733" s="49"/>
    </row>
    <row r="734" spans="1:35">
      <c r="A734" s="23"/>
      <c r="B734" s="42"/>
      <c r="G734" s="43"/>
      <c r="H734" s="44"/>
      <c r="L734" s="42"/>
      <c r="M734" s="42"/>
      <c r="N734" s="25"/>
      <c r="O734" s="54"/>
      <c r="P734"/>
      <c r="Q734" s="25"/>
      <c r="R734" s="54"/>
      <c r="W734" s="23"/>
      <c r="X734" s="23"/>
      <c r="Y734" s="23"/>
      <c r="Z734" s="43"/>
      <c r="AA734" s="23"/>
      <c r="AB734" s="23"/>
      <c r="AC734" s="23"/>
      <c r="AD734" s="23"/>
      <c r="AE734" s="23"/>
      <c r="AF734" s="23"/>
      <c r="AG734" s="23"/>
      <c r="AH734" s="23"/>
      <c r="AI734" s="23"/>
    </row>
    <row r="735" spans="1:35">
      <c r="B735" s="42"/>
      <c r="G735" s="43"/>
      <c r="H735" s="44"/>
      <c r="L735" s="42"/>
      <c r="M735" s="42"/>
      <c r="N735" s="25"/>
      <c r="O735" s="54"/>
      <c r="P735"/>
      <c r="Q735" s="25"/>
      <c r="R735" s="54"/>
      <c r="W735" s="23"/>
      <c r="X735" s="23"/>
      <c r="Y735" s="23"/>
      <c r="Z735" s="43"/>
      <c r="AA735" s="23"/>
      <c r="AB735" s="23"/>
      <c r="AC735" s="23"/>
      <c r="AD735" s="23"/>
      <c r="AE735" s="23"/>
      <c r="AF735" s="23"/>
      <c r="AG735" s="23"/>
      <c r="AH735" s="23"/>
      <c r="AI735" s="48"/>
    </row>
    <row r="736" spans="1:35">
      <c r="A736" s="23"/>
      <c r="B736" s="42"/>
      <c r="C736" s="49"/>
      <c r="E736" s="49"/>
      <c r="G736" s="43"/>
      <c r="H736" s="44"/>
      <c r="L736" s="42"/>
      <c r="M736" s="42"/>
      <c r="N736" s="25"/>
      <c r="O736" s="54"/>
      <c r="P736"/>
      <c r="Q736" s="25"/>
      <c r="R736" s="54"/>
      <c r="W736" s="23"/>
      <c r="X736" s="23"/>
      <c r="Y736" s="23"/>
      <c r="Z736" s="43"/>
      <c r="AA736" s="23"/>
      <c r="AB736" s="23"/>
      <c r="AC736" s="23"/>
      <c r="AD736" s="23"/>
      <c r="AE736" s="23"/>
      <c r="AF736" s="23"/>
      <c r="AG736" s="23"/>
      <c r="AH736" s="23"/>
      <c r="AI736" s="49"/>
    </row>
    <row r="737" spans="1:35">
      <c r="A737" s="49"/>
      <c r="B737" s="42"/>
      <c r="C737" s="49"/>
      <c r="E737" s="49"/>
      <c r="G737" s="43"/>
      <c r="H737" s="44"/>
      <c r="L737" s="42"/>
      <c r="M737" s="42"/>
      <c r="N737" s="25"/>
      <c r="O737" s="54"/>
      <c r="P737"/>
      <c r="Q737" s="25"/>
      <c r="R737" s="54"/>
      <c r="W737" s="23"/>
      <c r="X737" s="23"/>
      <c r="Y737" s="23"/>
      <c r="Z737" s="43"/>
      <c r="AA737" s="23"/>
      <c r="AB737" s="23"/>
      <c r="AC737" s="23"/>
      <c r="AD737" s="23"/>
      <c r="AE737" s="23"/>
      <c r="AF737" s="23"/>
      <c r="AG737" s="23"/>
      <c r="AH737" s="23"/>
      <c r="AI737" s="49"/>
    </row>
    <row r="738" spans="1:35">
      <c r="B738" s="42"/>
      <c r="G738" s="43"/>
      <c r="H738" s="44"/>
      <c r="L738" s="42"/>
      <c r="M738" s="42"/>
      <c r="N738" s="25"/>
      <c r="O738" s="54"/>
      <c r="P738"/>
      <c r="Q738" s="25"/>
      <c r="R738" s="54"/>
      <c r="W738" s="23"/>
      <c r="X738" s="23"/>
      <c r="Y738" s="23"/>
      <c r="Z738" s="43"/>
      <c r="AA738" s="23"/>
      <c r="AB738" s="23"/>
      <c r="AC738" s="23"/>
      <c r="AD738" s="23"/>
      <c r="AE738" s="23"/>
      <c r="AF738" s="23"/>
      <c r="AG738" s="23"/>
      <c r="AH738" s="23"/>
    </row>
    <row r="739" spans="1:35">
      <c r="B739" s="42"/>
      <c r="G739" s="43"/>
      <c r="H739" s="44"/>
      <c r="L739" s="42"/>
      <c r="M739" s="42"/>
      <c r="N739" s="25"/>
      <c r="O739" s="54"/>
      <c r="P739"/>
      <c r="Q739" s="25"/>
      <c r="R739" s="54"/>
      <c r="W739" s="23"/>
      <c r="X739" s="23"/>
      <c r="Y739" s="23"/>
      <c r="Z739" s="43"/>
      <c r="AA739" s="23"/>
      <c r="AB739" s="23"/>
      <c r="AC739" s="23"/>
      <c r="AD739" s="23"/>
      <c r="AE739" s="23"/>
      <c r="AF739" s="23"/>
      <c r="AG739" s="23"/>
      <c r="AH739" s="23"/>
    </row>
    <row r="740" spans="1:35">
      <c r="B740" s="42"/>
      <c r="C740" s="49"/>
      <c r="E740" s="49"/>
      <c r="G740" s="43"/>
      <c r="H740" s="44"/>
      <c r="L740" s="42"/>
      <c r="M740" s="42"/>
      <c r="N740" s="25"/>
      <c r="O740" s="54"/>
      <c r="P740"/>
      <c r="Q740" s="25"/>
      <c r="R740" s="54"/>
      <c r="W740" s="23"/>
      <c r="X740" s="23"/>
      <c r="Y740" s="23"/>
      <c r="Z740" s="43"/>
      <c r="AA740" s="23"/>
      <c r="AB740" s="23"/>
      <c r="AC740" s="23"/>
      <c r="AD740" s="23"/>
      <c r="AE740" s="23"/>
      <c r="AF740" s="23"/>
      <c r="AG740" s="23"/>
      <c r="AH740" s="23"/>
      <c r="AI740" s="23"/>
    </row>
    <row r="741" spans="1:35">
      <c r="B741" s="42"/>
      <c r="G741" s="43"/>
      <c r="H741" s="44"/>
      <c r="L741" s="42"/>
      <c r="M741" s="42"/>
      <c r="N741" s="25"/>
      <c r="O741" s="54"/>
      <c r="P741"/>
      <c r="Q741" s="25"/>
      <c r="R741" s="54"/>
      <c r="W741" s="23"/>
      <c r="X741" s="23"/>
      <c r="Y741" s="23"/>
      <c r="Z741" s="43"/>
      <c r="AA741" s="23"/>
      <c r="AB741" s="23"/>
      <c r="AC741" s="23"/>
      <c r="AD741" s="23"/>
      <c r="AE741" s="23"/>
      <c r="AF741" s="23"/>
      <c r="AG741" s="23"/>
      <c r="AH741" s="23"/>
      <c r="AI741" s="48"/>
    </row>
    <row r="742" spans="1:35">
      <c r="A742" s="23"/>
      <c r="B742" s="42"/>
      <c r="G742" s="43"/>
      <c r="H742" s="44"/>
      <c r="L742" s="42"/>
      <c r="M742" s="42"/>
      <c r="N742" s="25"/>
      <c r="O742" s="54"/>
      <c r="P742"/>
      <c r="Q742" s="25"/>
      <c r="R742" s="54"/>
      <c r="W742" s="23"/>
      <c r="X742" s="23"/>
      <c r="Y742" s="23"/>
      <c r="Z742" s="43"/>
      <c r="AA742" s="23"/>
      <c r="AB742" s="23"/>
      <c r="AC742" s="23"/>
      <c r="AD742" s="23"/>
      <c r="AE742" s="23"/>
      <c r="AF742" s="23"/>
      <c r="AG742" s="23"/>
      <c r="AH742" s="23"/>
      <c r="AI742" s="23"/>
    </row>
    <row r="743" spans="1:35">
      <c r="B743" s="42"/>
      <c r="G743" s="43"/>
      <c r="H743" s="44"/>
      <c r="L743" s="42"/>
      <c r="M743" s="42"/>
      <c r="N743" s="25"/>
      <c r="O743" s="54"/>
      <c r="P743"/>
      <c r="Q743" s="25"/>
      <c r="R743" s="54"/>
      <c r="W743" s="23"/>
      <c r="X743" s="23"/>
      <c r="Y743" s="23"/>
      <c r="Z743" s="43"/>
      <c r="AA743" s="23"/>
      <c r="AB743" s="23"/>
      <c r="AC743" s="23"/>
      <c r="AD743" s="23"/>
      <c r="AE743" s="23"/>
      <c r="AF743" s="23"/>
      <c r="AG743" s="23"/>
      <c r="AH743" s="23"/>
    </row>
    <row r="744" spans="1:35">
      <c r="B744" s="42"/>
      <c r="C744" s="49"/>
      <c r="E744" s="49"/>
      <c r="G744" s="43"/>
      <c r="H744" s="44"/>
      <c r="L744" s="42"/>
      <c r="M744" s="42"/>
      <c r="N744" s="25"/>
      <c r="O744" s="54"/>
      <c r="P744"/>
      <c r="Q744" s="25"/>
      <c r="R744" s="54"/>
      <c r="W744" s="23"/>
      <c r="X744" s="23"/>
      <c r="Y744" s="23"/>
      <c r="Z744" s="43"/>
      <c r="AA744" s="23"/>
      <c r="AB744" s="23"/>
      <c r="AC744" s="23"/>
      <c r="AD744" s="23"/>
      <c r="AE744" s="23"/>
      <c r="AF744" s="23"/>
      <c r="AG744" s="23"/>
      <c r="AH744" s="23"/>
      <c r="AI744" s="23"/>
    </row>
    <row r="745" spans="1:35">
      <c r="B745" s="42"/>
      <c r="G745" s="43"/>
      <c r="H745" s="44"/>
      <c r="L745" s="42"/>
      <c r="M745" s="42"/>
      <c r="N745" s="25"/>
      <c r="O745" s="54"/>
      <c r="P745"/>
      <c r="Q745" s="25"/>
      <c r="R745" s="54"/>
      <c r="W745" s="23"/>
      <c r="X745" s="23"/>
      <c r="Y745" s="23"/>
      <c r="Z745" s="43"/>
      <c r="AA745" s="23"/>
      <c r="AB745" s="23"/>
      <c r="AC745" s="23"/>
      <c r="AD745" s="23"/>
      <c r="AE745" s="23"/>
      <c r="AF745" s="23"/>
      <c r="AG745" s="23"/>
      <c r="AH745" s="23"/>
    </row>
    <row r="746" spans="1:35">
      <c r="A746" s="23"/>
      <c r="B746" s="42"/>
      <c r="G746" s="43"/>
      <c r="H746" s="44"/>
      <c r="L746" s="42"/>
      <c r="M746" s="42"/>
      <c r="N746" s="25"/>
      <c r="O746" s="54"/>
      <c r="P746"/>
      <c r="Q746" s="25"/>
      <c r="R746" s="54"/>
      <c r="W746" s="23"/>
      <c r="X746" s="23"/>
      <c r="Y746" s="23"/>
      <c r="Z746" s="43"/>
      <c r="AA746" s="23"/>
      <c r="AB746" s="23"/>
      <c r="AC746" s="23"/>
      <c r="AD746" s="23"/>
      <c r="AE746" s="23"/>
      <c r="AF746" s="23"/>
      <c r="AG746" s="23"/>
      <c r="AH746" s="23"/>
    </row>
    <row r="747" spans="1:35">
      <c r="B747" s="42"/>
      <c r="G747" s="43"/>
      <c r="H747" s="44"/>
      <c r="L747" s="42"/>
      <c r="M747" s="42"/>
      <c r="N747" s="25"/>
      <c r="O747" s="54"/>
      <c r="P747"/>
      <c r="Q747" s="25"/>
      <c r="R747" s="54"/>
      <c r="W747" s="23"/>
      <c r="X747" s="23"/>
      <c r="Y747" s="23"/>
      <c r="Z747" s="43"/>
      <c r="AA747" s="23"/>
      <c r="AB747" s="23"/>
      <c r="AC747" s="23"/>
      <c r="AD747" s="23"/>
      <c r="AE747" s="23"/>
      <c r="AF747" s="23"/>
      <c r="AG747" s="23"/>
      <c r="AH747" s="23"/>
      <c r="AI747" s="48"/>
    </row>
    <row r="748" spans="1:35">
      <c r="B748" s="42"/>
      <c r="G748" s="43"/>
      <c r="H748" s="44"/>
      <c r="L748" s="42"/>
      <c r="M748" s="42"/>
      <c r="N748" s="25"/>
      <c r="O748" s="54"/>
      <c r="P748"/>
      <c r="Q748" s="25"/>
      <c r="R748" s="54"/>
      <c r="W748" s="23"/>
      <c r="X748" s="23"/>
      <c r="Y748" s="23"/>
      <c r="Z748" s="43"/>
      <c r="AA748" s="23"/>
      <c r="AB748" s="23"/>
      <c r="AC748" s="23"/>
      <c r="AD748" s="23"/>
      <c r="AE748" s="23"/>
      <c r="AF748" s="23"/>
      <c r="AG748" s="23"/>
      <c r="AH748" s="23"/>
      <c r="AI748" s="48"/>
    </row>
    <row r="749" spans="1:35">
      <c r="B749" s="42"/>
      <c r="G749" s="43"/>
      <c r="H749" s="44"/>
      <c r="L749" s="42"/>
      <c r="M749" s="42"/>
      <c r="N749" s="25"/>
      <c r="O749" s="54"/>
      <c r="P749"/>
      <c r="Q749" s="25"/>
      <c r="R749" s="54"/>
      <c r="W749" s="23"/>
      <c r="X749" s="23"/>
      <c r="Y749" s="23"/>
      <c r="Z749" s="43"/>
      <c r="AA749" s="23"/>
      <c r="AB749" s="23"/>
      <c r="AC749" s="23"/>
      <c r="AD749" s="23"/>
      <c r="AE749" s="23"/>
      <c r="AF749" s="23"/>
      <c r="AG749" s="23"/>
      <c r="AH749" s="23"/>
      <c r="AI749" s="48"/>
    </row>
    <row r="750" spans="1:35">
      <c r="A750" s="23"/>
      <c r="B750" s="42"/>
      <c r="C750" s="49"/>
      <c r="E750" s="49"/>
      <c r="G750" s="43"/>
      <c r="H750" s="44"/>
      <c r="L750" s="42"/>
      <c r="M750" s="42"/>
      <c r="N750" s="25"/>
      <c r="O750" s="54"/>
      <c r="P750"/>
      <c r="Q750" s="25"/>
      <c r="R750" s="54"/>
      <c r="W750" s="23"/>
      <c r="X750" s="23"/>
      <c r="Y750" s="23"/>
      <c r="Z750" s="43"/>
      <c r="AA750" s="23"/>
      <c r="AB750" s="23"/>
      <c r="AC750" s="23"/>
      <c r="AD750" s="23"/>
      <c r="AE750" s="23"/>
      <c r="AF750" s="23"/>
      <c r="AG750" s="23"/>
      <c r="AH750" s="23"/>
      <c r="AI750" s="49"/>
    </row>
    <row r="751" spans="1:35">
      <c r="A751" s="23"/>
      <c r="B751" s="42"/>
      <c r="C751" s="49"/>
      <c r="E751" s="49"/>
      <c r="G751" s="43"/>
      <c r="H751" s="44"/>
      <c r="L751" s="42"/>
      <c r="M751" s="42"/>
      <c r="N751" s="25"/>
      <c r="O751" s="54"/>
      <c r="P751"/>
      <c r="Q751" s="25"/>
      <c r="R751" s="54"/>
      <c r="W751" s="23"/>
      <c r="X751" s="23"/>
      <c r="Y751" s="23"/>
      <c r="Z751" s="43"/>
      <c r="AA751" s="23"/>
      <c r="AB751" s="23"/>
      <c r="AC751" s="23"/>
      <c r="AD751" s="23"/>
      <c r="AE751" s="23"/>
      <c r="AF751" s="23"/>
      <c r="AG751" s="23"/>
      <c r="AH751" s="23"/>
      <c r="AI751" s="49"/>
    </row>
    <row r="752" spans="1:35">
      <c r="B752" s="42"/>
      <c r="G752" s="43"/>
      <c r="H752" s="44"/>
      <c r="L752" s="42"/>
      <c r="M752" s="42"/>
      <c r="N752" s="25"/>
      <c r="O752" s="54"/>
      <c r="P752"/>
      <c r="Q752" s="25"/>
      <c r="R752" s="54"/>
      <c r="W752" s="23"/>
      <c r="X752" s="23"/>
      <c r="Y752" s="23"/>
      <c r="Z752" s="43"/>
      <c r="AA752" s="23"/>
      <c r="AB752" s="23"/>
      <c r="AC752" s="23"/>
      <c r="AD752" s="23"/>
      <c r="AE752" s="23"/>
      <c r="AF752" s="23"/>
      <c r="AG752" s="23"/>
      <c r="AH752" s="23"/>
      <c r="AI752" s="48"/>
    </row>
    <row r="753" spans="1:35">
      <c r="A753" s="23"/>
      <c r="B753" s="42"/>
      <c r="G753" s="43"/>
      <c r="H753" s="44"/>
      <c r="L753" s="42"/>
      <c r="M753" s="42"/>
      <c r="N753" s="25"/>
      <c r="O753" s="54"/>
      <c r="P753"/>
      <c r="Q753" s="25"/>
      <c r="R753" s="54"/>
      <c r="W753" s="23"/>
      <c r="X753" s="23"/>
      <c r="Y753" s="23"/>
      <c r="Z753" s="43"/>
      <c r="AA753" s="23"/>
      <c r="AB753" s="23"/>
      <c r="AC753" s="23"/>
      <c r="AD753" s="23"/>
      <c r="AE753" s="23"/>
      <c r="AF753" s="23"/>
      <c r="AG753" s="23"/>
      <c r="AH753" s="23"/>
    </row>
    <row r="754" spans="1:35">
      <c r="A754" s="23"/>
      <c r="B754" s="42"/>
      <c r="C754" s="49"/>
      <c r="E754" s="49"/>
      <c r="G754" s="43"/>
      <c r="H754" s="44"/>
      <c r="L754" s="42"/>
      <c r="M754" s="42"/>
      <c r="N754" s="25"/>
      <c r="O754" s="54"/>
      <c r="P754"/>
      <c r="Q754" s="25"/>
      <c r="R754" s="54"/>
      <c r="W754" s="23"/>
      <c r="X754" s="23"/>
      <c r="Y754" s="23"/>
      <c r="Z754" s="43"/>
      <c r="AA754" s="23"/>
      <c r="AB754" s="23"/>
      <c r="AC754" s="23"/>
      <c r="AD754" s="23"/>
      <c r="AE754" s="23"/>
      <c r="AF754" s="23"/>
      <c r="AG754" s="23"/>
      <c r="AH754" s="23"/>
      <c r="AI754" s="49"/>
    </row>
    <row r="755" spans="1:35">
      <c r="A755" s="49"/>
      <c r="B755" s="42"/>
      <c r="C755" s="49"/>
      <c r="E755" s="49"/>
      <c r="G755" s="43"/>
      <c r="H755" s="44"/>
      <c r="L755" s="42"/>
      <c r="M755" s="42"/>
      <c r="N755" s="25"/>
      <c r="O755" s="54"/>
      <c r="P755"/>
      <c r="Q755" s="25"/>
      <c r="R755" s="54"/>
      <c r="W755" s="23"/>
      <c r="X755" s="23"/>
      <c r="Y755" s="23"/>
      <c r="Z755" s="43"/>
      <c r="AA755" s="23"/>
      <c r="AB755" s="23"/>
      <c r="AC755" s="23"/>
      <c r="AD755" s="23"/>
      <c r="AE755" s="23"/>
      <c r="AF755" s="23"/>
      <c r="AG755" s="23"/>
      <c r="AH755" s="23"/>
      <c r="AI755" s="49"/>
    </row>
    <row r="756" spans="1:35">
      <c r="B756" s="42"/>
      <c r="G756" s="43"/>
      <c r="H756" s="44"/>
      <c r="L756" s="42"/>
      <c r="M756" s="42"/>
      <c r="N756" s="25"/>
      <c r="O756" s="54"/>
      <c r="P756"/>
      <c r="Q756" s="25"/>
      <c r="R756" s="54"/>
      <c r="W756" s="23"/>
      <c r="X756" s="23"/>
      <c r="Y756" s="23"/>
      <c r="Z756" s="43"/>
      <c r="AA756" s="23"/>
      <c r="AB756" s="23"/>
      <c r="AC756" s="23"/>
      <c r="AD756" s="23"/>
      <c r="AE756" s="23"/>
      <c r="AF756" s="23"/>
      <c r="AG756" s="23"/>
      <c r="AH756" s="23"/>
    </row>
    <row r="757" spans="1:35">
      <c r="B757" s="42"/>
      <c r="C757" s="49"/>
      <c r="E757" s="49"/>
      <c r="G757" s="43"/>
      <c r="H757" s="44"/>
      <c r="L757" s="42"/>
      <c r="M757" s="42"/>
      <c r="N757" s="25"/>
      <c r="O757" s="54"/>
      <c r="P757"/>
      <c r="Q757" s="25"/>
      <c r="R757" s="54"/>
      <c r="W757" s="23"/>
      <c r="X757" s="23"/>
      <c r="Y757" s="23"/>
      <c r="Z757" s="43"/>
      <c r="AA757" s="23"/>
      <c r="AB757" s="23"/>
      <c r="AC757" s="23"/>
      <c r="AD757" s="23"/>
      <c r="AE757" s="23"/>
      <c r="AF757" s="23"/>
      <c r="AG757" s="23"/>
      <c r="AH757" s="23"/>
      <c r="AI757" s="23"/>
    </row>
    <row r="758" spans="1:35">
      <c r="A758" s="23"/>
      <c r="B758" s="42"/>
      <c r="G758" s="43"/>
      <c r="H758" s="44"/>
      <c r="L758" s="42"/>
      <c r="M758" s="42"/>
      <c r="N758" s="25"/>
      <c r="O758" s="54"/>
      <c r="P758"/>
      <c r="Q758" s="25"/>
      <c r="R758" s="54"/>
      <c r="W758" s="23"/>
      <c r="X758" s="23"/>
      <c r="Y758" s="23"/>
      <c r="Z758" s="43"/>
      <c r="AA758" s="23"/>
      <c r="AB758" s="23"/>
      <c r="AC758" s="23"/>
      <c r="AD758" s="23"/>
      <c r="AE758" s="23"/>
      <c r="AF758" s="23"/>
      <c r="AG758" s="23"/>
      <c r="AH758" s="23"/>
    </row>
    <row r="759" spans="1:35">
      <c r="B759" s="42"/>
      <c r="G759" s="43"/>
      <c r="H759" s="44"/>
      <c r="L759" s="42"/>
      <c r="M759" s="42"/>
      <c r="N759" s="25"/>
      <c r="O759" s="54"/>
      <c r="P759"/>
      <c r="Q759" s="25"/>
      <c r="R759" s="54"/>
      <c r="W759" s="23"/>
      <c r="X759" s="23"/>
      <c r="Y759" s="23"/>
      <c r="Z759" s="43"/>
      <c r="AA759" s="23"/>
      <c r="AB759" s="23"/>
      <c r="AC759" s="23"/>
      <c r="AD759" s="23"/>
      <c r="AE759" s="23"/>
      <c r="AF759" s="23"/>
      <c r="AG759" s="23"/>
      <c r="AH759" s="23"/>
    </row>
    <row r="760" spans="1:35">
      <c r="A760" s="23"/>
      <c r="B760" s="42"/>
      <c r="C760" s="49"/>
      <c r="E760" s="49"/>
      <c r="G760" s="43"/>
      <c r="H760" s="44"/>
      <c r="L760" s="42"/>
      <c r="M760" s="42"/>
      <c r="N760" s="25"/>
      <c r="O760" s="54"/>
      <c r="P760"/>
      <c r="Q760" s="25"/>
      <c r="R760" s="54"/>
      <c r="W760" s="23"/>
      <c r="X760" s="23"/>
      <c r="Y760" s="23"/>
      <c r="Z760" s="43"/>
      <c r="AA760" s="23"/>
      <c r="AB760" s="23"/>
      <c r="AC760" s="23"/>
      <c r="AD760" s="23"/>
      <c r="AE760" s="23"/>
      <c r="AF760" s="23"/>
      <c r="AG760" s="23"/>
      <c r="AH760" s="23"/>
      <c r="AI760" s="49"/>
    </row>
    <row r="761" spans="1:35">
      <c r="B761" s="42"/>
      <c r="G761" s="43"/>
      <c r="H761" s="44"/>
      <c r="L761" s="42"/>
      <c r="M761" s="42"/>
      <c r="N761" s="25"/>
      <c r="O761" s="54"/>
      <c r="P761"/>
      <c r="Q761" s="25"/>
      <c r="R761" s="54"/>
      <c r="W761" s="23"/>
      <c r="X761" s="23"/>
      <c r="Y761" s="23"/>
      <c r="Z761" s="43"/>
      <c r="AA761" s="23"/>
      <c r="AB761" s="23"/>
      <c r="AC761" s="23"/>
      <c r="AD761" s="23"/>
      <c r="AE761" s="23"/>
      <c r="AF761" s="23"/>
      <c r="AG761" s="23"/>
      <c r="AH761" s="23"/>
    </row>
    <row r="762" spans="1:35">
      <c r="A762" s="23"/>
      <c r="B762" s="42"/>
      <c r="G762" s="43"/>
      <c r="H762" s="44"/>
      <c r="L762" s="42"/>
      <c r="M762" s="42"/>
      <c r="N762" s="25"/>
      <c r="O762" s="54"/>
      <c r="P762"/>
      <c r="Q762" s="25"/>
      <c r="R762" s="54"/>
      <c r="W762" s="23"/>
      <c r="X762" s="23"/>
      <c r="Y762" s="23"/>
      <c r="Z762" s="43"/>
      <c r="AA762" s="23"/>
      <c r="AB762" s="23"/>
      <c r="AC762" s="23"/>
      <c r="AD762" s="23"/>
      <c r="AE762" s="23"/>
      <c r="AF762" s="23"/>
      <c r="AG762" s="23"/>
      <c r="AH762" s="23"/>
      <c r="AI762" s="23"/>
    </row>
    <row r="763" spans="1:35">
      <c r="A763" s="23"/>
      <c r="B763" s="42"/>
      <c r="G763" s="43"/>
      <c r="H763" s="44"/>
      <c r="L763" s="42"/>
      <c r="M763" s="42"/>
      <c r="N763" s="25"/>
      <c r="O763" s="54"/>
      <c r="P763"/>
      <c r="Q763" s="25"/>
      <c r="R763" s="54"/>
      <c r="W763" s="23"/>
      <c r="X763" s="23"/>
      <c r="Y763" s="23"/>
      <c r="Z763" s="43"/>
      <c r="AA763" s="23"/>
      <c r="AB763" s="23"/>
      <c r="AC763" s="23"/>
      <c r="AD763" s="23"/>
      <c r="AE763" s="23"/>
      <c r="AF763" s="23"/>
      <c r="AG763" s="23"/>
      <c r="AH763" s="23"/>
    </row>
    <row r="764" spans="1:35">
      <c r="B764" s="42"/>
      <c r="G764" s="43"/>
      <c r="H764" s="44"/>
      <c r="L764" s="42"/>
      <c r="M764" s="42"/>
      <c r="N764" s="25"/>
      <c r="O764" s="54"/>
      <c r="P764"/>
      <c r="Q764" s="25"/>
      <c r="R764" s="54"/>
      <c r="W764" s="23"/>
      <c r="X764" s="23"/>
      <c r="Y764" s="23"/>
      <c r="Z764" s="43"/>
      <c r="AA764" s="23"/>
      <c r="AB764" s="23"/>
      <c r="AC764" s="23"/>
      <c r="AD764" s="23"/>
      <c r="AE764" s="23"/>
      <c r="AF764" s="23"/>
      <c r="AG764" s="23"/>
      <c r="AH764" s="23"/>
    </row>
    <row r="765" spans="1:35">
      <c r="B765" s="42"/>
      <c r="G765" s="43"/>
      <c r="H765" s="44"/>
      <c r="L765" s="42"/>
      <c r="M765" s="42"/>
      <c r="N765" s="25"/>
      <c r="O765" s="54"/>
      <c r="P765"/>
      <c r="Q765" s="25"/>
      <c r="R765" s="54"/>
      <c r="W765" s="23"/>
      <c r="X765" s="23"/>
      <c r="Y765" s="23"/>
      <c r="Z765" s="43"/>
      <c r="AA765" s="23"/>
      <c r="AB765" s="23"/>
      <c r="AC765" s="23"/>
      <c r="AD765" s="23"/>
      <c r="AE765" s="23"/>
      <c r="AF765" s="23"/>
      <c r="AG765" s="23"/>
      <c r="AH765" s="23"/>
      <c r="AI765" s="48"/>
    </row>
    <row r="766" spans="1:35">
      <c r="A766" s="23"/>
      <c r="B766" s="42"/>
      <c r="G766" s="43"/>
      <c r="H766" s="44"/>
      <c r="L766" s="42"/>
      <c r="M766" s="42"/>
      <c r="N766" s="25"/>
      <c r="O766" s="54"/>
      <c r="P766"/>
      <c r="Q766" s="25"/>
      <c r="R766" s="54"/>
      <c r="W766" s="23"/>
      <c r="X766" s="23"/>
      <c r="Y766" s="23"/>
      <c r="Z766" s="43"/>
      <c r="AA766" s="23"/>
      <c r="AB766" s="23"/>
      <c r="AC766" s="23"/>
      <c r="AD766" s="23"/>
      <c r="AE766" s="23"/>
      <c r="AF766" s="23"/>
      <c r="AG766" s="23"/>
      <c r="AH766" s="23"/>
    </row>
    <row r="767" spans="1:35">
      <c r="B767" s="42"/>
      <c r="G767" s="43"/>
      <c r="H767" s="44"/>
      <c r="L767" s="42"/>
      <c r="M767" s="42"/>
      <c r="N767" s="25"/>
      <c r="O767" s="54"/>
      <c r="P767"/>
      <c r="Q767" s="25"/>
      <c r="R767" s="54"/>
      <c r="W767" s="23"/>
      <c r="X767" s="23"/>
      <c r="Y767" s="23"/>
      <c r="Z767" s="43"/>
      <c r="AA767" s="23"/>
      <c r="AB767" s="23"/>
      <c r="AC767" s="23"/>
      <c r="AD767" s="23"/>
      <c r="AE767" s="23"/>
      <c r="AF767" s="23"/>
      <c r="AG767" s="23"/>
      <c r="AH767" s="23"/>
      <c r="AI767" s="48"/>
    </row>
    <row r="768" spans="1:35">
      <c r="B768" s="42"/>
      <c r="G768" s="43"/>
      <c r="H768" s="44"/>
      <c r="L768" s="42"/>
      <c r="M768" s="42"/>
      <c r="N768" s="25"/>
      <c r="O768" s="54"/>
      <c r="P768"/>
      <c r="Q768" s="25"/>
      <c r="R768" s="54"/>
      <c r="W768" s="23"/>
      <c r="X768" s="23"/>
      <c r="Y768" s="23"/>
      <c r="Z768" s="43"/>
      <c r="AA768" s="23"/>
      <c r="AB768" s="23"/>
      <c r="AC768" s="23"/>
      <c r="AD768" s="23"/>
      <c r="AE768" s="23"/>
      <c r="AF768" s="23"/>
      <c r="AG768" s="23"/>
      <c r="AH768" s="23"/>
      <c r="AI768" s="48"/>
    </row>
    <row r="769" spans="1:35">
      <c r="A769" s="23"/>
      <c r="B769" s="42"/>
      <c r="G769" s="43"/>
      <c r="H769" s="44"/>
      <c r="L769" s="42"/>
      <c r="M769" s="42"/>
      <c r="N769" s="25"/>
      <c r="O769" s="54"/>
      <c r="P769"/>
      <c r="Q769" s="25"/>
      <c r="R769" s="54"/>
      <c r="W769" s="23"/>
      <c r="X769" s="23"/>
      <c r="Y769" s="23"/>
      <c r="Z769" s="43"/>
      <c r="AA769" s="23"/>
      <c r="AB769" s="23"/>
      <c r="AC769" s="23"/>
      <c r="AD769" s="23"/>
      <c r="AE769" s="23"/>
      <c r="AF769" s="23"/>
      <c r="AG769" s="23"/>
      <c r="AH769" s="23"/>
      <c r="AI769" s="23"/>
    </row>
    <row r="770" spans="1:35">
      <c r="A770" s="49"/>
      <c r="B770" s="42"/>
      <c r="C770" s="49"/>
      <c r="E770" s="49"/>
      <c r="G770" s="43"/>
      <c r="H770" s="44"/>
      <c r="L770" s="42"/>
      <c r="M770" s="42"/>
      <c r="N770" s="25"/>
      <c r="O770" s="54"/>
      <c r="P770"/>
      <c r="Q770" s="25"/>
      <c r="R770" s="54"/>
      <c r="W770" s="23"/>
      <c r="X770" s="23"/>
      <c r="Y770" s="23"/>
      <c r="Z770" s="43"/>
      <c r="AA770" s="23"/>
      <c r="AB770" s="23"/>
      <c r="AC770" s="23"/>
      <c r="AD770" s="23"/>
      <c r="AE770" s="23"/>
      <c r="AF770" s="23"/>
      <c r="AG770" s="23"/>
      <c r="AH770" s="23"/>
      <c r="AI770" s="49"/>
    </row>
    <row r="771" spans="1:35">
      <c r="B771" s="42"/>
      <c r="G771" s="43"/>
      <c r="H771" s="44"/>
      <c r="L771" s="42"/>
      <c r="M771" s="42"/>
      <c r="N771" s="25"/>
      <c r="O771" s="54"/>
      <c r="P771"/>
      <c r="Q771" s="25"/>
      <c r="R771" s="54"/>
      <c r="W771" s="23"/>
      <c r="X771" s="23"/>
      <c r="Y771" s="23"/>
      <c r="Z771" s="43"/>
      <c r="AA771" s="23"/>
      <c r="AB771" s="23"/>
      <c r="AC771" s="23"/>
      <c r="AD771" s="23"/>
      <c r="AE771" s="23"/>
      <c r="AF771" s="23"/>
      <c r="AG771" s="23"/>
      <c r="AH771" s="23"/>
    </row>
    <row r="772" spans="1:35">
      <c r="B772" s="42"/>
      <c r="C772" s="49"/>
      <c r="E772" s="49"/>
      <c r="G772" s="43"/>
      <c r="H772" s="44"/>
      <c r="L772" s="42"/>
      <c r="M772" s="42"/>
      <c r="N772" s="25"/>
      <c r="O772" s="54"/>
      <c r="P772"/>
      <c r="Q772" s="25"/>
      <c r="R772" s="54"/>
      <c r="W772" s="23"/>
      <c r="X772" s="23"/>
      <c r="Y772" s="23"/>
      <c r="Z772" s="43"/>
      <c r="AA772" s="23"/>
      <c r="AB772" s="23"/>
      <c r="AC772" s="23"/>
      <c r="AD772" s="23"/>
      <c r="AE772" s="23"/>
      <c r="AF772" s="23"/>
      <c r="AG772" s="23"/>
      <c r="AH772" s="23"/>
      <c r="AI772" s="23"/>
    </row>
    <row r="773" spans="1:35">
      <c r="B773" s="42"/>
      <c r="G773" s="43"/>
      <c r="H773" s="44"/>
      <c r="L773" s="42"/>
      <c r="M773" s="42"/>
      <c r="N773" s="25"/>
      <c r="O773" s="54"/>
      <c r="P773"/>
      <c r="Q773" s="25"/>
      <c r="R773" s="54"/>
      <c r="W773" s="23"/>
      <c r="X773" s="23"/>
      <c r="Y773" s="23"/>
      <c r="Z773" s="43"/>
      <c r="AA773" s="23"/>
      <c r="AB773" s="23"/>
      <c r="AC773" s="23"/>
      <c r="AD773" s="23"/>
      <c r="AE773" s="23"/>
      <c r="AF773" s="23"/>
      <c r="AG773" s="23"/>
      <c r="AH773" s="23"/>
    </row>
    <row r="774" spans="1:35">
      <c r="B774" s="42"/>
      <c r="G774" s="43"/>
      <c r="H774" s="44"/>
      <c r="L774" s="42"/>
      <c r="M774" s="42"/>
      <c r="N774" s="25"/>
      <c r="O774" s="54"/>
      <c r="P774"/>
      <c r="Q774" s="25"/>
      <c r="R774" s="54"/>
      <c r="W774" s="23"/>
      <c r="X774" s="23"/>
      <c r="Y774" s="23"/>
      <c r="Z774" s="43"/>
      <c r="AA774" s="23"/>
      <c r="AB774" s="23"/>
      <c r="AC774" s="23"/>
      <c r="AD774" s="23"/>
      <c r="AE774" s="23"/>
      <c r="AF774" s="23"/>
      <c r="AG774" s="23"/>
      <c r="AH774" s="23"/>
      <c r="AI774" s="48"/>
    </row>
    <row r="775" spans="1:35">
      <c r="B775" s="42"/>
      <c r="G775" s="43"/>
      <c r="H775" s="44"/>
      <c r="L775" s="42"/>
      <c r="M775" s="42"/>
      <c r="N775" s="25"/>
      <c r="O775" s="54"/>
      <c r="P775"/>
      <c r="Q775" s="25"/>
      <c r="R775" s="54"/>
      <c r="W775" s="23"/>
      <c r="X775" s="23"/>
      <c r="Y775" s="23"/>
      <c r="Z775" s="43"/>
      <c r="AA775" s="23"/>
      <c r="AB775" s="23"/>
      <c r="AC775" s="23"/>
      <c r="AD775" s="23"/>
      <c r="AE775" s="23"/>
      <c r="AF775" s="23"/>
      <c r="AG775" s="23"/>
      <c r="AH775" s="23"/>
      <c r="AI775" s="48"/>
    </row>
    <row r="776" spans="1:35">
      <c r="B776" s="42"/>
      <c r="G776" s="43"/>
      <c r="H776" s="44"/>
      <c r="L776" s="42"/>
      <c r="M776" s="42"/>
      <c r="N776" s="25"/>
      <c r="O776" s="54"/>
      <c r="P776"/>
      <c r="Q776" s="25"/>
      <c r="R776" s="54"/>
      <c r="W776" s="23"/>
      <c r="X776" s="23"/>
      <c r="Y776" s="23"/>
      <c r="Z776" s="43"/>
      <c r="AA776" s="23"/>
      <c r="AB776" s="23"/>
      <c r="AC776" s="23"/>
      <c r="AD776" s="23"/>
      <c r="AE776" s="23"/>
      <c r="AF776" s="23"/>
      <c r="AG776" s="23"/>
      <c r="AH776" s="23"/>
    </row>
    <row r="777" spans="1:35">
      <c r="B777" s="42"/>
      <c r="G777" s="43"/>
      <c r="H777" s="44"/>
      <c r="L777" s="42"/>
      <c r="M777" s="42"/>
      <c r="N777" s="25"/>
      <c r="O777" s="54"/>
      <c r="P777"/>
      <c r="Q777" s="25"/>
      <c r="R777" s="54"/>
      <c r="W777" s="23"/>
      <c r="X777" s="23"/>
      <c r="Y777" s="23"/>
      <c r="Z777" s="43"/>
      <c r="AA777" s="23"/>
      <c r="AB777" s="23"/>
      <c r="AC777" s="23"/>
      <c r="AD777" s="23"/>
      <c r="AE777" s="23"/>
      <c r="AF777" s="23"/>
      <c r="AG777" s="23"/>
      <c r="AH777" s="23"/>
    </row>
    <row r="778" spans="1:35">
      <c r="A778" s="23"/>
      <c r="B778" s="42"/>
      <c r="G778" s="43"/>
      <c r="H778" s="44"/>
      <c r="L778" s="42"/>
      <c r="M778" s="42"/>
      <c r="N778" s="25"/>
      <c r="O778" s="54"/>
      <c r="P778"/>
      <c r="Q778" s="25"/>
      <c r="R778" s="54"/>
      <c r="W778" s="23"/>
      <c r="X778" s="23"/>
      <c r="Y778" s="23"/>
      <c r="Z778" s="43"/>
      <c r="AA778" s="23"/>
      <c r="AB778" s="23"/>
      <c r="AC778" s="23"/>
      <c r="AD778" s="23"/>
      <c r="AE778" s="23"/>
      <c r="AF778" s="23"/>
      <c r="AG778" s="23"/>
      <c r="AH778" s="23"/>
      <c r="AI778" s="23"/>
    </row>
    <row r="779" spans="1:35">
      <c r="A779" s="50"/>
      <c r="B779" s="42"/>
      <c r="C779" s="49"/>
      <c r="E779" s="49"/>
      <c r="G779" s="43"/>
      <c r="H779" s="44"/>
      <c r="L779" s="42"/>
      <c r="M779" s="42"/>
      <c r="N779" s="25"/>
      <c r="O779" s="54"/>
      <c r="P779"/>
      <c r="Q779" s="25"/>
      <c r="R779" s="54"/>
      <c r="W779" s="23"/>
      <c r="X779" s="23"/>
      <c r="Y779" s="23"/>
      <c r="Z779" s="43"/>
      <c r="AA779" s="23"/>
      <c r="AB779" s="23"/>
      <c r="AC779" s="23"/>
      <c r="AD779" s="23"/>
      <c r="AE779" s="23"/>
      <c r="AF779" s="23"/>
      <c r="AG779" s="23"/>
      <c r="AH779" s="23"/>
      <c r="AI779" s="49"/>
    </row>
    <row r="780" spans="1:35">
      <c r="B780" s="42"/>
      <c r="C780" s="49"/>
      <c r="E780" s="49"/>
      <c r="G780" s="43"/>
      <c r="H780" s="44"/>
      <c r="L780" s="42"/>
      <c r="M780" s="42"/>
      <c r="N780" s="25"/>
      <c r="O780" s="54"/>
      <c r="P780"/>
      <c r="Q780" s="25"/>
      <c r="R780" s="54"/>
      <c r="W780" s="23"/>
      <c r="X780" s="23"/>
      <c r="Y780" s="23"/>
      <c r="Z780" s="43"/>
      <c r="AA780" s="23"/>
      <c r="AB780" s="23"/>
      <c r="AC780" s="23"/>
      <c r="AD780" s="23"/>
      <c r="AE780" s="23"/>
      <c r="AF780" s="23"/>
      <c r="AG780" s="23"/>
      <c r="AH780" s="23"/>
      <c r="AI780" s="23"/>
    </row>
    <row r="781" spans="1:35">
      <c r="B781" s="42"/>
      <c r="G781" s="43"/>
      <c r="H781" s="44"/>
      <c r="L781" s="42"/>
      <c r="M781" s="42"/>
      <c r="N781" s="25"/>
      <c r="O781" s="54"/>
      <c r="P781"/>
      <c r="Q781" s="25"/>
      <c r="R781" s="54"/>
      <c r="W781" s="23"/>
      <c r="X781" s="23"/>
      <c r="Y781" s="23"/>
      <c r="Z781" s="43"/>
      <c r="AA781" s="23"/>
      <c r="AB781" s="23"/>
      <c r="AC781" s="23"/>
      <c r="AD781" s="23"/>
      <c r="AE781" s="23"/>
      <c r="AF781" s="23"/>
      <c r="AG781" s="23"/>
      <c r="AH781" s="23"/>
      <c r="AI781" s="48"/>
    </row>
    <row r="782" spans="1:35">
      <c r="A782" s="23"/>
      <c r="B782" s="42"/>
      <c r="C782" s="49"/>
      <c r="E782" s="49"/>
      <c r="G782" s="43"/>
      <c r="H782" s="44"/>
      <c r="L782" s="42"/>
      <c r="M782" s="42"/>
      <c r="N782" s="25"/>
      <c r="O782" s="54"/>
      <c r="P782"/>
      <c r="Q782" s="25"/>
      <c r="R782" s="54"/>
      <c r="W782" s="23"/>
      <c r="X782" s="23"/>
      <c r="Y782" s="23"/>
      <c r="Z782" s="43"/>
      <c r="AA782" s="23"/>
      <c r="AB782" s="23"/>
      <c r="AC782" s="23"/>
      <c r="AD782" s="23"/>
      <c r="AE782" s="23"/>
      <c r="AF782" s="23"/>
      <c r="AG782" s="23"/>
      <c r="AH782" s="23"/>
      <c r="AI782" s="49"/>
    </row>
    <row r="783" spans="1:35">
      <c r="A783" s="23"/>
      <c r="B783" s="42"/>
      <c r="C783" s="49"/>
      <c r="E783" s="49"/>
      <c r="G783" s="43"/>
      <c r="H783" s="44"/>
      <c r="L783" s="42"/>
      <c r="M783" s="42"/>
      <c r="N783" s="25"/>
      <c r="O783" s="54"/>
      <c r="P783"/>
      <c r="Q783" s="25"/>
      <c r="R783" s="54"/>
      <c r="W783" s="23"/>
      <c r="X783" s="23"/>
      <c r="Y783" s="23"/>
      <c r="Z783" s="43"/>
      <c r="AA783" s="23"/>
      <c r="AB783" s="23"/>
      <c r="AC783" s="23"/>
      <c r="AD783" s="23"/>
      <c r="AE783" s="23"/>
      <c r="AF783" s="23"/>
      <c r="AG783" s="23"/>
      <c r="AH783" s="23"/>
      <c r="AI783" s="49"/>
    </row>
    <row r="784" spans="1:35">
      <c r="A784" s="23"/>
      <c r="B784" s="42"/>
      <c r="G784" s="43"/>
      <c r="H784" s="44"/>
      <c r="L784" s="42"/>
      <c r="M784" s="42"/>
      <c r="N784" s="25"/>
      <c r="O784" s="54"/>
      <c r="P784"/>
      <c r="Q784" s="25"/>
      <c r="R784" s="54"/>
      <c r="W784" s="23"/>
      <c r="X784" s="23"/>
      <c r="Y784" s="23"/>
      <c r="Z784" s="43"/>
      <c r="AA784" s="23"/>
      <c r="AB784" s="23"/>
      <c r="AC784" s="23"/>
      <c r="AD784" s="23"/>
      <c r="AE784" s="23"/>
      <c r="AF784" s="23"/>
      <c r="AG784" s="23"/>
      <c r="AH784" s="23"/>
    </row>
    <row r="785" spans="1:35">
      <c r="B785" s="42"/>
      <c r="G785" s="43"/>
      <c r="H785" s="44"/>
      <c r="L785" s="42"/>
      <c r="M785" s="42"/>
      <c r="N785" s="25"/>
      <c r="O785" s="54"/>
      <c r="P785"/>
      <c r="Q785" s="25"/>
      <c r="R785" s="54"/>
      <c r="W785" s="23"/>
      <c r="X785" s="23"/>
      <c r="Y785" s="23"/>
      <c r="Z785" s="43"/>
      <c r="AA785" s="23"/>
      <c r="AB785" s="23"/>
      <c r="AC785" s="23"/>
      <c r="AD785" s="23"/>
      <c r="AE785" s="23"/>
      <c r="AF785" s="23"/>
      <c r="AG785" s="23"/>
      <c r="AH785" s="23"/>
    </row>
    <row r="786" spans="1:35">
      <c r="A786" s="23"/>
      <c r="B786" s="42"/>
      <c r="G786" s="43"/>
      <c r="H786" s="44"/>
      <c r="L786" s="42"/>
      <c r="M786" s="42"/>
      <c r="N786" s="25"/>
      <c r="O786" s="54"/>
      <c r="P786"/>
      <c r="Q786" s="25"/>
      <c r="R786" s="54"/>
      <c r="W786" s="23"/>
      <c r="X786" s="23"/>
      <c r="Y786" s="23"/>
      <c r="Z786" s="43"/>
      <c r="AA786" s="23"/>
      <c r="AB786" s="23"/>
      <c r="AC786" s="23"/>
      <c r="AD786" s="23"/>
      <c r="AE786" s="23"/>
      <c r="AF786" s="23"/>
      <c r="AG786" s="23"/>
      <c r="AH786" s="23"/>
      <c r="AI786" s="23"/>
    </row>
    <row r="787" spans="1:35">
      <c r="B787" s="42"/>
      <c r="G787" s="43"/>
      <c r="H787" s="44"/>
      <c r="L787" s="42"/>
      <c r="M787" s="42"/>
      <c r="N787" s="25"/>
      <c r="O787" s="54"/>
      <c r="P787"/>
      <c r="Q787" s="25"/>
      <c r="R787" s="54"/>
      <c r="W787" s="23"/>
      <c r="X787" s="23"/>
      <c r="Y787" s="23"/>
      <c r="Z787" s="43"/>
      <c r="AA787" s="23"/>
      <c r="AB787" s="23"/>
      <c r="AC787" s="23"/>
      <c r="AD787" s="23"/>
      <c r="AE787" s="23"/>
      <c r="AF787" s="23"/>
      <c r="AG787" s="23"/>
      <c r="AH787" s="23"/>
      <c r="AI787" s="48"/>
    </row>
    <row r="788" spans="1:35">
      <c r="B788" s="42"/>
      <c r="C788" s="49"/>
      <c r="E788" s="49"/>
      <c r="G788" s="43"/>
      <c r="H788" s="44"/>
      <c r="L788" s="42"/>
      <c r="M788" s="42"/>
      <c r="N788" s="25"/>
      <c r="O788" s="54"/>
      <c r="P788"/>
      <c r="Q788" s="25"/>
      <c r="R788" s="54"/>
      <c r="W788" s="23"/>
      <c r="X788" s="23"/>
      <c r="Y788" s="23"/>
      <c r="Z788" s="43"/>
      <c r="AA788" s="23"/>
      <c r="AB788" s="23"/>
      <c r="AC788" s="23"/>
      <c r="AD788" s="23"/>
      <c r="AE788" s="23"/>
      <c r="AF788" s="23"/>
      <c r="AG788" s="23"/>
      <c r="AH788" s="23"/>
      <c r="AI788" s="23"/>
    </row>
    <row r="789" spans="1:35">
      <c r="A789" s="49"/>
      <c r="B789" s="42"/>
      <c r="C789" s="49"/>
      <c r="E789" s="49"/>
      <c r="G789" s="43"/>
      <c r="H789" s="44"/>
      <c r="L789" s="42"/>
      <c r="M789" s="42"/>
      <c r="N789" s="25"/>
      <c r="O789" s="54"/>
      <c r="P789"/>
      <c r="Q789" s="25"/>
      <c r="R789" s="54"/>
      <c r="W789" s="23"/>
      <c r="X789" s="23"/>
      <c r="Y789" s="23"/>
      <c r="Z789" s="43"/>
      <c r="AA789" s="23"/>
      <c r="AB789" s="23"/>
      <c r="AC789" s="23"/>
      <c r="AD789" s="23"/>
      <c r="AE789" s="23"/>
      <c r="AF789" s="23"/>
      <c r="AG789" s="23"/>
      <c r="AH789" s="23"/>
      <c r="AI789" s="49"/>
    </row>
    <row r="790" spans="1:35">
      <c r="B790" s="42"/>
      <c r="G790" s="43"/>
      <c r="H790" s="44"/>
      <c r="L790" s="42"/>
      <c r="M790" s="42"/>
      <c r="N790" s="25"/>
      <c r="O790" s="54"/>
      <c r="P790"/>
      <c r="Q790" s="25"/>
      <c r="R790" s="54"/>
      <c r="W790" s="23"/>
      <c r="X790" s="23"/>
      <c r="Y790" s="23"/>
      <c r="Z790" s="43"/>
      <c r="AA790" s="23"/>
      <c r="AB790" s="23"/>
      <c r="AC790" s="23"/>
      <c r="AD790" s="23"/>
      <c r="AE790" s="23"/>
      <c r="AF790" s="23"/>
      <c r="AG790" s="23"/>
      <c r="AH790" s="23"/>
    </row>
    <row r="791" spans="1:35">
      <c r="B791" s="42"/>
      <c r="G791" s="43"/>
      <c r="H791" s="44"/>
      <c r="L791" s="42"/>
      <c r="M791" s="42"/>
      <c r="N791" s="25"/>
      <c r="O791" s="54"/>
      <c r="P791"/>
      <c r="Q791" s="25"/>
      <c r="R791" s="54"/>
      <c r="W791" s="23"/>
      <c r="X791" s="23"/>
      <c r="Y791" s="23"/>
      <c r="Z791" s="43"/>
      <c r="AA791" s="23"/>
      <c r="AB791" s="23"/>
      <c r="AC791" s="23"/>
      <c r="AD791" s="23"/>
      <c r="AE791" s="23"/>
      <c r="AF791" s="23"/>
      <c r="AG791" s="23"/>
      <c r="AH791" s="23"/>
    </row>
    <row r="792" spans="1:35">
      <c r="A792" s="23"/>
      <c r="B792" s="42"/>
      <c r="C792" s="49"/>
      <c r="E792" s="49"/>
      <c r="G792" s="43"/>
      <c r="H792" s="44"/>
      <c r="L792" s="42"/>
      <c r="M792" s="42"/>
      <c r="N792" s="25"/>
      <c r="O792" s="54"/>
      <c r="P792"/>
      <c r="Q792" s="25"/>
      <c r="R792" s="54"/>
      <c r="W792" s="23"/>
      <c r="X792" s="23"/>
      <c r="Y792" s="23"/>
      <c r="Z792" s="43"/>
      <c r="AA792" s="23"/>
      <c r="AB792" s="23"/>
      <c r="AC792" s="23"/>
      <c r="AD792" s="23"/>
      <c r="AE792" s="23"/>
      <c r="AF792" s="23"/>
      <c r="AG792" s="23"/>
      <c r="AH792" s="23"/>
      <c r="AI792" s="49"/>
    </row>
    <row r="793" spans="1:35">
      <c r="A793" s="23"/>
      <c r="B793" s="42"/>
      <c r="G793" s="43"/>
      <c r="H793" s="44"/>
      <c r="L793" s="42"/>
      <c r="M793" s="42"/>
      <c r="N793" s="25"/>
      <c r="O793" s="54"/>
      <c r="P793"/>
      <c r="Q793" s="25"/>
      <c r="R793" s="54"/>
      <c r="W793" s="23"/>
      <c r="X793" s="23"/>
      <c r="Y793" s="23"/>
      <c r="Z793" s="43"/>
      <c r="AA793" s="23"/>
      <c r="AB793" s="23"/>
      <c r="AC793" s="23"/>
      <c r="AD793" s="23"/>
      <c r="AE793" s="23"/>
      <c r="AF793" s="23"/>
      <c r="AG793" s="23"/>
      <c r="AH793" s="23"/>
    </row>
    <row r="794" spans="1:35">
      <c r="A794" s="23"/>
      <c r="B794" s="42"/>
      <c r="G794" s="43"/>
      <c r="H794" s="44"/>
      <c r="L794" s="42"/>
      <c r="M794" s="42"/>
      <c r="N794" s="25"/>
      <c r="O794" s="54"/>
      <c r="P794"/>
      <c r="Q794" s="25"/>
      <c r="R794" s="54"/>
      <c r="W794" s="23"/>
      <c r="X794" s="23"/>
      <c r="Y794" s="23"/>
      <c r="Z794" s="43"/>
      <c r="AA794" s="23"/>
      <c r="AB794" s="23"/>
      <c r="AC794" s="23"/>
      <c r="AD794" s="23"/>
      <c r="AE794" s="23"/>
      <c r="AF794" s="23"/>
      <c r="AG794" s="23"/>
      <c r="AH794" s="23"/>
    </row>
    <row r="795" spans="1:35">
      <c r="B795" s="42"/>
      <c r="G795" s="43"/>
      <c r="H795" s="44"/>
      <c r="L795" s="42"/>
      <c r="M795" s="42"/>
      <c r="N795" s="25"/>
      <c r="O795" s="54"/>
      <c r="P795"/>
      <c r="Q795" s="25"/>
      <c r="R795" s="54"/>
      <c r="W795" s="23"/>
      <c r="X795" s="23"/>
      <c r="Y795" s="23"/>
      <c r="Z795" s="43"/>
      <c r="AA795" s="23"/>
      <c r="AB795" s="23"/>
      <c r="AC795" s="23"/>
      <c r="AD795" s="23"/>
      <c r="AE795" s="23"/>
      <c r="AF795" s="23"/>
      <c r="AG795" s="23"/>
      <c r="AH795" s="23"/>
    </row>
    <row r="796" spans="1:35">
      <c r="A796" s="49"/>
      <c r="B796" s="42"/>
      <c r="C796" s="49"/>
      <c r="E796" s="49"/>
      <c r="G796" s="43"/>
      <c r="H796" s="44"/>
      <c r="L796" s="42"/>
      <c r="M796" s="42"/>
      <c r="N796" s="25"/>
      <c r="O796" s="54"/>
      <c r="P796"/>
      <c r="Q796" s="25"/>
      <c r="R796" s="54"/>
      <c r="W796" s="23"/>
      <c r="X796" s="23"/>
      <c r="Y796" s="23"/>
      <c r="Z796" s="43"/>
      <c r="AA796" s="23"/>
      <c r="AB796" s="23"/>
      <c r="AC796" s="23"/>
      <c r="AD796" s="23"/>
      <c r="AE796" s="23"/>
      <c r="AF796" s="23"/>
      <c r="AG796" s="23"/>
      <c r="AH796" s="23"/>
      <c r="AI796" s="49"/>
    </row>
    <row r="797" spans="1:35">
      <c r="A797" s="23"/>
      <c r="B797" s="42"/>
      <c r="G797" s="43"/>
      <c r="H797" s="44"/>
      <c r="L797" s="42"/>
      <c r="M797" s="42"/>
      <c r="N797" s="25"/>
      <c r="O797" s="54"/>
      <c r="P797"/>
      <c r="Q797" s="25"/>
      <c r="R797" s="54"/>
      <c r="W797" s="23"/>
      <c r="X797" s="23"/>
      <c r="Y797" s="23"/>
      <c r="Z797" s="43"/>
      <c r="AA797" s="23"/>
      <c r="AB797" s="23"/>
      <c r="AC797" s="23"/>
      <c r="AD797" s="23"/>
      <c r="AE797" s="23"/>
      <c r="AF797" s="23"/>
      <c r="AG797" s="23"/>
      <c r="AH797" s="23"/>
      <c r="AI797" s="23"/>
    </row>
    <row r="798" spans="1:35">
      <c r="A798" s="23"/>
      <c r="B798" s="42"/>
      <c r="G798" s="43"/>
      <c r="H798" s="44"/>
      <c r="L798" s="42"/>
      <c r="M798" s="42"/>
      <c r="N798" s="25"/>
      <c r="O798" s="54"/>
      <c r="P798"/>
      <c r="Q798" s="25"/>
      <c r="R798" s="54"/>
      <c r="W798" s="23"/>
      <c r="X798" s="23"/>
      <c r="Y798" s="23"/>
      <c r="Z798" s="43"/>
      <c r="AA798" s="23"/>
      <c r="AB798" s="23"/>
      <c r="AC798" s="23"/>
      <c r="AD798" s="23"/>
      <c r="AE798" s="23"/>
      <c r="AF798" s="23"/>
      <c r="AG798" s="23"/>
      <c r="AH798" s="23"/>
    </row>
    <row r="799" spans="1:35">
      <c r="B799" s="42"/>
      <c r="G799" s="43"/>
      <c r="H799" s="44"/>
      <c r="L799" s="42"/>
      <c r="M799" s="42"/>
      <c r="N799" s="25"/>
      <c r="O799" s="54"/>
      <c r="P799"/>
      <c r="Q799" s="25"/>
      <c r="R799" s="54"/>
      <c r="W799" s="23"/>
      <c r="X799" s="23"/>
      <c r="Y799" s="23"/>
      <c r="Z799" s="43"/>
      <c r="AA799" s="23"/>
      <c r="AB799" s="23"/>
      <c r="AC799" s="23"/>
      <c r="AD799" s="23"/>
      <c r="AE799" s="23"/>
      <c r="AF799" s="23"/>
      <c r="AG799" s="23"/>
      <c r="AH799" s="23"/>
      <c r="AI799" s="48"/>
    </row>
    <row r="800" spans="1:35">
      <c r="A800" s="23"/>
      <c r="B800" s="42"/>
      <c r="G800" s="43"/>
      <c r="H800" s="44"/>
      <c r="L800" s="42"/>
      <c r="M800" s="42"/>
      <c r="N800" s="25"/>
      <c r="O800" s="54"/>
      <c r="P800"/>
      <c r="Q800" s="25"/>
      <c r="R800" s="54"/>
      <c r="W800" s="23"/>
      <c r="X800" s="23"/>
      <c r="Y800" s="23"/>
      <c r="Z800" s="43"/>
      <c r="AA800" s="23"/>
      <c r="AB800" s="23"/>
      <c r="AC800" s="23"/>
      <c r="AD800" s="23"/>
      <c r="AE800" s="23"/>
      <c r="AF800" s="23"/>
      <c r="AG800" s="23"/>
      <c r="AH800" s="23"/>
    </row>
    <row r="801" spans="1:35">
      <c r="B801" s="42"/>
      <c r="C801" s="49"/>
      <c r="E801" s="49"/>
      <c r="G801" s="43"/>
      <c r="H801" s="44"/>
      <c r="L801" s="42"/>
      <c r="M801" s="42"/>
      <c r="N801" s="25"/>
      <c r="O801" s="54"/>
      <c r="P801"/>
      <c r="Q801" s="25"/>
      <c r="R801" s="54"/>
      <c r="W801" s="23"/>
      <c r="X801" s="23"/>
      <c r="Y801" s="23"/>
      <c r="Z801" s="43"/>
      <c r="AA801" s="23"/>
      <c r="AB801" s="23"/>
      <c r="AC801" s="23"/>
      <c r="AD801" s="23"/>
      <c r="AE801" s="23"/>
      <c r="AF801" s="23"/>
      <c r="AG801" s="23"/>
      <c r="AH801" s="23"/>
      <c r="AI801" s="23"/>
    </row>
    <row r="802" spans="1:35">
      <c r="A802" s="23"/>
      <c r="B802" s="42"/>
      <c r="G802" s="43"/>
      <c r="H802" s="44"/>
      <c r="L802" s="42"/>
      <c r="M802" s="42"/>
      <c r="N802" s="25"/>
      <c r="O802" s="54"/>
      <c r="P802"/>
      <c r="Q802" s="25"/>
      <c r="R802" s="54"/>
      <c r="W802" s="23"/>
      <c r="X802" s="23"/>
      <c r="Y802" s="23"/>
      <c r="Z802" s="43"/>
      <c r="AA802" s="23"/>
      <c r="AB802" s="23"/>
      <c r="AC802" s="23"/>
      <c r="AD802" s="23"/>
      <c r="AE802" s="23"/>
      <c r="AF802" s="23"/>
      <c r="AG802" s="23"/>
      <c r="AH802" s="23"/>
    </row>
    <row r="803" spans="1:35">
      <c r="B803" s="42"/>
      <c r="G803" s="43"/>
      <c r="H803" s="44"/>
      <c r="L803" s="42"/>
      <c r="M803" s="42"/>
      <c r="N803" s="25"/>
      <c r="O803" s="54"/>
      <c r="P803"/>
      <c r="Q803" s="25"/>
      <c r="R803" s="54"/>
      <c r="W803" s="23"/>
      <c r="X803" s="23"/>
      <c r="Y803" s="23"/>
      <c r="Z803" s="43"/>
      <c r="AA803" s="23"/>
      <c r="AB803" s="23"/>
      <c r="AC803" s="23"/>
      <c r="AD803" s="23"/>
      <c r="AE803" s="23"/>
      <c r="AF803" s="23"/>
      <c r="AG803" s="23"/>
      <c r="AH803" s="23"/>
    </row>
    <row r="804" spans="1:35">
      <c r="B804" s="42"/>
      <c r="G804" s="43"/>
      <c r="H804" s="44"/>
      <c r="L804" s="42"/>
      <c r="M804" s="42"/>
      <c r="N804" s="25"/>
      <c r="O804" s="54"/>
      <c r="P804"/>
      <c r="Q804" s="25"/>
      <c r="R804" s="54"/>
      <c r="W804" s="23"/>
      <c r="X804" s="23"/>
      <c r="Y804" s="23"/>
      <c r="Z804" s="43"/>
      <c r="AA804" s="23"/>
      <c r="AB804" s="23"/>
      <c r="AC804" s="23"/>
      <c r="AD804" s="23"/>
      <c r="AE804" s="23"/>
      <c r="AF804" s="23"/>
      <c r="AG804" s="23"/>
      <c r="AH804" s="23"/>
      <c r="AI804" s="48"/>
    </row>
    <row r="805" spans="1:35">
      <c r="B805" s="42"/>
      <c r="G805" s="43"/>
      <c r="H805" s="44"/>
      <c r="L805" s="42"/>
      <c r="M805" s="42"/>
      <c r="N805" s="25"/>
      <c r="O805" s="54"/>
      <c r="P805"/>
      <c r="Q805" s="25"/>
      <c r="R805" s="54"/>
      <c r="W805" s="23"/>
      <c r="X805" s="23"/>
      <c r="Y805" s="23"/>
      <c r="Z805" s="43"/>
      <c r="AA805" s="23"/>
      <c r="AB805" s="23"/>
      <c r="AC805" s="23"/>
      <c r="AD805" s="23"/>
      <c r="AE805" s="23"/>
      <c r="AF805" s="23"/>
      <c r="AG805" s="23"/>
      <c r="AH805" s="23"/>
      <c r="AI805" s="48"/>
    </row>
    <row r="806" spans="1:35">
      <c r="B806" s="42"/>
      <c r="G806" s="43"/>
      <c r="H806" s="44"/>
      <c r="L806" s="42"/>
      <c r="M806" s="42"/>
      <c r="N806" s="25"/>
      <c r="O806" s="54"/>
      <c r="P806"/>
      <c r="Q806" s="25"/>
      <c r="R806" s="54"/>
      <c r="W806" s="23"/>
      <c r="X806" s="23"/>
      <c r="Y806" s="23"/>
      <c r="Z806" s="43"/>
      <c r="AA806" s="23"/>
      <c r="AB806" s="23"/>
      <c r="AC806" s="23"/>
      <c r="AD806" s="23"/>
      <c r="AE806" s="23"/>
      <c r="AF806" s="23"/>
      <c r="AG806" s="23"/>
      <c r="AH806" s="23"/>
    </row>
    <row r="807" spans="1:35">
      <c r="B807" s="42"/>
      <c r="G807" s="43"/>
      <c r="H807" s="44"/>
      <c r="L807" s="42"/>
      <c r="M807" s="42"/>
      <c r="N807" s="25"/>
      <c r="O807" s="54"/>
      <c r="P807"/>
      <c r="Q807" s="25"/>
      <c r="R807" s="54"/>
      <c r="W807" s="23"/>
      <c r="X807" s="23"/>
      <c r="Y807" s="23"/>
      <c r="Z807" s="43"/>
      <c r="AA807" s="23"/>
      <c r="AB807" s="23"/>
      <c r="AC807" s="23"/>
      <c r="AD807" s="23"/>
      <c r="AE807" s="23"/>
      <c r="AF807" s="23"/>
      <c r="AG807" s="23"/>
      <c r="AH807" s="23"/>
      <c r="AI807" s="48"/>
    </row>
    <row r="808" spans="1:35">
      <c r="B808" s="42"/>
      <c r="G808" s="43"/>
      <c r="H808" s="44"/>
      <c r="L808" s="42"/>
      <c r="M808" s="42"/>
      <c r="N808" s="25"/>
      <c r="O808" s="54"/>
      <c r="P808"/>
      <c r="Q808" s="25"/>
      <c r="R808" s="54"/>
      <c r="W808" s="23"/>
      <c r="X808" s="23"/>
      <c r="Y808" s="23"/>
      <c r="Z808" s="43"/>
      <c r="AA808" s="23"/>
      <c r="AB808" s="23"/>
      <c r="AC808" s="23"/>
      <c r="AD808" s="23"/>
      <c r="AE808" s="23"/>
      <c r="AF808" s="23"/>
      <c r="AG808" s="23"/>
      <c r="AH808" s="23"/>
      <c r="AI808" s="48"/>
    </row>
    <row r="809" spans="1:35">
      <c r="A809" s="50"/>
      <c r="B809" s="42"/>
      <c r="C809" s="49"/>
      <c r="E809" s="49"/>
      <c r="G809" s="43"/>
      <c r="H809" s="44"/>
      <c r="L809" s="42"/>
      <c r="M809" s="42"/>
      <c r="N809" s="25"/>
      <c r="O809" s="54"/>
      <c r="P809"/>
      <c r="Q809" s="25"/>
      <c r="R809" s="54"/>
      <c r="W809" s="23"/>
      <c r="X809" s="23"/>
      <c r="Y809" s="23"/>
      <c r="Z809" s="43"/>
      <c r="AA809" s="23"/>
      <c r="AB809" s="23"/>
      <c r="AC809" s="23"/>
      <c r="AD809" s="23"/>
      <c r="AE809" s="23"/>
      <c r="AF809" s="23"/>
      <c r="AG809" s="23"/>
      <c r="AH809" s="23"/>
      <c r="AI809" s="49"/>
    </row>
    <row r="810" spans="1:35">
      <c r="B810" s="42"/>
      <c r="G810" s="43"/>
      <c r="H810" s="44"/>
      <c r="L810" s="42"/>
      <c r="M810" s="42"/>
      <c r="N810" s="25"/>
      <c r="O810" s="54"/>
      <c r="P810"/>
      <c r="Q810" s="25"/>
      <c r="R810" s="54"/>
      <c r="W810" s="23"/>
      <c r="X810" s="23"/>
      <c r="Y810" s="23"/>
      <c r="Z810" s="43"/>
      <c r="AA810" s="23"/>
      <c r="AB810" s="23"/>
      <c r="AC810" s="23"/>
      <c r="AD810" s="23"/>
      <c r="AE810" s="23"/>
      <c r="AF810" s="23"/>
      <c r="AG810" s="23"/>
      <c r="AH810" s="23"/>
      <c r="AI810" s="48"/>
    </row>
    <row r="811" spans="1:35">
      <c r="B811" s="42"/>
      <c r="G811" s="43"/>
      <c r="H811" s="44"/>
      <c r="L811" s="42"/>
      <c r="M811" s="42"/>
      <c r="N811" s="25"/>
      <c r="O811" s="54"/>
      <c r="P811"/>
      <c r="Q811" s="25"/>
      <c r="R811" s="54"/>
      <c r="W811" s="23"/>
      <c r="X811" s="23"/>
      <c r="Y811" s="23"/>
      <c r="Z811" s="43"/>
      <c r="AA811" s="23"/>
      <c r="AB811" s="23"/>
      <c r="AC811" s="23"/>
      <c r="AD811" s="23"/>
      <c r="AE811" s="23"/>
      <c r="AF811" s="23"/>
      <c r="AG811" s="23"/>
      <c r="AH811" s="23"/>
      <c r="AI811" s="48"/>
    </row>
    <row r="812" spans="1:35">
      <c r="A812" s="23"/>
      <c r="B812" s="42"/>
      <c r="C812" s="49"/>
      <c r="E812" s="49"/>
      <c r="G812" s="43"/>
      <c r="H812" s="44"/>
      <c r="L812" s="42"/>
      <c r="M812" s="42"/>
      <c r="N812" s="25"/>
      <c r="O812" s="54"/>
      <c r="P812"/>
      <c r="Q812" s="25"/>
      <c r="R812" s="54"/>
      <c r="W812" s="23"/>
      <c r="X812" s="23"/>
      <c r="Y812" s="23"/>
      <c r="Z812" s="43"/>
      <c r="AA812" s="23"/>
      <c r="AB812" s="23"/>
      <c r="AC812" s="23"/>
      <c r="AD812" s="23"/>
      <c r="AE812" s="23"/>
      <c r="AF812" s="23"/>
      <c r="AG812" s="23"/>
      <c r="AH812" s="23"/>
      <c r="AI812" s="49"/>
    </row>
    <row r="813" spans="1:35">
      <c r="B813" s="42"/>
      <c r="G813" s="43"/>
      <c r="H813" s="44"/>
      <c r="L813" s="42"/>
      <c r="M813" s="42"/>
      <c r="N813" s="25"/>
      <c r="O813" s="54"/>
      <c r="P813"/>
      <c r="Q813" s="25"/>
      <c r="R813" s="54"/>
      <c r="W813" s="23"/>
      <c r="X813" s="23"/>
      <c r="Y813" s="23"/>
      <c r="Z813" s="43"/>
      <c r="AA813" s="23"/>
      <c r="AB813" s="23"/>
      <c r="AC813" s="23"/>
      <c r="AD813" s="23"/>
      <c r="AE813" s="23"/>
      <c r="AF813" s="23"/>
      <c r="AG813" s="23"/>
      <c r="AH813" s="23"/>
      <c r="AI813" s="48"/>
    </row>
    <row r="814" spans="1:35">
      <c r="A814" s="23"/>
      <c r="B814" s="42"/>
      <c r="G814" s="43"/>
      <c r="H814" s="44"/>
      <c r="L814" s="42"/>
      <c r="M814" s="42"/>
      <c r="N814" s="25"/>
      <c r="O814" s="54"/>
      <c r="P814"/>
      <c r="Q814" s="25"/>
      <c r="R814" s="54"/>
      <c r="W814" s="23"/>
      <c r="X814" s="23"/>
      <c r="Y814" s="23"/>
      <c r="Z814" s="43"/>
      <c r="AA814" s="23"/>
      <c r="AB814" s="23"/>
      <c r="AC814" s="23"/>
      <c r="AD814" s="23"/>
      <c r="AE814" s="23"/>
      <c r="AF814" s="23"/>
      <c r="AG814" s="23"/>
      <c r="AH814" s="23"/>
      <c r="AI814" s="23"/>
    </row>
    <row r="815" spans="1:35">
      <c r="B815" s="42"/>
      <c r="G815" s="43"/>
      <c r="H815" s="44"/>
      <c r="L815" s="42"/>
      <c r="M815" s="42"/>
      <c r="N815" s="25"/>
      <c r="O815" s="54"/>
      <c r="P815"/>
      <c r="Q815" s="25"/>
      <c r="R815" s="54"/>
      <c r="W815" s="23"/>
      <c r="X815" s="23"/>
      <c r="Y815" s="23"/>
      <c r="Z815" s="43"/>
      <c r="AA815" s="23"/>
      <c r="AB815" s="23"/>
      <c r="AC815" s="23"/>
      <c r="AD815" s="23"/>
      <c r="AE815" s="23"/>
      <c r="AF815" s="23"/>
      <c r="AG815" s="23"/>
      <c r="AH815" s="23"/>
    </row>
    <row r="816" spans="1:35">
      <c r="A816" s="23"/>
      <c r="B816" s="42"/>
      <c r="G816" s="43"/>
      <c r="H816" s="44"/>
      <c r="L816" s="42"/>
      <c r="M816" s="42"/>
      <c r="N816" s="25"/>
      <c r="O816" s="54"/>
      <c r="P816"/>
      <c r="Q816" s="25"/>
      <c r="R816" s="54"/>
      <c r="W816" s="23"/>
      <c r="X816" s="23"/>
      <c r="Y816" s="23"/>
      <c r="Z816" s="43"/>
      <c r="AA816" s="23"/>
      <c r="AB816" s="23"/>
      <c r="AC816" s="23"/>
      <c r="AD816" s="23"/>
      <c r="AE816" s="23"/>
      <c r="AF816" s="23"/>
      <c r="AG816" s="23"/>
      <c r="AH816" s="23"/>
    </row>
    <row r="817" spans="1:35">
      <c r="B817" s="42"/>
      <c r="G817" s="43"/>
      <c r="H817" s="44"/>
      <c r="L817" s="42"/>
      <c r="M817" s="42"/>
      <c r="N817" s="25"/>
      <c r="O817" s="54"/>
      <c r="P817"/>
      <c r="Q817" s="25"/>
      <c r="R817" s="54"/>
      <c r="W817" s="23"/>
      <c r="X817" s="23"/>
      <c r="Y817" s="23"/>
      <c r="Z817" s="43"/>
      <c r="AA817" s="23"/>
      <c r="AB817" s="23"/>
      <c r="AC817" s="23"/>
      <c r="AD817" s="23"/>
      <c r="AE817" s="23"/>
      <c r="AF817" s="23"/>
      <c r="AG817" s="23"/>
      <c r="AH817" s="23"/>
      <c r="AI817" s="48"/>
    </row>
    <row r="818" spans="1:35">
      <c r="A818" s="23"/>
      <c r="B818" s="42"/>
      <c r="G818" s="43"/>
      <c r="H818" s="44"/>
      <c r="L818" s="42"/>
      <c r="M818" s="42"/>
      <c r="N818" s="25"/>
      <c r="O818" s="54"/>
      <c r="P818"/>
      <c r="Q818" s="25"/>
      <c r="R818" s="54"/>
      <c r="W818" s="23"/>
      <c r="X818" s="23"/>
      <c r="Y818" s="23"/>
      <c r="Z818" s="43"/>
      <c r="AA818" s="23"/>
      <c r="AB818" s="23"/>
      <c r="AC818" s="23"/>
      <c r="AD818" s="23"/>
      <c r="AE818" s="23"/>
      <c r="AF818" s="23"/>
      <c r="AG818" s="23"/>
      <c r="AH818" s="23"/>
    </row>
    <row r="819" spans="1:35">
      <c r="A819" s="23"/>
      <c r="B819" s="42"/>
      <c r="G819" s="43"/>
      <c r="H819" s="44"/>
      <c r="L819" s="42"/>
      <c r="M819" s="42"/>
      <c r="N819" s="25"/>
      <c r="O819" s="54"/>
      <c r="P819"/>
      <c r="Q819" s="25"/>
      <c r="R819" s="54"/>
      <c r="W819" s="23"/>
      <c r="X819" s="23"/>
      <c r="Y819" s="23"/>
      <c r="Z819" s="43"/>
      <c r="AA819" s="23"/>
      <c r="AB819" s="23"/>
      <c r="AC819" s="23"/>
      <c r="AD819" s="23"/>
      <c r="AE819" s="23"/>
      <c r="AF819" s="23"/>
      <c r="AG819" s="23"/>
      <c r="AH819" s="23"/>
    </row>
    <row r="820" spans="1:35">
      <c r="A820" s="23"/>
      <c r="B820" s="42"/>
      <c r="C820" s="49"/>
      <c r="E820" s="49"/>
      <c r="G820" s="43"/>
      <c r="H820" s="44"/>
      <c r="L820" s="42"/>
      <c r="M820" s="42"/>
      <c r="N820" s="25"/>
      <c r="O820" s="54"/>
      <c r="P820"/>
      <c r="Q820" s="25"/>
      <c r="R820" s="54"/>
      <c r="W820" s="23"/>
      <c r="X820" s="23"/>
      <c r="Y820" s="23"/>
      <c r="Z820" s="43"/>
      <c r="AA820" s="23"/>
      <c r="AB820" s="23"/>
      <c r="AC820" s="23"/>
      <c r="AD820" s="23"/>
      <c r="AE820" s="23"/>
      <c r="AF820" s="23"/>
      <c r="AG820" s="23"/>
      <c r="AH820" s="23"/>
      <c r="AI820" s="49"/>
    </row>
    <row r="821" spans="1:35">
      <c r="A821" s="50"/>
      <c r="B821" s="42"/>
      <c r="C821" s="49"/>
      <c r="E821" s="49"/>
      <c r="G821" s="43"/>
      <c r="H821" s="44"/>
      <c r="L821" s="42"/>
      <c r="M821" s="42"/>
      <c r="N821" s="25"/>
      <c r="O821" s="54"/>
      <c r="P821"/>
      <c r="Q821" s="25"/>
      <c r="R821" s="54"/>
      <c r="W821" s="23"/>
      <c r="X821" s="23"/>
      <c r="Y821" s="23"/>
      <c r="Z821" s="43"/>
      <c r="AA821" s="23"/>
      <c r="AB821" s="23"/>
      <c r="AC821" s="23"/>
      <c r="AD821" s="23"/>
      <c r="AE821" s="23"/>
      <c r="AF821" s="23"/>
      <c r="AG821" s="23"/>
      <c r="AH821" s="23"/>
      <c r="AI821" s="49"/>
    </row>
    <row r="822" spans="1:35">
      <c r="A822" s="23"/>
      <c r="B822" s="42"/>
      <c r="C822" s="49"/>
      <c r="E822" s="49"/>
      <c r="G822" s="43"/>
      <c r="H822" s="44"/>
      <c r="L822" s="42"/>
      <c r="M822" s="42"/>
      <c r="N822" s="25"/>
      <c r="O822" s="54"/>
      <c r="P822"/>
      <c r="Q822" s="25"/>
      <c r="R822" s="54"/>
      <c r="W822" s="23"/>
      <c r="X822" s="23"/>
      <c r="Y822" s="23"/>
      <c r="Z822" s="43"/>
      <c r="AA822" s="23"/>
      <c r="AB822" s="23"/>
      <c r="AC822" s="23"/>
      <c r="AD822" s="23"/>
      <c r="AE822" s="23"/>
      <c r="AF822" s="23"/>
      <c r="AG822" s="23"/>
      <c r="AH822" s="23"/>
      <c r="AI822" s="49"/>
    </row>
    <row r="823" spans="1:35">
      <c r="A823" s="23"/>
      <c r="B823" s="42"/>
      <c r="C823" s="49"/>
      <c r="E823" s="49"/>
      <c r="G823" s="43"/>
      <c r="H823" s="44"/>
      <c r="L823" s="42"/>
      <c r="M823" s="42"/>
      <c r="N823" s="25"/>
      <c r="O823" s="54"/>
      <c r="P823"/>
      <c r="Q823" s="25"/>
      <c r="R823" s="54"/>
      <c r="W823" s="23"/>
      <c r="X823" s="23"/>
      <c r="Y823" s="23"/>
      <c r="Z823" s="43"/>
      <c r="AA823" s="23"/>
      <c r="AB823" s="23"/>
      <c r="AC823" s="23"/>
      <c r="AD823" s="23"/>
      <c r="AE823" s="23"/>
      <c r="AF823" s="23"/>
      <c r="AG823" s="23"/>
      <c r="AH823" s="23"/>
      <c r="AI823" s="49"/>
    </row>
    <row r="824" spans="1:35">
      <c r="B824" s="42"/>
      <c r="G824" s="43"/>
      <c r="H824" s="44"/>
      <c r="L824" s="42"/>
      <c r="M824" s="42"/>
      <c r="N824" s="25"/>
      <c r="O824" s="54"/>
      <c r="P824"/>
      <c r="Q824" s="25"/>
      <c r="R824" s="54"/>
      <c r="W824" s="23"/>
      <c r="X824" s="23"/>
      <c r="Y824" s="23"/>
      <c r="Z824" s="43"/>
      <c r="AA824" s="23"/>
      <c r="AB824" s="23"/>
      <c r="AC824" s="23"/>
      <c r="AD824" s="23"/>
      <c r="AE824" s="23"/>
      <c r="AF824" s="23"/>
      <c r="AG824" s="23"/>
      <c r="AH824" s="23"/>
    </row>
    <row r="825" spans="1:35">
      <c r="A825" s="23"/>
      <c r="B825" s="42"/>
      <c r="G825" s="43"/>
      <c r="H825" s="44"/>
      <c r="L825" s="42"/>
      <c r="M825" s="42"/>
      <c r="N825" s="25"/>
      <c r="O825" s="54"/>
      <c r="P825"/>
      <c r="Q825" s="25"/>
      <c r="R825" s="54"/>
      <c r="W825" s="23"/>
      <c r="X825" s="23"/>
      <c r="Y825" s="23"/>
      <c r="Z825" s="43"/>
      <c r="AA825" s="23"/>
      <c r="AB825" s="23"/>
      <c r="AC825" s="23"/>
      <c r="AD825" s="23"/>
      <c r="AE825" s="23"/>
      <c r="AF825" s="23"/>
      <c r="AG825" s="23"/>
      <c r="AH825" s="23"/>
      <c r="AI825" s="23"/>
    </row>
    <row r="826" spans="1:35">
      <c r="B826" s="42"/>
      <c r="G826" s="43"/>
      <c r="H826" s="44"/>
      <c r="L826" s="42"/>
      <c r="M826" s="42"/>
      <c r="N826" s="25"/>
      <c r="O826" s="54"/>
      <c r="P826"/>
      <c r="Q826" s="25"/>
      <c r="R826" s="54"/>
      <c r="W826" s="23"/>
      <c r="X826" s="23"/>
      <c r="Y826" s="23"/>
      <c r="Z826" s="43"/>
      <c r="AA826" s="23"/>
      <c r="AB826" s="23"/>
      <c r="AC826" s="23"/>
      <c r="AD826" s="23"/>
      <c r="AE826" s="23"/>
      <c r="AF826" s="23"/>
      <c r="AG826" s="23"/>
      <c r="AH826" s="23"/>
      <c r="AI826" s="48"/>
    </row>
    <row r="827" spans="1:35">
      <c r="A827" s="23"/>
      <c r="B827" s="42"/>
      <c r="G827" s="43"/>
      <c r="H827" s="44"/>
      <c r="L827" s="42"/>
      <c r="M827" s="42"/>
      <c r="N827" s="25"/>
      <c r="O827" s="54"/>
      <c r="P827"/>
      <c r="Q827" s="25"/>
      <c r="R827" s="54"/>
      <c r="W827" s="23"/>
      <c r="X827" s="23"/>
      <c r="Y827" s="23"/>
      <c r="Z827" s="43"/>
      <c r="AA827" s="23"/>
      <c r="AB827" s="23"/>
      <c r="AC827" s="23"/>
      <c r="AD827" s="23"/>
      <c r="AE827" s="23"/>
      <c r="AF827" s="23"/>
      <c r="AG827" s="23"/>
      <c r="AH827" s="23"/>
    </row>
    <row r="828" spans="1:35">
      <c r="A828" s="23"/>
      <c r="B828" s="42"/>
      <c r="G828" s="43"/>
      <c r="H828" s="44"/>
      <c r="L828" s="42"/>
      <c r="M828" s="42"/>
      <c r="N828" s="25"/>
      <c r="O828" s="54"/>
      <c r="P828"/>
      <c r="Q828" s="25"/>
      <c r="R828" s="54"/>
      <c r="W828" s="23"/>
      <c r="X828" s="23"/>
      <c r="Y828" s="23"/>
      <c r="Z828" s="43"/>
      <c r="AA828" s="23"/>
      <c r="AB828" s="23"/>
      <c r="AC828" s="23"/>
      <c r="AD828" s="23"/>
      <c r="AE828" s="23"/>
      <c r="AF828" s="23"/>
      <c r="AG828" s="23"/>
      <c r="AH828" s="23"/>
    </row>
    <row r="829" spans="1:35">
      <c r="A829" s="23"/>
      <c r="B829" s="42"/>
      <c r="G829" s="43"/>
      <c r="H829" s="44"/>
      <c r="L829" s="42"/>
      <c r="M829" s="42"/>
      <c r="N829" s="25"/>
      <c r="O829" s="54"/>
      <c r="P829"/>
      <c r="Q829" s="25"/>
      <c r="R829" s="54"/>
      <c r="W829" s="23"/>
      <c r="X829" s="23"/>
      <c r="Y829" s="23"/>
      <c r="Z829" s="43"/>
      <c r="AA829" s="23"/>
      <c r="AB829" s="23"/>
      <c r="AC829" s="23"/>
      <c r="AD829" s="23"/>
      <c r="AE829" s="23"/>
      <c r="AF829" s="23"/>
      <c r="AG829" s="23"/>
      <c r="AH829" s="23"/>
    </row>
    <row r="830" spans="1:35">
      <c r="A830" s="23"/>
      <c r="B830" s="42"/>
      <c r="G830" s="43"/>
      <c r="H830" s="44"/>
      <c r="L830" s="42"/>
      <c r="M830" s="42"/>
      <c r="N830" s="25"/>
      <c r="O830" s="54"/>
      <c r="P830"/>
      <c r="Q830" s="25"/>
      <c r="R830" s="54"/>
      <c r="W830" s="23"/>
      <c r="X830" s="23"/>
      <c r="Y830" s="23"/>
      <c r="Z830" s="43"/>
      <c r="AA830" s="23"/>
      <c r="AB830" s="23"/>
      <c r="AC830" s="23"/>
      <c r="AD830" s="23"/>
      <c r="AE830" s="23"/>
      <c r="AF830" s="23"/>
      <c r="AG830" s="23"/>
      <c r="AH830" s="23"/>
    </row>
    <row r="831" spans="1:35">
      <c r="A831" s="23"/>
      <c r="B831" s="42"/>
      <c r="G831" s="43"/>
      <c r="H831" s="44"/>
      <c r="L831" s="42"/>
      <c r="M831" s="42"/>
      <c r="N831" s="25"/>
      <c r="O831" s="54"/>
      <c r="P831"/>
      <c r="Q831" s="25"/>
      <c r="R831" s="54"/>
      <c r="W831" s="23"/>
      <c r="X831" s="23"/>
      <c r="Y831" s="23"/>
      <c r="Z831" s="43"/>
      <c r="AA831" s="23"/>
      <c r="AB831" s="23"/>
      <c r="AC831" s="23"/>
      <c r="AD831" s="23"/>
      <c r="AE831" s="23"/>
      <c r="AF831" s="23"/>
      <c r="AG831" s="23"/>
      <c r="AH831" s="23"/>
    </row>
    <row r="832" spans="1:35">
      <c r="A832" s="23"/>
      <c r="B832" s="42"/>
      <c r="G832" s="43"/>
      <c r="H832" s="44"/>
      <c r="L832" s="42"/>
      <c r="M832" s="42"/>
      <c r="N832" s="25"/>
      <c r="O832" s="54"/>
      <c r="P832"/>
      <c r="Q832" s="25"/>
      <c r="R832" s="54"/>
      <c r="W832" s="23"/>
      <c r="X832" s="23"/>
      <c r="Y832" s="23"/>
      <c r="Z832" s="43"/>
      <c r="AA832" s="23"/>
      <c r="AB832" s="23"/>
      <c r="AC832" s="23"/>
      <c r="AD832" s="23"/>
      <c r="AE832" s="23"/>
      <c r="AF832" s="23"/>
      <c r="AG832" s="23"/>
      <c r="AH832" s="23"/>
    </row>
    <row r="833" spans="1:35">
      <c r="A833" s="23"/>
      <c r="B833" s="42"/>
      <c r="G833" s="43"/>
      <c r="H833" s="44"/>
      <c r="L833" s="42"/>
      <c r="M833" s="42"/>
      <c r="N833" s="25"/>
      <c r="O833" s="54"/>
      <c r="P833"/>
      <c r="Q833" s="25"/>
      <c r="R833" s="54"/>
      <c r="W833" s="23"/>
      <c r="X833" s="23"/>
      <c r="Y833" s="23"/>
      <c r="Z833" s="43"/>
      <c r="AA833" s="23"/>
      <c r="AB833" s="23"/>
      <c r="AC833" s="23"/>
      <c r="AD833" s="23"/>
      <c r="AE833" s="23"/>
      <c r="AF833" s="23"/>
      <c r="AG833" s="23"/>
      <c r="AH833" s="23"/>
    </row>
    <row r="834" spans="1:35">
      <c r="A834" s="23"/>
      <c r="B834" s="42"/>
      <c r="G834" s="43"/>
      <c r="H834" s="44"/>
      <c r="L834" s="42"/>
      <c r="M834" s="42"/>
      <c r="N834" s="25"/>
      <c r="O834" s="54"/>
      <c r="P834"/>
      <c r="Q834" s="25"/>
      <c r="R834" s="54"/>
      <c r="W834" s="23"/>
      <c r="X834" s="23"/>
      <c r="Y834" s="23"/>
      <c r="Z834" s="43"/>
      <c r="AA834" s="23"/>
      <c r="AB834" s="23"/>
      <c r="AC834" s="23"/>
      <c r="AD834" s="23"/>
      <c r="AE834" s="23"/>
      <c r="AF834" s="23"/>
      <c r="AG834" s="23"/>
      <c r="AH834" s="23"/>
    </row>
    <row r="835" spans="1:35">
      <c r="A835" s="23"/>
      <c r="B835" s="42"/>
      <c r="G835" s="43"/>
      <c r="H835" s="44"/>
      <c r="L835" s="42"/>
      <c r="M835" s="42"/>
      <c r="N835" s="25"/>
      <c r="O835" s="54"/>
      <c r="P835"/>
      <c r="Q835" s="25"/>
      <c r="R835" s="54"/>
      <c r="W835" s="23"/>
      <c r="X835" s="23"/>
      <c r="Y835" s="23"/>
      <c r="Z835" s="43"/>
      <c r="AA835" s="23"/>
      <c r="AB835" s="23"/>
      <c r="AC835" s="23"/>
      <c r="AD835" s="23"/>
      <c r="AE835" s="23"/>
      <c r="AF835" s="23"/>
      <c r="AG835" s="23"/>
      <c r="AH835" s="23"/>
    </row>
    <row r="836" spans="1:35">
      <c r="B836" s="42"/>
      <c r="C836" s="49"/>
      <c r="E836" s="49"/>
      <c r="G836" s="43"/>
      <c r="H836" s="44"/>
      <c r="L836" s="42"/>
      <c r="M836" s="42"/>
      <c r="N836" s="25"/>
      <c r="O836" s="54"/>
      <c r="P836"/>
      <c r="Q836" s="25"/>
      <c r="R836" s="54"/>
      <c r="W836" s="23"/>
      <c r="X836" s="23"/>
      <c r="Y836" s="23"/>
      <c r="Z836" s="43"/>
      <c r="AA836" s="23"/>
      <c r="AB836" s="23"/>
      <c r="AC836" s="23"/>
      <c r="AD836" s="23"/>
      <c r="AE836" s="23"/>
      <c r="AF836" s="23"/>
      <c r="AG836" s="23"/>
      <c r="AH836" s="23"/>
      <c r="AI836" s="23"/>
    </row>
    <row r="837" spans="1:35">
      <c r="A837" s="23"/>
      <c r="B837" s="42"/>
      <c r="G837" s="43"/>
      <c r="H837" s="44"/>
      <c r="L837" s="42"/>
      <c r="M837" s="42"/>
      <c r="N837" s="25"/>
      <c r="O837" s="54"/>
      <c r="P837"/>
      <c r="Q837" s="25"/>
      <c r="R837" s="54"/>
      <c r="W837" s="23"/>
      <c r="X837" s="23"/>
      <c r="Y837" s="23"/>
      <c r="Z837" s="43"/>
      <c r="AA837" s="23"/>
      <c r="AB837" s="23"/>
      <c r="AC837" s="23"/>
      <c r="AD837" s="23"/>
      <c r="AE837" s="23"/>
      <c r="AF837" s="23"/>
      <c r="AG837" s="23"/>
      <c r="AH837" s="23"/>
    </row>
    <row r="838" spans="1:35">
      <c r="A838" s="23"/>
      <c r="B838" s="42"/>
      <c r="G838" s="43"/>
      <c r="H838" s="44"/>
      <c r="L838" s="42"/>
      <c r="M838" s="42"/>
      <c r="N838" s="25"/>
      <c r="O838" s="54"/>
      <c r="P838"/>
      <c r="Q838" s="25"/>
      <c r="R838" s="54"/>
      <c r="W838" s="23"/>
      <c r="X838" s="23"/>
      <c r="Y838" s="23"/>
      <c r="Z838" s="43"/>
      <c r="AA838" s="23"/>
      <c r="AB838" s="23"/>
      <c r="AC838" s="23"/>
      <c r="AD838" s="23"/>
      <c r="AE838" s="23"/>
      <c r="AF838" s="23"/>
      <c r="AG838" s="23"/>
      <c r="AH838" s="23"/>
    </row>
    <row r="839" spans="1:35">
      <c r="A839" s="23"/>
      <c r="B839" s="42"/>
      <c r="G839" s="43"/>
      <c r="H839" s="44"/>
      <c r="L839" s="42"/>
      <c r="M839" s="42"/>
      <c r="N839" s="25"/>
      <c r="O839" s="54"/>
      <c r="P839"/>
      <c r="Q839" s="25"/>
      <c r="R839" s="54"/>
      <c r="W839" s="23"/>
      <c r="X839" s="23"/>
      <c r="Y839" s="23"/>
      <c r="Z839" s="43"/>
      <c r="AA839" s="23"/>
      <c r="AB839" s="23"/>
      <c r="AC839" s="23"/>
      <c r="AD839" s="23"/>
      <c r="AE839" s="23"/>
      <c r="AF839" s="23"/>
      <c r="AG839" s="23"/>
      <c r="AH839" s="23"/>
      <c r="AI839" s="23"/>
    </row>
    <row r="840" spans="1:35">
      <c r="A840" s="23"/>
      <c r="B840" s="42"/>
      <c r="C840" s="49"/>
      <c r="E840" s="49"/>
      <c r="G840" s="43"/>
      <c r="H840" s="44"/>
      <c r="L840" s="42"/>
      <c r="M840" s="42"/>
      <c r="N840" s="25"/>
      <c r="O840" s="54"/>
      <c r="P840"/>
      <c r="Q840" s="25"/>
      <c r="R840" s="54"/>
      <c r="W840" s="23"/>
      <c r="X840" s="23"/>
      <c r="Y840" s="23"/>
      <c r="Z840" s="43"/>
      <c r="AA840" s="23"/>
      <c r="AB840" s="23"/>
      <c r="AC840" s="23"/>
      <c r="AD840" s="23"/>
      <c r="AE840" s="23"/>
      <c r="AF840" s="23"/>
      <c r="AG840" s="23"/>
      <c r="AH840" s="23"/>
      <c r="AI840" s="49"/>
    </row>
    <row r="841" spans="1:35">
      <c r="B841" s="42"/>
      <c r="C841" s="49"/>
      <c r="E841" s="49"/>
      <c r="G841" s="43"/>
      <c r="H841" s="44"/>
      <c r="L841" s="42"/>
      <c r="M841" s="42"/>
      <c r="N841" s="25"/>
      <c r="O841" s="54"/>
      <c r="P841"/>
      <c r="Q841" s="25"/>
      <c r="R841" s="54"/>
      <c r="W841" s="23"/>
      <c r="X841" s="23"/>
      <c r="Y841" s="23"/>
      <c r="Z841" s="43"/>
      <c r="AA841" s="23"/>
      <c r="AB841" s="23"/>
      <c r="AC841" s="23"/>
      <c r="AD841" s="23"/>
      <c r="AE841" s="23"/>
      <c r="AF841" s="23"/>
      <c r="AG841" s="23"/>
      <c r="AH841" s="23"/>
      <c r="AI841" s="23"/>
    </row>
    <row r="842" spans="1:35">
      <c r="B842" s="42"/>
      <c r="C842" s="49"/>
      <c r="E842" s="49"/>
      <c r="G842" s="43"/>
      <c r="H842" s="44"/>
      <c r="L842" s="42"/>
      <c r="M842" s="42"/>
      <c r="N842" s="25"/>
      <c r="O842" s="54"/>
      <c r="P842"/>
      <c r="Q842" s="25"/>
      <c r="R842" s="54"/>
      <c r="W842" s="23"/>
      <c r="X842" s="23"/>
      <c r="Y842" s="23"/>
      <c r="Z842" s="43"/>
      <c r="AA842" s="23"/>
      <c r="AB842" s="23"/>
      <c r="AC842" s="23"/>
      <c r="AD842" s="23"/>
      <c r="AE842" s="23"/>
      <c r="AF842" s="23"/>
      <c r="AG842" s="23"/>
      <c r="AH842" s="23"/>
      <c r="AI842" s="23"/>
    </row>
    <row r="843" spans="1:35">
      <c r="A843" s="23"/>
      <c r="B843" s="42"/>
      <c r="G843" s="43"/>
      <c r="H843" s="44"/>
      <c r="L843" s="42"/>
      <c r="M843" s="42"/>
      <c r="N843" s="25"/>
      <c r="O843" s="54"/>
      <c r="P843"/>
      <c r="Q843" s="25"/>
      <c r="R843" s="54"/>
      <c r="W843" s="23"/>
      <c r="X843" s="23"/>
      <c r="Y843" s="23"/>
      <c r="Z843" s="43"/>
      <c r="AA843" s="23"/>
      <c r="AB843" s="23"/>
      <c r="AC843" s="23"/>
      <c r="AD843" s="23"/>
      <c r="AE843" s="23"/>
      <c r="AF843" s="23"/>
      <c r="AG843" s="23"/>
      <c r="AH843" s="23"/>
      <c r="AI843" s="23"/>
    </row>
    <row r="844" spans="1:35">
      <c r="A844" s="23"/>
      <c r="B844" s="42"/>
      <c r="C844" s="49"/>
      <c r="E844" s="49"/>
      <c r="G844" s="43"/>
      <c r="H844" s="44"/>
      <c r="L844" s="42"/>
      <c r="M844" s="42"/>
      <c r="N844" s="25"/>
      <c r="O844" s="54"/>
      <c r="P844"/>
      <c r="Q844" s="25"/>
      <c r="R844" s="54"/>
      <c r="W844" s="23"/>
      <c r="X844" s="23"/>
      <c r="Y844" s="23"/>
      <c r="Z844" s="43"/>
      <c r="AA844" s="23"/>
      <c r="AB844" s="23"/>
      <c r="AC844" s="23"/>
      <c r="AD844" s="23"/>
      <c r="AE844" s="23"/>
      <c r="AF844" s="23"/>
      <c r="AG844" s="23"/>
      <c r="AH844" s="23"/>
      <c r="AI844" s="49"/>
    </row>
    <row r="845" spans="1:35">
      <c r="A845" s="23"/>
      <c r="B845" s="42"/>
      <c r="C845" s="49"/>
      <c r="E845" s="49"/>
      <c r="G845" s="43"/>
      <c r="H845" s="44"/>
      <c r="L845" s="42"/>
      <c r="M845" s="42"/>
      <c r="N845" s="25"/>
      <c r="O845" s="54"/>
      <c r="P845"/>
      <c r="Q845" s="25"/>
      <c r="R845" s="54"/>
      <c r="W845" s="23"/>
      <c r="X845" s="23"/>
      <c r="Y845" s="23"/>
      <c r="Z845" s="43"/>
      <c r="AA845" s="23"/>
      <c r="AB845" s="23"/>
      <c r="AC845" s="23"/>
      <c r="AD845" s="23"/>
      <c r="AE845" s="23"/>
      <c r="AF845" s="23"/>
      <c r="AG845" s="23"/>
      <c r="AH845" s="23"/>
      <c r="AI845" s="49"/>
    </row>
    <row r="846" spans="1:35">
      <c r="A846" s="23"/>
      <c r="B846" s="42"/>
      <c r="C846" s="49"/>
      <c r="E846" s="49"/>
      <c r="G846" s="43"/>
      <c r="H846" s="44"/>
      <c r="L846" s="42"/>
      <c r="M846" s="42"/>
      <c r="N846" s="25"/>
      <c r="O846" s="54"/>
      <c r="P846"/>
      <c r="Q846" s="25"/>
      <c r="R846" s="54"/>
      <c r="W846" s="23"/>
      <c r="X846" s="23"/>
      <c r="Y846" s="23"/>
      <c r="Z846" s="43"/>
      <c r="AA846" s="23"/>
      <c r="AB846" s="23"/>
      <c r="AC846" s="23"/>
      <c r="AD846" s="23"/>
      <c r="AE846" s="23"/>
      <c r="AF846" s="23"/>
      <c r="AG846" s="23"/>
      <c r="AH846" s="23"/>
      <c r="AI846" s="49"/>
    </row>
    <row r="847" spans="1:35">
      <c r="B847" s="42"/>
      <c r="G847" s="43"/>
      <c r="H847" s="44"/>
      <c r="L847" s="42"/>
      <c r="M847" s="42"/>
      <c r="N847" s="25"/>
      <c r="O847" s="54"/>
      <c r="P847"/>
      <c r="Q847" s="25"/>
      <c r="R847" s="54"/>
      <c r="W847" s="23"/>
      <c r="X847" s="23"/>
      <c r="Y847" s="23"/>
      <c r="Z847" s="43"/>
      <c r="AA847" s="23"/>
      <c r="AB847" s="23"/>
      <c r="AC847" s="23"/>
      <c r="AD847" s="23"/>
      <c r="AE847" s="23"/>
      <c r="AF847" s="23"/>
      <c r="AG847" s="23"/>
      <c r="AH847" s="23"/>
      <c r="AI847" s="48"/>
    </row>
    <row r="848" spans="1:35">
      <c r="A848" s="23"/>
      <c r="B848" s="42"/>
      <c r="G848" s="43"/>
      <c r="H848" s="44"/>
      <c r="L848" s="42"/>
      <c r="M848" s="42"/>
      <c r="N848" s="25"/>
      <c r="O848" s="54"/>
      <c r="P848"/>
      <c r="Q848" s="25"/>
      <c r="R848" s="54"/>
      <c r="W848" s="23"/>
      <c r="X848" s="23"/>
      <c r="Y848" s="23"/>
      <c r="Z848" s="43"/>
      <c r="AA848" s="23"/>
      <c r="AB848" s="23"/>
      <c r="AC848" s="23"/>
      <c r="AD848" s="23"/>
      <c r="AE848" s="23"/>
      <c r="AF848" s="23"/>
      <c r="AG848" s="23"/>
      <c r="AH848" s="23"/>
      <c r="AI848" s="23"/>
    </row>
    <row r="849" spans="1:35">
      <c r="B849" s="42"/>
      <c r="C849" s="49"/>
      <c r="E849" s="49"/>
      <c r="G849" s="43"/>
      <c r="H849" s="44"/>
      <c r="L849" s="42"/>
      <c r="M849" s="42"/>
      <c r="N849" s="25"/>
      <c r="O849" s="54"/>
      <c r="P849"/>
      <c r="Q849" s="25"/>
      <c r="R849" s="54"/>
      <c r="W849" s="23"/>
      <c r="X849" s="23"/>
      <c r="Y849" s="23"/>
      <c r="Z849" s="43"/>
      <c r="AA849" s="23"/>
      <c r="AB849" s="23"/>
      <c r="AC849" s="23"/>
      <c r="AD849" s="23"/>
      <c r="AE849" s="23"/>
      <c r="AF849" s="23"/>
      <c r="AG849" s="23"/>
      <c r="AH849" s="23"/>
      <c r="AI849" s="23"/>
    </row>
    <row r="850" spans="1:35">
      <c r="B850" s="42"/>
      <c r="G850" s="43"/>
      <c r="H850" s="44"/>
      <c r="L850" s="42"/>
      <c r="M850" s="42"/>
      <c r="N850" s="25"/>
      <c r="O850" s="54"/>
      <c r="P850"/>
      <c r="Q850" s="25"/>
      <c r="R850" s="54"/>
      <c r="W850" s="23"/>
      <c r="X850" s="23"/>
      <c r="Y850" s="23"/>
      <c r="Z850" s="43"/>
      <c r="AA850" s="23"/>
      <c r="AB850" s="23"/>
      <c r="AC850" s="23"/>
      <c r="AD850" s="23"/>
      <c r="AE850" s="23"/>
      <c r="AF850" s="23"/>
      <c r="AG850" s="23"/>
      <c r="AH850" s="23"/>
    </row>
    <row r="851" spans="1:35">
      <c r="B851" s="42"/>
      <c r="G851" s="43"/>
      <c r="H851" s="44"/>
      <c r="L851" s="42"/>
      <c r="M851" s="42"/>
      <c r="N851" s="25"/>
      <c r="O851" s="54"/>
      <c r="P851"/>
      <c r="Q851" s="25"/>
      <c r="R851" s="54"/>
      <c r="W851" s="23"/>
      <c r="X851" s="23"/>
      <c r="Y851" s="23"/>
      <c r="Z851" s="43"/>
      <c r="AA851" s="23"/>
      <c r="AB851" s="23"/>
      <c r="AC851" s="23"/>
      <c r="AD851" s="23"/>
      <c r="AE851" s="23"/>
      <c r="AF851" s="23"/>
      <c r="AG851" s="23"/>
      <c r="AH851" s="23"/>
      <c r="AI851" s="48"/>
    </row>
    <row r="852" spans="1:35">
      <c r="A852" s="23"/>
      <c r="B852" s="42"/>
      <c r="G852" s="43"/>
      <c r="H852" s="44"/>
      <c r="L852" s="42"/>
      <c r="M852" s="42"/>
      <c r="N852" s="25"/>
      <c r="O852" s="54"/>
      <c r="P852"/>
      <c r="Q852" s="25"/>
      <c r="R852" s="54"/>
      <c r="W852" s="23"/>
      <c r="X852" s="23"/>
      <c r="Y852" s="23"/>
      <c r="Z852" s="43"/>
      <c r="AA852" s="23"/>
      <c r="AB852" s="23"/>
      <c r="AC852" s="23"/>
      <c r="AD852" s="23"/>
      <c r="AE852" s="23"/>
      <c r="AF852" s="23"/>
      <c r="AG852" s="23"/>
      <c r="AH852" s="23"/>
    </row>
    <row r="853" spans="1:35">
      <c r="A853" s="23"/>
      <c r="B853" s="42"/>
      <c r="G853" s="43"/>
      <c r="H853" s="44"/>
      <c r="L853" s="42"/>
      <c r="M853" s="42"/>
      <c r="N853" s="25"/>
      <c r="O853" s="54"/>
      <c r="P853"/>
      <c r="Q853" s="25"/>
      <c r="R853" s="54"/>
      <c r="W853" s="23"/>
      <c r="X853" s="23"/>
      <c r="Y853" s="23"/>
      <c r="Z853" s="43"/>
      <c r="AA853" s="23"/>
      <c r="AB853" s="23"/>
      <c r="AC853" s="23"/>
      <c r="AD853" s="23"/>
      <c r="AE853" s="23"/>
      <c r="AF853" s="23"/>
      <c r="AG853" s="23"/>
      <c r="AH853" s="23"/>
    </row>
    <row r="854" spans="1:35">
      <c r="A854" s="23"/>
      <c r="B854" s="42"/>
      <c r="G854" s="43"/>
      <c r="H854" s="44"/>
      <c r="L854" s="42"/>
      <c r="M854" s="42"/>
      <c r="N854" s="25"/>
      <c r="O854" s="54"/>
      <c r="P854"/>
      <c r="Q854" s="25"/>
      <c r="R854" s="54"/>
      <c r="W854" s="23"/>
      <c r="X854" s="23"/>
      <c r="Y854" s="23"/>
      <c r="Z854" s="43"/>
      <c r="AA854" s="23"/>
      <c r="AB854" s="23"/>
      <c r="AC854" s="23"/>
      <c r="AD854" s="23"/>
      <c r="AE854" s="23"/>
      <c r="AF854" s="23"/>
      <c r="AG854" s="23"/>
      <c r="AH854" s="23"/>
    </row>
    <row r="855" spans="1:35">
      <c r="A855" s="23"/>
      <c r="B855" s="42"/>
      <c r="G855" s="43"/>
      <c r="H855" s="44"/>
      <c r="L855" s="42"/>
      <c r="M855" s="42"/>
      <c r="N855" s="25"/>
      <c r="O855" s="54"/>
      <c r="P855"/>
      <c r="Q855" s="25"/>
      <c r="R855" s="54"/>
      <c r="W855" s="23"/>
      <c r="X855" s="23"/>
      <c r="Y855" s="23"/>
      <c r="Z855" s="43"/>
      <c r="AA855" s="23"/>
      <c r="AB855" s="23"/>
      <c r="AC855" s="23"/>
      <c r="AD855" s="23"/>
      <c r="AE855" s="23"/>
      <c r="AF855" s="23"/>
      <c r="AG855" s="23"/>
      <c r="AH855" s="23"/>
    </row>
    <row r="856" spans="1:35">
      <c r="A856" s="23"/>
      <c r="B856" s="42"/>
      <c r="G856" s="43"/>
      <c r="H856" s="44"/>
      <c r="L856" s="42"/>
      <c r="M856" s="42"/>
      <c r="N856" s="25"/>
      <c r="O856" s="54"/>
      <c r="P856"/>
      <c r="Q856" s="25"/>
      <c r="R856" s="54"/>
      <c r="W856" s="23"/>
      <c r="X856" s="23"/>
      <c r="Y856" s="23"/>
      <c r="Z856" s="43"/>
      <c r="AA856" s="23"/>
      <c r="AB856" s="23"/>
      <c r="AC856" s="23"/>
      <c r="AD856" s="23"/>
      <c r="AE856" s="23"/>
      <c r="AF856" s="23"/>
      <c r="AG856" s="23"/>
      <c r="AH856" s="23"/>
    </row>
    <row r="857" spans="1:35">
      <c r="A857" s="23"/>
      <c r="B857" s="42"/>
      <c r="G857" s="43"/>
      <c r="H857" s="44"/>
      <c r="L857" s="42"/>
      <c r="M857" s="42"/>
      <c r="N857" s="25"/>
      <c r="O857" s="54"/>
      <c r="P857"/>
      <c r="Q857" s="25"/>
      <c r="R857" s="54"/>
      <c r="W857" s="23"/>
      <c r="X857" s="23"/>
      <c r="Y857" s="23"/>
      <c r="Z857" s="43"/>
      <c r="AA857" s="23"/>
      <c r="AB857" s="23"/>
      <c r="AC857" s="23"/>
      <c r="AD857" s="23"/>
      <c r="AE857" s="23"/>
      <c r="AF857" s="23"/>
      <c r="AG857" s="23"/>
      <c r="AH857" s="23"/>
    </row>
    <row r="858" spans="1:35">
      <c r="A858" s="23"/>
      <c r="B858" s="42"/>
      <c r="G858" s="43"/>
      <c r="H858" s="44"/>
      <c r="L858" s="42"/>
      <c r="M858" s="42"/>
      <c r="N858" s="25"/>
      <c r="O858" s="54"/>
      <c r="P858"/>
      <c r="Q858" s="25"/>
      <c r="R858" s="54"/>
      <c r="W858" s="23"/>
      <c r="X858" s="23"/>
      <c r="Y858" s="23"/>
      <c r="Z858" s="43"/>
      <c r="AA858" s="23"/>
      <c r="AB858" s="23"/>
      <c r="AC858" s="23"/>
      <c r="AD858" s="23"/>
      <c r="AE858" s="23"/>
      <c r="AF858" s="23"/>
      <c r="AG858" s="23"/>
      <c r="AH858" s="23"/>
    </row>
    <row r="859" spans="1:35">
      <c r="A859" s="23"/>
      <c r="B859" s="42"/>
      <c r="G859" s="43"/>
      <c r="H859" s="44"/>
      <c r="L859" s="42"/>
      <c r="M859" s="42"/>
      <c r="N859" s="25"/>
      <c r="O859" s="54"/>
      <c r="P859"/>
      <c r="Q859" s="25"/>
      <c r="R859" s="54"/>
      <c r="W859" s="23"/>
      <c r="X859" s="23"/>
      <c r="Y859" s="23"/>
      <c r="Z859" s="43"/>
      <c r="AA859" s="23"/>
      <c r="AB859" s="23"/>
      <c r="AC859" s="23"/>
      <c r="AD859" s="23"/>
      <c r="AE859" s="23"/>
      <c r="AF859" s="23"/>
      <c r="AG859" s="23"/>
      <c r="AH859" s="23"/>
    </row>
    <row r="860" spans="1:35">
      <c r="A860" s="23"/>
      <c r="B860" s="42"/>
      <c r="G860" s="43"/>
      <c r="H860" s="44"/>
      <c r="L860" s="42"/>
      <c r="M860" s="42"/>
      <c r="N860" s="25"/>
      <c r="O860" s="54"/>
      <c r="P860"/>
      <c r="Q860" s="25"/>
      <c r="R860" s="54"/>
      <c r="W860" s="23"/>
      <c r="X860" s="23"/>
      <c r="Y860" s="23"/>
      <c r="Z860" s="43"/>
      <c r="AA860" s="23"/>
      <c r="AB860" s="23"/>
      <c r="AC860" s="23"/>
      <c r="AD860" s="23"/>
      <c r="AE860" s="23"/>
      <c r="AF860" s="23"/>
      <c r="AG860" s="23"/>
      <c r="AH860" s="23"/>
    </row>
    <row r="861" spans="1:35">
      <c r="B861" s="42"/>
      <c r="G861" s="43"/>
      <c r="H861" s="44"/>
      <c r="L861" s="42"/>
      <c r="M861" s="42"/>
      <c r="N861" s="25"/>
      <c r="O861" s="54"/>
      <c r="P861"/>
      <c r="Q861" s="25"/>
      <c r="R861" s="54"/>
      <c r="W861" s="23"/>
      <c r="X861" s="23"/>
      <c r="Y861" s="23"/>
      <c r="Z861" s="43"/>
      <c r="AA861" s="23"/>
      <c r="AB861" s="23"/>
      <c r="AC861" s="23"/>
      <c r="AD861" s="23"/>
      <c r="AE861" s="23"/>
      <c r="AF861" s="23"/>
      <c r="AG861" s="23"/>
      <c r="AH861" s="23"/>
      <c r="AI861" s="48"/>
    </row>
    <row r="862" spans="1:35">
      <c r="A862" s="49"/>
      <c r="B862" s="42"/>
      <c r="C862" s="49"/>
      <c r="E862" s="49"/>
      <c r="G862" s="43"/>
      <c r="H862" s="44"/>
      <c r="L862" s="42"/>
      <c r="M862" s="42"/>
      <c r="N862" s="25"/>
      <c r="O862" s="54"/>
      <c r="P862"/>
      <c r="Q862" s="25"/>
      <c r="R862" s="54"/>
      <c r="W862" s="23"/>
      <c r="X862" s="23"/>
      <c r="Y862" s="23"/>
      <c r="Z862" s="43"/>
      <c r="AA862" s="23"/>
      <c r="AB862" s="23"/>
      <c r="AC862" s="23"/>
      <c r="AD862" s="23"/>
      <c r="AE862" s="23"/>
      <c r="AF862" s="23"/>
      <c r="AG862" s="23"/>
      <c r="AH862" s="23"/>
      <c r="AI862" s="49"/>
    </row>
    <row r="863" spans="1:35">
      <c r="A863" s="23"/>
      <c r="B863" s="42"/>
      <c r="C863" s="49"/>
      <c r="E863" s="49"/>
      <c r="G863" s="43"/>
      <c r="H863" s="44"/>
      <c r="L863" s="42"/>
      <c r="M863" s="42"/>
      <c r="N863" s="25"/>
      <c r="O863" s="54"/>
      <c r="P863"/>
      <c r="Q863" s="25"/>
      <c r="R863" s="54"/>
      <c r="W863" s="23"/>
      <c r="X863" s="23"/>
      <c r="Y863" s="23"/>
      <c r="Z863" s="43"/>
      <c r="AA863" s="23"/>
      <c r="AB863" s="23"/>
      <c r="AC863" s="23"/>
      <c r="AD863" s="23"/>
      <c r="AE863" s="23"/>
      <c r="AF863" s="23"/>
      <c r="AG863" s="23"/>
      <c r="AH863" s="23"/>
      <c r="AI863" s="49"/>
    </row>
    <row r="864" spans="1:35">
      <c r="B864" s="42"/>
      <c r="C864" s="49"/>
      <c r="E864" s="49"/>
      <c r="G864" s="43"/>
      <c r="H864" s="44"/>
      <c r="L864" s="42"/>
      <c r="M864" s="42"/>
      <c r="N864" s="25"/>
      <c r="O864" s="54"/>
      <c r="P864"/>
      <c r="Q864" s="25"/>
      <c r="R864" s="54"/>
      <c r="W864" s="23"/>
      <c r="X864" s="23"/>
      <c r="Y864" s="23"/>
      <c r="Z864" s="43"/>
      <c r="AA864" s="23"/>
      <c r="AB864" s="23"/>
      <c r="AC864" s="23"/>
      <c r="AD864" s="23"/>
      <c r="AE864" s="23"/>
      <c r="AF864" s="23"/>
      <c r="AG864" s="23"/>
      <c r="AH864" s="23"/>
      <c r="AI864" s="23"/>
    </row>
    <row r="865" spans="1:35">
      <c r="A865" s="23"/>
      <c r="B865" s="42"/>
      <c r="G865" s="43"/>
      <c r="H865" s="44"/>
      <c r="L865" s="42"/>
      <c r="M865" s="42"/>
      <c r="N865" s="25"/>
      <c r="O865" s="54"/>
      <c r="P865"/>
      <c r="Q865" s="25"/>
      <c r="R865" s="54"/>
      <c r="W865" s="23"/>
      <c r="X865" s="23"/>
      <c r="Y865" s="23"/>
      <c r="Z865" s="43"/>
      <c r="AA865" s="23"/>
      <c r="AB865" s="23"/>
      <c r="AC865" s="23"/>
      <c r="AD865" s="23"/>
      <c r="AE865" s="23"/>
      <c r="AF865" s="23"/>
      <c r="AG865" s="23"/>
      <c r="AH865" s="23"/>
      <c r="AI865" s="23"/>
    </row>
    <row r="866" spans="1:35">
      <c r="A866" s="45"/>
      <c r="B866" s="42"/>
      <c r="C866" s="45"/>
      <c r="E866" s="45"/>
      <c r="G866" s="43"/>
      <c r="H866" s="44"/>
      <c r="L866" s="42"/>
      <c r="M866" s="42"/>
      <c r="N866" s="25"/>
      <c r="O866" s="54"/>
      <c r="P866"/>
      <c r="Q866" s="25"/>
      <c r="R866" s="54"/>
      <c r="W866" s="23"/>
      <c r="X866" s="23"/>
      <c r="Y866" s="23"/>
      <c r="Z866" s="43"/>
      <c r="AA866" s="23"/>
      <c r="AB866" s="23"/>
      <c r="AC866" s="23"/>
      <c r="AD866" s="23"/>
      <c r="AE866" s="23"/>
      <c r="AF866" s="23"/>
      <c r="AG866" s="23"/>
      <c r="AH866" s="23"/>
      <c r="AI866" s="48"/>
    </row>
    <row r="867" spans="1:35">
      <c r="A867" s="23"/>
      <c r="B867" s="42"/>
      <c r="G867" s="43"/>
      <c r="H867" s="44"/>
      <c r="L867" s="42"/>
      <c r="M867" s="42"/>
      <c r="N867" s="25"/>
      <c r="O867" s="54"/>
      <c r="P867"/>
      <c r="Q867" s="25"/>
      <c r="R867" s="54"/>
      <c r="W867" s="23"/>
      <c r="X867" s="23"/>
      <c r="Y867" s="23"/>
      <c r="Z867" s="43"/>
      <c r="AA867" s="23"/>
      <c r="AB867" s="23"/>
      <c r="AC867" s="23"/>
      <c r="AD867" s="23"/>
      <c r="AE867" s="23"/>
      <c r="AF867" s="23"/>
      <c r="AG867" s="23"/>
      <c r="AH867" s="23"/>
      <c r="AI867" s="23"/>
    </row>
    <row r="868" spans="1:35">
      <c r="A868" s="50"/>
      <c r="B868" s="42"/>
      <c r="G868" s="43"/>
      <c r="H868" s="44"/>
      <c r="L868" s="42"/>
      <c r="M868" s="42"/>
      <c r="N868" s="25"/>
      <c r="O868" s="54"/>
      <c r="P868"/>
      <c r="Q868" s="25"/>
      <c r="R868" s="54"/>
      <c r="W868" s="23"/>
      <c r="X868" s="23"/>
      <c r="Y868" s="23"/>
      <c r="Z868" s="43"/>
      <c r="AA868" s="23"/>
      <c r="AB868" s="23"/>
      <c r="AC868" s="23"/>
      <c r="AD868" s="23"/>
      <c r="AE868" s="23"/>
      <c r="AF868" s="23"/>
      <c r="AG868" s="23"/>
      <c r="AH868" s="23"/>
    </row>
    <row r="869" spans="1:35">
      <c r="B869" s="42"/>
      <c r="C869" s="49"/>
      <c r="E869" s="49"/>
      <c r="G869" s="43"/>
      <c r="H869" s="44"/>
      <c r="L869" s="42"/>
      <c r="M869" s="42"/>
      <c r="N869" s="25"/>
      <c r="O869" s="54"/>
      <c r="P869"/>
      <c r="Q869" s="25"/>
      <c r="R869" s="54"/>
      <c r="W869" s="23"/>
      <c r="X869" s="23"/>
      <c r="Y869" s="23"/>
      <c r="Z869" s="43"/>
      <c r="AA869" s="23"/>
      <c r="AB869" s="23"/>
      <c r="AC869" s="23"/>
      <c r="AD869" s="23"/>
      <c r="AE869" s="23"/>
      <c r="AF869" s="23"/>
      <c r="AG869" s="23"/>
      <c r="AH869" s="23"/>
      <c r="AI869" s="23"/>
    </row>
    <row r="870" spans="1:35">
      <c r="A870" s="23"/>
      <c r="B870" s="42"/>
      <c r="G870" s="43"/>
      <c r="H870" s="44"/>
      <c r="L870" s="42"/>
      <c r="M870" s="42"/>
      <c r="N870" s="25"/>
      <c r="O870" s="54"/>
      <c r="P870"/>
      <c r="Q870" s="25"/>
      <c r="R870" s="54"/>
      <c r="W870" s="23"/>
      <c r="X870" s="23"/>
      <c r="Y870" s="23"/>
      <c r="Z870" s="43"/>
      <c r="AA870" s="23"/>
      <c r="AB870" s="23"/>
      <c r="AC870" s="23"/>
      <c r="AD870" s="23"/>
      <c r="AE870" s="23"/>
      <c r="AF870" s="23"/>
      <c r="AG870" s="23"/>
      <c r="AH870" s="23"/>
    </row>
    <row r="871" spans="1:35">
      <c r="A871" s="49"/>
      <c r="B871" s="42"/>
      <c r="C871" s="49"/>
      <c r="E871" s="49"/>
      <c r="G871" s="43"/>
      <c r="H871" s="44"/>
      <c r="L871" s="42"/>
      <c r="M871" s="42"/>
      <c r="N871" s="25"/>
      <c r="O871" s="54"/>
      <c r="P871"/>
      <c r="Q871" s="25"/>
      <c r="R871" s="54"/>
      <c r="W871" s="23"/>
      <c r="X871" s="23"/>
      <c r="Y871" s="23"/>
      <c r="Z871" s="43"/>
      <c r="AA871" s="23"/>
      <c r="AB871" s="23"/>
      <c r="AC871" s="23"/>
      <c r="AD871" s="23"/>
      <c r="AE871" s="23"/>
      <c r="AF871" s="23"/>
      <c r="AG871" s="23"/>
      <c r="AH871" s="23"/>
      <c r="AI871" s="49"/>
    </row>
    <row r="872" spans="1:35">
      <c r="A872" s="23"/>
      <c r="B872" s="42"/>
      <c r="C872" s="49"/>
      <c r="E872" s="49"/>
      <c r="G872" s="43"/>
      <c r="H872" s="44"/>
      <c r="L872" s="42"/>
      <c r="M872" s="42"/>
      <c r="N872" s="25"/>
      <c r="O872" s="54"/>
      <c r="P872"/>
      <c r="Q872" s="25"/>
      <c r="R872" s="54"/>
      <c r="W872" s="23"/>
      <c r="X872" s="23"/>
      <c r="Y872" s="23"/>
      <c r="Z872" s="43"/>
      <c r="AA872" s="23"/>
      <c r="AB872" s="23"/>
      <c r="AC872" s="23"/>
      <c r="AD872" s="23"/>
      <c r="AE872" s="23"/>
      <c r="AF872" s="23"/>
      <c r="AG872" s="23"/>
      <c r="AH872" s="23"/>
      <c r="AI872" s="49"/>
    </row>
    <row r="873" spans="1:35">
      <c r="B873" s="42"/>
      <c r="G873" s="43"/>
      <c r="H873" s="44"/>
      <c r="L873" s="42"/>
      <c r="M873" s="42"/>
      <c r="N873" s="25"/>
      <c r="O873" s="54"/>
      <c r="P873"/>
      <c r="Q873" s="25"/>
      <c r="R873" s="54"/>
      <c r="W873" s="23"/>
      <c r="X873" s="23"/>
      <c r="Y873" s="23"/>
      <c r="Z873" s="43"/>
      <c r="AA873" s="23"/>
      <c r="AB873" s="23"/>
      <c r="AC873" s="23"/>
      <c r="AD873" s="23"/>
      <c r="AE873" s="23"/>
      <c r="AF873" s="23"/>
      <c r="AG873" s="23"/>
      <c r="AH873" s="23"/>
      <c r="AI873" s="48"/>
    </row>
    <row r="874" spans="1:35">
      <c r="A874" s="23"/>
      <c r="B874" s="42"/>
      <c r="C874" s="49"/>
      <c r="E874" s="49"/>
      <c r="G874" s="43"/>
      <c r="H874" s="44"/>
      <c r="L874" s="42"/>
      <c r="M874" s="42"/>
      <c r="N874" s="25"/>
      <c r="O874" s="54"/>
      <c r="P874"/>
      <c r="Q874" s="25"/>
      <c r="R874" s="54"/>
      <c r="W874" s="23"/>
      <c r="X874" s="23"/>
      <c r="Y874" s="23"/>
      <c r="Z874" s="43"/>
      <c r="AA874" s="23"/>
      <c r="AB874" s="23"/>
      <c r="AC874" s="23"/>
      <c r="AD874" s="23"/>
      <c r="AE874" s="23"/>
      <c r="AF874" s="23"/>
      <c r="AG874" s="23"/>
      <c r="AH874" s="23"/>
      <c r="AI874" s="49"/>
    </row>
    <row r="875" spans="1:35">
      <c r="A875" s="45"/>
      <c r="B875" s="42"/>
      <c r="C875" s="45"/>
      <c r="E875" s="45"/>
      <c r="G875" s="43"/>
      <c r="H875" s="44"/>
      <c r="L875" s="42"/>
      <c r="M875" s="42"/>
      <c r="N875" s="25"/>
      <c r="O875" s="54"/>
      <c r="P875"/>
      <c r="Q875" s="25"/>
      <c r="R875" s="54"/>
      <c r="W875" s="23"/>
      <c r="X875" s="23"/>
      <c r="Y875" s="23"/>
      <c r="Z875" s="43"/>
      <c r="AA875" s="23"/>
      <c r="AB875" s="23"/>
      <c r="AC875" s="23"/>
      <c r="AD875" s="23"/>
      <c r="AE875" s="23"/>
      <c r="AF875" s="23"/>
      <c r="AG875" s="23"/>
      <c r="AH875" s="23"/>
      <c r="AI875" s="48"/>
    </row>
    <row r="876" spans="1:35">
      <c r="B876" s="42"/>
      <c r="G876" s="43"/>
      <c r="H876" s="44"/>
      <c r="L876" s="42"/>
      <c r="M876" s="42"/>
      <c r="N876" s="25"/>
      <c r="O876" s="54"/>
      <c r="P876"/>
      <c r="Q876" s="25"/>
      <c r="R876" s="54"/>
      <c r="W876" s="23"/>
      <c r="X876" s="23"/>
      <c r="Y876" s="23"/>
      <c r="Z876" s="43"/>
      <c r="AA876" s="23"/>
      <c r="AB876" s="23"/>
      <c r="AC876" s="23"/>
      <c r="AD876" s="23"/>
      <c r="AE876" s="23"/>
      <c r="AF876" s="23"/>
      <c r="AG876" s="23"/>
      <c r="AH876" s="23"/>
      <c r="AI876" s="48"/>
    </row>
    <row r="877" spans="1:35">
      <c r="B877" s="42"/>
      <c r="G877" s="43"/>
      <c r="H877" s="44"/>
      <c r="L877" s="42"/>
      <c r="M877" s="42"/>
      <c r="N877" s="25"/>
      <c r="O877" s="54"/>
      <c r="P877"/>
      <c r="Q877" s="25"/>
      <c r="R877" s="54"/>
      <c r="W877" s="23"/>
      <c r="X877" s="23"/>
      <c r="Y877" s="23"/>
      <c r="Z877" s="43"/>
      <c r="AA877" s="23"/>
      <c r="AB877" s="23"/>
      <c r="AC877" s="23"/>
      <c r="AD877" s="23"/>
      <c r="AE877" s="23"/>
      <c r="AF877" s="23"/>
      <c r="AG877" s="23"/>
      <c r="AH877" s="23"/>
      <c r="AI877" s="48"/>
    </row>
    <row r="878" spans="1:35">
      <c r="A878" s="23"/>
      <c r="B878" s="42"/>
      <c r="C878" s="49"/>
      <c r="E878" s="49"/>
      <c r="G878" s="43"/>
      <c r="H878" s="44"/>
      <c r="L878" s="42"/>
      <c r="M878" s="42"/>
      <c r="N878" s="25"/>
      <c r="O878" s="54"/>
      <c r="P878"/>
      <c r="Q878" s="25"/>
      <c r="R878" s="54"/>
      <c r="W878" s="23"/>
      <c r="X878" s="23"/>
      <c r="Y878" s="23"/>
      <c r="Z878" s="43"/>
      <c r="AA878" s="23"/>
      <c r="AB878" s="23"/>
      <c r="AC878" s="23"/>
      <c r="AD878" s="23"/>
      <c r="AE878" s="23"/>
      <c r="AF878" s="23"/>
      <c r="AG878" s="23"/>
      <c r="AH878" s="23"/>
      <c r="AI878" s="49"/>
    </row>
    <row r="879" spans="1:35">
      <c r="B879" s="42"/>
      <c r="G879" s="43"/>
      <c r="H879" s="44"/>
      <c r="L879" s="42"/>
      <c r="M879" s="42"/>
      <c r="N879" s="25"/>
      <c r="O879" s="54"/>
      <c r="P879"/>
      <c r="Q879" s="25"/>
      <c r="R879" s="54"/>
      <c r="W879" s="23"/>
      <c r="X879" s="23"/>
      <c r="Y879" s="23"/>
      <c r="Z879" s="43"/>
      <c r="AA879" s="23"/>
      <c r="AB879" s="23"/>
      <c r="AC879" s="23"/>
      <c r="AD879" s="23"/>
      <c r="AE879" s="23"/>
      <c r="AF879" s="23"/>
      <c r="AG879" s="23"/>
      <c r="AH879" s="23"/>
      <c r="AI879" s="48"/>
    </row>
    <row r="880" spans="1:35">
      <c r="B880" s="42"/>
      <c r="G880" s="43"/>
      <c r="H880" s="44"/>
      <c r="L880" s="42"/>
      <c r="M880" s="42"/>
      <c r="N880" s="25"/>
      <c r="O880" s="54"/>
      <c r="P880"/>
      <c r="Q880" s="25"/>
      <c r="R880" s="54"/>
      <c r="W880" s="23"/>
      <c r="X880" s="23"/>
      <c r="Y880" s="23"/>
      <c r="Z880" s="43"/>
      <c r="AA880" s="23"/>
      <c r="AB880" s="23"/>
      <c r="AC880" s="23"/>
      <c r="AD880" s="23"/>
      <c r="AE880" s="23"/>
      <c r="AF880" s="23"/>
      <c r="AG880" s="23"/>
      <c r="AH880" s="23"/>
      <c r="AI880" s="48"/>
    </row>
    <row r="881" spans="1:35">
      <c r="B881" s="42"/>
      <c r="G881" s="43"/>
      <c r="H881" s="44"/>
      <c r="L881" s="42"/>
      <c r="M881" s="42"/>
      <c r="N881" s="25"/>
      <c r="O881" s="54"/>
      <c r="P881"/>
      <c r="Q881" s="25"/>
      <c r="R881" s="54"/>
      <c r="W881" s="23"/>
      <c r="X881" s="23"/>
      <c r="Y881" s="23"/>
      <c r="Z881" s="43"/>
      <c r="AA881" s="23"/>
      <c r="AB881" s="23"/>
      <c r="AC881" s="23"/>
      <c r="AD881" s="23"/>
      <c r="AE881" s="23"/>
      <c r="AF881" s="23"/>
      <c r="AG881" s="23"/>
      <c r="AH881" s="23"/>
      <c r="AI881" s="48"/>
    </row>
    <row r="882" spans="1:35">
      <c r="B882" s="42"/>
      <c r="G882" s="43"/>
      <c r="H882" s="44"/>
      <c r="L882" s="42"/>
      <c r="M882" s="42"/>
      <c r="N882" s="25"/>
      <c r="O882" s="54"/>
      <c r="P882"/>
      <c r="Q882" s="25"/>
      <c r="R882" s="54"/>
      <c r="W882" s="23"/>
      <c r="X882" s="23"/>
      <c r="Y882" s="23"/>
      <c r="Z882" s="43"/>
      <c r="AA882" s="23"/>
      <c r="AB882" s="23"/>
      <c r="AC882" s="23"/>
      <c r="AD882" s="23"/>
      <c r="AE882" s="23"/>
      <c r="AF882" s="23"/>
      <c r="AG882" s="23"/>
      <c r="AH882" s="23"/>
      <c r="AI882" s="48"/>
    </row>
    <row r="883" spans="1:35">
      <c r="A883" s="23"/>
      <c r="B883" s="42"/>
      <c r="G883" s="43"/>
      <c r="H883" s="44"/>
      <c r="L883" s="42"/>
      <c r="M883" s="42"/>
      <c r="N883" s="25"/>
      <c r="O883" s="54"/>
      <c r="P883"/>
      <c r="Q883" s="25"/>
      <c r="R883" s="54"/>
      <c r="W883" s="23"/>
      <c r="X883" s="23"/>
      <c r="Y883" s="23"/>
      <c r="Z883" s="43"/>
      <c r="AA883" s="23"/>
      <c r="AB883" s="23"/>
      <c r="AC883" s="23"/>
      <c r="AD883" s="23"/>
      <c r="AE883" s="23"/>
      <c r="AF883" s="23"/>
      <c r="AG883" s="23"/>
      <c r="AH883" s="23"/>
    </row>
    <row r="884" spans="1:35">
      <c r="B884" s="42"/>
      <c r="G884" s="43"/>
      <c r="H884" s="44"/>
      <c r="L884" s="42"/>
      <c r="M884" s="42"/>
      <c r="N884" s="25"/>
      <c r="O884" s="54"/>
      <c r="P884"/>
      <c r="Q884" s="25"/>
      <c r="R884" s="54"/>
      <c r="W884" s="23"/>
      <c r="X884" s="23"/>
      <c r="Y884" s="23"/>
      <c r="Z884" s="43"/>
      <c r="AA884" s="23"/>
      <c r="AB884" s="23"/>
      <c r="AC884" s="23"/>
      <c r="AD884" s="23"/>
      <c r="AE884" s="23"/>
      <c r="AF884" s="23"/>
      <c r="AG884" s="23"/>
      <c r="AH884" s="23"/>
      <c r="AI884" s="48"/>
    </row>
    <row r="885" spans="1:35">
      <c r="A885" s="45"/>
      <c r="B885" s="42"/>
      <c r="C885" s="45"/>
      <c r="E885" s="45"/>
      <c r="G885" s="43"/>
      <c r="H885" s="44"/>
      <c r="L885" s="42"/>
      <c r="M885" s="42"/>
      <c r="N885" s="25"/>
      <c r="O885" s="54"/>
      <c r="P885"/>
      <c r="Q885" s="25"/>
      <c r="R885" s="54"/>
      <c r="W885" s="23"/>
      <c r="X885" s="23"/>
      <c r="Y885" s="23"/>
      <c r="Z885" s="43"/>
      <c r="AA885" s="23"/>
      <c r="AB885" s="23"/>
      <c r="AC885" s="23"/>
      <c r="AD885" s="23"/>
      <c r="AE885" s="23"/>
      <c r="AF885" s="23"/>
      <c r="AG885" s="23"/>
      <c r="AH885" s="23"/>
      <c r="AI885" s="48"/>
    </row>
    <row r="886" spans="1:35">
      <c r="B886" s="42"/>
      <c r="G886" s="43"/>
      <c r="H886" s="44"/>
      <c r="L886" s="42"/>
      <c r="M886" s="42"/>
      <c r="N886" s="25"/>
      <c r="O886" s="54"/>
      <c r="P886"/>
      <c r="Q886" s="25"/>
      <c r="R886" s="54"/>
      <c r="W886" s="23"/>
      <c r="X886" s="23"/>
      <c r="Y886" s="23"/>
      <c r="Z886" s="43"/>
      <c r="AA886" s="23"/>
      <c r="AB886" s="23"/>
      <c r="AC886" s="23"/>
      <c r="AD886" s="23"/>
      <c r="AE886" s="23"/>
      <c r="AF886" s="23"/>
      <c r="AG886" s="23"/>
      <c r="AH886" s="23"/>
      <c r="AI886" s="48"/>
    </row>
    <row r="887" spans="1:35">
      <c r="B887" s="42"/>
      <c r="G887" s="43"/>
      <c r="H887" s="44"/>
      <c r="L887" s="42"/>
      <c r="M887" s="42"/>
      <c r="N887" s="25"/>
      <c r="O887" s="54"/>
      <c r="P887"/>
      <c r="Q887" s="25"/>
      <c r="R887" s="54"/>
      <c r="W887" s="23"/>
      <c r="X887" s="23"/>
      <c r="Y887" s="23"/>
      <c r="Z887" s="43"/>
      <c r="AA887" s="23"/>
      <c r="AB887" s="23"/>
      <c r="AC887" s="23"/>
      <c r="AD887" s="23"/>
      <c r="AE887" s="23"/>
      <c r="AF887" s="23"/>
      <c r="AG887" s="23"/>
      <c r="AH887" s="23"/>
      <c r="AI887" s="48"/>
    </row>
    <row r="888" spans="1:35">
      <c r="B888" s="42"/>
      <c r="G888" s="43"/>
      <c r="H888" s="44"/>
      <c r="L888" s="42"/>
      <c r="M888" s="42"/>
      <c r="N888" s="25"/>
      <c r="O888" s="54"/>
      <c r="P888"/>
      <c r="Q888" s="25"/>
      <c r="R888" s="54"/>
      <c r="W888" s="23"/>
      <c r="X888" s="23"/>
      <c r="Y888" s="23"/>
      <c r="Z888" s="43"/>
      <c r="AA888" s="23"/>
      <c r="AB888" s="23"/>
      <c r="AC888" s="23"/>
      <c r="AD888" s="23"/>
      <c r="AE888" s="23"/>
      <c r="AF888" s="23"/>
      <c r="AG888" s="23"/>
      <c r="AH888" s="23"/>
      <c r="AI888" s="48"/>
    </row>
    <row r="889" spans="1:35">
      <c r="B889" s="42"/>
      <c r="G889" s="43"/>
      <c r="H889" s="44"/>
      <c r="L889" s="42"/>
      <c r="M889" s="42"/>
      <c r="N889" s="25"/>
      <c r="O889" s="54"/>
      <c r="P889"/>
      <c r="Q889" s="25"/>
      <c r="R889" s="54"/>
      <c r="W889" s="23"/>
      <c r="X889" s="23"/>
      <c r="Y889" s="23"/>
      <c r="Z889" s="43"/>
      <c r="AA889" s="23"/>
      <c r="AB889" s="23"/>
      <c r="AC889" s="23"/>
      <c r="AD889" s="23"/>
      <c r="AE889" s="23"/>
      <c r="AF889" s="23"/>
      <c r="AG889" s="23"/>
      <c r="AH889" s="23"/>
      <c r="AI889" s="48"/>
    </row>
    <row r="890" spans="1:35">
      <c r="B890" s="42"/>
      <c r="G890" s="43"/>
      <c r="H890" s="44"/>
      <c r="L890" s="42"/>
      <c r="M890" s="42"/>
      <c r="N890" s="25"/>
      <c r="O890" s="54"/>
      <c r="P890"/>
      <c r="Q890" s="25"/>
      <c r="R890" s="54"/>
      <c r="W890" s="23"/>
      <c r="X890" s="23"/>
      <c r="Y890" s="23"/>
      <c r="Z890" s="43"/>
      <c r="AA890" s="23"/>
      <c r="AB890" s="23"/>
      <c r="AC890" s="23"/>
      <c r="AD890" s="23"/>
      <c r="AE890" s="23"/>
      <c r="AF890" s="23"/>
      <c r="AG890" s="23"/>
      <c r="AH890" s="23"/>
      <c r="AI890" s="48"/>
    </row>
    <row r="891" spans="1:35">
      <c r="B891" s="42"/>
      <c r="G891" s="43"/>
      <c r="H891" s="44"/>
      <c r="L891" s="42"/>
      <c r="M891" s="42"/>
      <c r="N891" s="25"/>
      <c r="O891" s="54"/>
      <c r="P891"/>
      <c r="Q891" s="25"/>
      <c r="R891" s="54"/>
      <c r="W891" s="23"/>
      <c r="X891" s="23"/>
      <c r="Y891" s="23"/>
      <c r="Z891" s="43"/>
      <c r="AA891" s="23"/>
      <c r="AB891" s="23"/>
      <c r="AC891" s="23"/>
      <c r="AD891" s="23"/>
      <c r="AE891" s="23"/>
      <c r="AF891" s="23"/>
      <c r="AG891" s="23"/>
      <c r="AH891" s="23"/>
      <c r="AI891" s="48"/>
    </row>
    <row r="892" spans="1:35">
      <c r="B892" s="42"/>
      <c r="G892" s="43"/>
      <c r="H892" s="44"/>
      <c r="L892" s="42"/>
      <c r="M892" s="42"/>
      <c r="N892" s="25"/>
      <c r="O892" s="54"/>
      <c r="P892"/>
      <c r="Q892" s="25"/>
      <c r="R892" s="54"/>
      <c r="W892" s="23"/>
      <c r="X892" s="23"/>
      <c r="Y892" s="23"/>
      <c r="Z892" s="43"/>
      <c r="AA892" s="23"/>
      <c r="AB892" s="23"/>
      <c r="AC892" s="23"/>
      <c r="AD892" s="23"/>
      <c r="AE892" s="23"/>
      <c r="AF892" s="23"/>
      <c r="AG892" s="23"/>
      <c r="AH892" s="23"/>
      <c r="AI892" s="48"/>
    </row>
    <row r="893" spans="1:35">
      <c r="B893" s="42"/>
      <c r="G893" s="43"/>
      <c r="H893" s="44"/>
      <c r="L893" s="42"/>
      <c r="M893" s="42"/>
      <c r="N893" s="25"/>
      <c r="O893" s="54"/>
      <c r="P893"/>
      <c r="Q893" s="25"/>
      <c r="R893" s="54"/>
      <c r="W893" s="23"/>
      <c r="X893" s="23"/>
      <c r="Y893" s="23"/>
      <c r="Z893" s="43"/>
      <c r="AA893" s="23"/>
      <c r="AB893" s="23"/>
      <c r="AC893" s="23"/>
      <c r="AD893" s="23"/>
      <c r="AE893" s="23"/>
      <c r="AF893" s="23"/>
      <c r="AG893" s="23"/>
      <c r="AH893" s="23"/>
      <c r="AI893" s="48"/>
    </row>
    <row r="894" spans="1:35">
      <c r="B894" s="42"/>
      <c r="G894" s="43"/>
      <c r="H894" s="44"/>
      <c r="L894" s="42"/>
      <c r="M894" s="42"/>
      <c r="N894" s="25"/>
      <c r="O894" s="54"/>
      <c r="P894"/>
      <c r="Q894" s="25"/>
      <c r="R894" s="54"/>
      <c r="W894" s="23"/>
      <c r="X894" s="23"/>
      <c r="Y894" s="23"/>
      <c r="Z894" s="43"/>
      <c r="AA894" s="23"/>
      <c r="AB894" s="23"/>
      <c r="AC894" s="23"/>
      <c r="AD894" s="23"/>
      <c r="AE894" s="23"/>
      <c r="AF894" s="23"/>
      <c r="AG894" s="23"/>
      <c r="AH894" s="23"/>
      <c r="AI894" s="48"/>
    </row>
    <row r="895" spans="1:35">
      <c r="B895" s="42"/>
      <c r="G895" s="43"/>
      <c r="H895" s="44"/>
      <c r="L895" s="42"/>
      <c r="M895" s="42"/>
      <c r="N895" s="25"/>
      <c r="O895" s="54"/>
      <c r="P895"/>
      <c r="Q895" s="25"/>
      <c r="R895" s="54"/>
      <c r="W895" s="23"/>
      <c r="X895" s="23"/>
      <c r="Y895" s="23"/>
      <c r="Z895" s="43"/>
      <c r="AA895" s="23"/>
      <c r="AB895" s="23"/>
      <c r="AC895" s="23"/>
      <c r="AD895" s="23"/>
      <c r="AE895" s="23"/>
      <c r="AF895" s="23"/>
      <c r="AG895" s="23"/>
      <c r="AH895" s="23"/>
    </row>
    <row r="896" spans="1:35">
      <c r="B896" s="42"/>
      <c r="G896" s="43"/>
      <c r="H896" s="44"/>
      <c r="L896" s="42"/>
      <c r="M896" s="42"/>
      <c r="N896" s="25"/>
      <c r="O896" s="54"/>
      <c r="P896"/>
      <c r="Q896" s="25"/>
      <c r="R896" s="54"/>
      <c r="W896" s="23"/>
      <c r="X896" s="23"/>
      <c r="Y896" s="23"/>
      <c r="Z896" s="43"/>
      <c r="AA896" s="23"/>
      <c r="AB896" s="23"/>
      <c r="AC896" s="23"/>
      <c r="AD896" s="23"/>
      <c r="AE896" s="23"/>
      <c r="AF896" s="23"/>
      <c r="AG896" s="23"/>
      <c r="AH896" s="23"/>
      <c r="AI896" s="48"/>
    </row>
    <row r="897" spans="1:35">
      <c r="B897" s="42"/>
      <c r="G897" s="43"/>
      <c r="H897" s="44"/>
      <c r="L897" s="42"/>
      <c r="M897" s="42"/>
      <c r="N897" s="25"/>
      <c r="O897" s="54"/>
      <c r="P897"/>
      <c r="Q897" s="25"/>
      <c r="R897" s="54"/>
      <c r="W897" s="23"/>
      <c r="X897" s="23"/>
      <c r="Y897" s="23"/>
      <c r="Z897" s="43"/>
      <c r="AA897" s="23"/>
      <c r="AB897" s="23"/>
      <c r="AC897" s="23"/>
      <c r="AD897" s="23"/>
      <c r="AE897" s="23"/>
      <c r="AF897" s="23"/>
      <c r="AG897" s="23"/>
      <c r="AH897" s="23"/>
      <c r="AI897" s="48"/>
    </row>
    <row r="898" spans="1:35">
      <c r="B898" s="42"/>
      <c r="G898" s="43"/>
      <c r="H898" s="44"/>
      <c r="L898" s="42"/>
      <c r="M898" s="42"/>
      <c r="N898" s="25"/>
      <c r="O898" s="54"/>
      <c r="P898"/>
      <c r="Q898" s="25"/>
      <c r="R898" s="54"/>
      <c r="W898" s="23"/>
      <c r="X898" s="23"/>
      <c r="Y898" s="23"/>
      <c r="Z898" s="43"/>
      <c r="AA898" s="23"/>
      <c r="AB898" s="23"/>
      <c r="AC898" s="23"/>
      <c r="AD898" s="23"/>
      <c r="AE898" s="23"/>
      <c r="AF898" s="23"/>
      <c r="AG898" s="23"/>
      <c r="AH898" s="23"/>
    </row>
    <row r="899" spans="1:35">
      <c r="B899" s="42"/>
      <c r="G899" s="43"/>
      <c r="H899" s="44"/>
      <c r="L899" s="42"/>
      <c r="M899" s="42"/>
      <c r="N899" s="25"/>
      <c r="O899" s="54"/>
      <c r="P899"/>
      <c r="Q899" s="25"/>
      <c r="R899" s="54"/>
      <c r="W899" s="23"/>
      <c r="X899" s="23"/>
      <c r="Y899" s="23"/>
      <c r="Z899" s="43"/>
      <c r="AA899" s="23"/>
      <c r="AB899" s="23"/>
      <c r="AC899" s="23"/>
      <c r="AD899" s="23"/>
      <c r="AE899" s="23"/>
      <c r="AF899" s="23"/>
      <c r="AG899" s="23"/>
      <c r="AH899" s="23"/>
      <c r="AI899" s="48"/>
    </row>
    <row r="900" spans="1:35">
      <c r="B900" s="42"/>
      <c r="C900" s="49"/>
      <c r="E900" s="49"/>
      <c r="G900" s="43"/>
      <c r="H900" s="44"/>
      <c r="L900" s="42"/>
      <c r="M900" s="42"/>
      <c r="N900" s="25"/>
      <c r="O900" s="54"/>
      <c r="P900"/>
      <c r="Q900" s="25"/>
      <c r="R900" s="54"/>
      <c r="W900" s="23"/>
      <c r="X900" s="23"/>
      <c r="Y900" s="23"/>
      <c r="Z900" s="43"/>
      <c r="AA900" s="23"/>
      <c r="AB900" s="23"/>
      <c r="AC900" s="23"/>
      <c r="AD900" s="23"/>
      <c r="AE900" s="23"/>
      <c r="AF900" s="23"/>
      <c r="AG900" s="23"/>
      <c r="AH900" s="23"/>
      <c r="AI900" s="23"/>
    </row>
    <row r="901" spans="1:35">
      <c r="B901" s="42"/>
      <c r="C901" s="49"/>
      <c r="E901" s="49"/>
      <c r="G901" s="43"/>
      <c r="H901" s="44"/>
      <c r="L901" s="42"/>
      <c r="M901" s="42"/>
      <c r="N901" s="25"/>
      <c r="O901" s="54"/>
      <c r="P901"/>
      <c r="Q901" s="25"/>
      <c r="R901" s="54"/>
      <c r="W901" s="23"/>
      <c r="X901" s="23"/>
      <c r="Y901" s="23"/>
      <c r="Z901" s="43"/>
      <c r="AA901" s="23"/>
      <c r="AB901" s="23"/>
      <c r="AC901" s="23"/>
      <c r="AD901" s="23"/>
      <c r="AE901" s="23"/>
      <c r="AF901" s="23"/>
      <c r="AG901" s="23"/>
      <c r="AH901" s="23"/>
      <c r="AI901" s="23"/>
    </row>
    <row r="902" spans="1:35">
      <c r="B902" s="42"/>
      <c r="G902" s="43"/>
      <c r="H902" s="44"/>
      <c r="L902" s="42"/>
      <c r="M902" s="42"/>
      <c r="N902" s="25"/>
      <c r="O902" s="54"/>
      <c r="P902"/>
      <c r="Q902" s="25"/>
      <c r="R902" s="54"/>
      <c r="W902" s="23"/>
      <c r="X902" s="23"/>
      <c r="Y902" s="23"/>
      <c r="Z902" s="43"/>
      <c r="AA902" s="23"/>
      <c r="AB902" s="23"/>
      <c r="AC902" s="23"/>
      <c r="AD902" s="23"/>
      <c r="AE902" s="23"/>
      <c r="AF902" s="23"/>
      <c r="AG902" s="23"/>
      <c r="AH902" s="23"/>
      <c r="AI902" s="48"/>
    </row>
    <row r="903" spans="1:35">
      <c r="B903" s="42"/>
      <c r="C903" s="49"/>
      <c r="E903" s="49"/>
      <c r="G903" s="43"/>
      <c r="H903" s="44"/>
      <c r="L903" s="42"/>
      <c r="M903" s="42"/>
      <c r="N903" s="25"/>
      <c r="O903" s="54"/>
      <c r="P903"/>
      <c r="Q903" s="25"/>
      <c r="R903" s="54"/>
      <c r="W903" s="23"/>
      <c r="X903" s="23"/>
      <c r="Y903" s="23"/>
      <c r="Z903" s="43"/>
      <c r="AA903" s="23"/>
      <c r="AB903" s="23"/>
      <c r="AC903" s="23"/>
      <c r="AD903" s="23"/>
      <c r="AE903" s="23"/>
      <c r="AF903" s="23"/>
      <c r="AG903" s="23"/>
      <c r="AH903" s="23"/>
      <c r="AI903" s="23"/>
    </row>
    <row r="904" spans="1:35">
      <c r="B904" s="42"/>
      <c r="C904" s="49"/>
      <c r="E904" s="49"/>
      <c r="G904" s="43"/>
      <c r="H904" s="44"/>
      <c r="L904" s="42"/>
      <c r="M904" s="42"/>
      <c r="N904" s="25"/>
      <c r="O904" s="54"/>
      <c r="P904"/>
      <c r="Q904" s="25"/>
      <c r="R904" s="54"/>
      <c r="W904" s="23"/>
      <c r="X904" s="23"/>
      <c r="Y904" s="23"/>
      <c r="Z904" s="43"/>
      <c r="AA904" s="23"/>
      <c r="AB904" s="23"/>
      <c r="AC904" s="23"/>
      <c r="AD904" s="23"/>
      <c r="AE904" s="23"/>
      <c r="AF904" s="23"/>
      <c r="AG904" s="23"/>
      <c r="AH904" s="23"/>
      <c r="AI904" s="23"/>
    </row>
    <row r="905" spans="1:35">
      <c r="A905" s="23"/>
      <c r="B905" s="42"/>
      <c r="C905" s="49"/>
      <c r="E905" s="49"/>
      <c r="G905" s="43"/>
      <c r="H905" s="44"/>
      <c r="L905" s="42"/>
      <c r="M905" s="42"/>
      <c r="N905" s="25"/>
      <c r="O905" s="54"/>
      <c r="P905"/>
      <c r="Q905" s="25"/>
      <c r="R905" s="54"/>
      <c r="W905" s="23"/>
      <c r="X905" s="23"/>
      <c r="Y905" s="23"/>
      <c r="Z905" s="43"/>
      <c r="AA905" s="23"/>
      <c r="AB905" s="23"/>
      <c r="AC905" s="23"/>
      <c r="AD905" s="23"/>
      <c r="AE905" s="23"/>
      <c r="AF905" s="23"/>
      <c r="AG905" s="23"/>
      <c r="AH905" s="23"/>
      <c r="AI905" s="49"/>
    </row>
    <row r="906" spans="1:35">
      <c r="B906" s="42"/>
      <c r="C906" s="49"/>
      <c r="E906" s="49"/>
      <c r="G906" s="43"/>
      <c r="H906" s="44"/>
      <c r="L906" s="42"/>
      <c r="M906" s="42"/>
      <c r="N906" s="25"/>
      <c r="O906" s="54"/>
      <c r="P906"/>
      <c r="Q906" s="25"/>
      <c r="R906" s="54"/>
      <c r="W906" s="23"/>
      <c r="X906" s="23"/>
      <c r="Y906" s="23"/>
      <c r="Z906" s="43"/>
      <c r="AA906" s="23"/>
      <c r="AB906" s="23"/>
      <c r="AC906" s="23"/>
      <c r="AD906" s="23"/>
      <c r="AE906" s="23"/>
      <c r="AF906" s="23"/>
      <c r="AG906" s="23"/>
      <c r="AH906" s="23"/>
      <c r="AI906" s="23"/>
    </row>
    <row r="907" spans="1:35">
      <c r="B907" s="42"/>
      <c r="C907" s="49"/>
      <c r="E907" s="49"/>
      <c r="G907" s="43"/>
      <c r="H907" s="44"/>
      <c r="L907" s="42"/>
      <c r="M907" s="42"/>
      <c r="N907" s="25"/>
      <c r="O907" s="54"/>
      <c r="P907"/>
      <c r="Q907" s="25"/>
      <c r="R907" s="54"/>
      <c r="W907" s="23"/>
      <c r="X907" s="23"/>
      <c r="Y907" s="23"/>
      <c r="Z907" s="43"/>
      <c r="AA907" s="23"/>
      <c r="AB907" s="23"/>
      <c r="AC907" s="23"/>
      <c r="AD907" s="23"/>
      <c r="AE907" s="23"/>
      <c r="AF907" s="23"/>
      <c r="AG907" s="23"/>
      <c r="AH907" s="23"/>
      <c r="AI907" s="23"/>
    </row>
    <row r="908" spans="1:35">
      <c r="B908" s="42"/>
      <c r="C908" s="49"/>
      <c r="E908" s="49"/>
      <c r="G908" s="43"/>
      <c r="H908" s="44"/>
      <c r="L908" s="42"/>
      <c r="M908" s="42"/>
      <c r="N908" s="25"/>
      <c r="O908" s="54"/>
      <c r="P908"/>
      <c r="Q908" s="25"/>
      <c r="R908" s="54"/>
      <c r="W908" s="23"/>
      <c r="X908" s="23"/>
      <c r="Y908" s="23"/>
      <c r="Z908" s="43"/>
      <c r="AA908" s="23"/>
      <c r="AB908" s="23"/>
      <c r="AC908" s="23"/>
      <c r="AD908" s="23"/>
      <c r="AE908" s="23"/>
      <c r="AF908" s="23"/>
      <c r="AG908" s="23"/>
      <c r="AH908" s="23"/>
      <c r="AI908" s="23"/>
    </row>
    <row r="909" spans="1:35">
      <c r="B909" s="42"/>
      <c r="C909" s="49"/>
      <c r="E909" s="49"/>
      <c r="G909" s="43"/>
      <c r="H909" s="44"/>
      <c r="L909" s="42"/>
      <c r="M909" s="42"/>
      <c r="N909" s="25"/>
      <c r="O909" s="54"/>
      <c r="P909"/>
      <c r="Q909" s="25"/>
      <c r="R909" s="54"/>
      <c r="W909" s="23"/>
      <c r="X909" s="23"/>
      <c r="Y909" s="23"/>
      <c r="Z909" s="43"/>
      <c r="AA909" s="23"/>
      <c r="AB909" s="23"/>
      <c r="AC909" s="23"/>
      <c r="AD909" s="23"/>
      <c r="AE909" s="23"/>
      <c r="AF909" s="23"/>
      <c r="AG909" s="23"/>
      <c r="AH909" s="23"/>
      <c r="AI909" s="23"/>
    </row>
    <row r="910" spans="1:35">
      <c r="A910" s="45"/>
      <c r="B910" s="42"/>
      <c r="C910" s="45"/>
      <c r="E910" s="45"/>
      <c r="G910" s="43"/>
      <c r="H910" s="44"/>
      <c r="L910" s="42"/>
      <c r="M910" s="42"/>
      <c r="N910" s="25"/>
      <c r="O910" s="54"/>
      <c r="P910"/>
      <c r="Q910" s="25"/>
      <c r="R910" s="54"/>
      <c r="W910" s="23"/>
      <c r="X910" s="23"/>
      <c r="Y910" s="23"/>
      <c r="Z910" s="43"/>
      <c r="AA910" s="23"/>
      <c r="AB910" s="23"/>
      <c r="AC910" s="23"/>
      <c r="AD910" s="23"/>
      <c r="AE910" s="23"/>
      <c r="AF910" s="23"/>
      <c r="AG910" s="23"/>
      <c r="AH910" s="23"/>
      <c r="AI910" s="48"/>
    </row>
    <row r="911" spans="1:35">
      <c r="B911" s="42"/>
      <c r="C911" s="49"/>
      <c r="E911" s="49"/>
      <c r="G911" s="43"/>
      <c r="H911" s="44"/>
      <c r="L911" s="42"/>
      <c r="M911" s="42"/>
      <c r="N911" s="25"/>
      <c r="O911" s="54"/>
      <c r="P911"/>
      <c r="Q911" s="25"/>
      <c r="R911" s="54"/>
      <c r="W911" s="23"/>
      <c r="X911" s="23"/>
      <c r="Y911" s="23"/>
      <c r="Z911" s="43"/>
      <c r="AA911" s="23"/>
      <c r="AB911" s="23"/>
      <c r="AC911" s="23"/>
      <c r="AD911" s="23"/>
      <c r="AE911" s="23"/>
      <c r="AF911" s="23"/>
      <c r="AG911" s="23"/>
      <c r="AH911" s="23"/>
      <c r="AI911" s="23"/>
    </row>
    <row r="912" spans="1:35">
      <c r="A912" s="49"/>
      <c r="B912" s="42"/>
      <c r="C912" s="49"/>
      <c r="E912" s="49"/>
      <c r="G912" s="43"/>
      <c r="H912" s="44"/>
      <c r="L912" s="42"/>
      <c r="M912" s="42"/>
      <c r="N912" s="25"/>
      <c r="O912" s="54"/>
      <c r="P912"/>
      <c r="Q912" s="25"/>
      <c r="R912" s="54"/>
      <c r="W912" s="23"/>
      <c r="X912" s="23"/>
      <c r="Y912" s="23"/>
      <c r="Z912" s="43"/>
      <c r="AA912" s="23"/>
      <c r="AB912" s="23"/>
      <c r="AC912" s="23"/>
      <c r="AD912" s="23"/>
      <c r="AE912" s="23"/>
      <c r="AF912" s="23"/>
      <c r="AG912" s="23"/>
      <c r="AH912" s="23"/>
      <c r="AI912" s="49"/>
    </row>
    <row r="913" spans="1:35">
      <c r="B913" s="42"/>
      <c r="C913" s="49"/>
      <c r="E913" s="49"/>
      <c r="G913" s="43"/>
      <c r="H913" s="44"/>
      <c r="L913" s="42"/>
      <c r="M913" s="42"/>
      <c r="N913" s="25"/>
      <c r="O913" s="54"/>
      <c r="P913"/>
      <c r="Q913" s="25"/>
      <c r="R913" s="54"/>
      <c r="W913" s="23"/>
      <c r="X913" s="23"/>
      <c r="Y913" s="23"/>
      <c r="Z913" s="43"/>
      <c r="AA913" s="23"/>
      <c r="AB913" s="23"/>
      <c r="AC913" s="23"/>
      <c r="AD913" s="23"/>
      <c r="AE913" s="23"/>
      <c r="AF913" s="23"/>
      <c r="AG913" s="23"/>
      <c r="AH913" s="23"/>
      <c r="AI913" s="23"/>
    </row>
    <row r="914" spans="1:35">
      <c r="A914" s="23"/>
      <c r="B914" s="42"/>
      <c r="C914" s="49"/>
      <c r="E914" s="49"/>
      <c r="G914" s="43"/>
      <c r="H914" s="44"/>
      <c r="L914" s="42"/>
      <c r="M914" s="42"/>
      <c r="N914" s="25"/>
      <c r="O914" s="54"/>
      <c r="P914"/>
      <c r="Q914" s="25"/>
      <c r="R914" s="54"/>
      <c r="W914" s="23"/>
      <c r="X914" s="23"/>
      <c r="Y914" s="23"/>
      <c r="Z914" s="43"/>
      <c r="AA914" s="23"/>
      <c r="AB914" s="23"/>
      <c r="AC914" s="23"/>
      <c r="AD914" s="23"/>
      <c r="AE914" s="23"/>
      <c r="AF914" s="23"/>
      <c r="AG914" s="23"/>
      <c r="AH914" s="23"/>
      <c r="AI914" s="49"/>
    </row>
    <row r="915" spans="1:35">
      <c r="B915" s="42"/>
      <c r="G915" s="43"/>
      <c r="H915" s="44"/>
      <c r="L915" s="42"/>
      <c r="M915" s="42"/>
      <c r="N915" s="25"/>
      <c r="O915" s="54"/>
      <c r="P915"/>
      <c r="Q915" s="25"/>
      <c r="R915" s="54"/>
      <c r="W915" s="23"/>
      <c r="X915" s="23"/>
      <c r="Y915" s="23"/>
      <c r="Z915" s="43"/>
      <c r="AA915" s="23"/>
      <c r="AB915" s="23"/>
      <c r="AC915" s="23"/>
      <c r="AD915" s="23"/>
      <c r="AE915" s="23"/>
      <c r="AF915" s="23"/>
      <c r="AG915" s="23"/>
      <c r="AH915" s="23"/>
      <c r="AI915" s="48"/>
    </row>
    <row r="916" spans="1:35">
      <c r="B916" s="42"/>
      <c r="C916" s="49"/>
      <c r="E916" s="49"/>
      <c r="G916" s="43"/>
      <c r="H916" s="44"/>
      <c r="L916" s="42"/>
      <c r="M916" s="42"/>
      <c r="N916" s="25"/>
      <c r="O916" s="54"/>
      <c r="P916"/>
      <c r="Q916" s="25"/>
      <c r="R916" s="54"/>
      <c r="W916" s="23"/>
      <c r="X916" s="23"/>
      <c r="Y916" s="23"/>
      <c r="Z916" s="43"/>
      <c r="AA916" s="23"/>
      <c r="AB916" s="23"/>
      <c r="AC916" s="23"/>
      <c r="AD916" s="23"/>
      <c r="AE916" s="23"/>
      <c r="AF916" s="23"/>
      <c r="AG916" s="23"/>
      <c r="AH916" s="23"/>
      <c r="AI916" s="23"/>
    </row>
    <row r="917" spans="1:35">
      <c r="B917" s="42"/>
      <c r="C917" s="49"/>
      <c r="E917" s="49"/>
      <c r="G917" s="43"/>
      <c r="H917" s="44"/>
      <c r="L917" s="42"/>
      <c r="M917" s="42"/>
      <c r="N917" s="25"/>
      <c r="O917" s="54"/>
      <c r="P917"/>
      <c r="Q917" s="25"/>
      <c r="R917" s="54"/>
      <c r="W917" s="23"/>
      <c r="X917" s="23"/>
      <c r="Y917" s="23"/>
      <c r="Z917" s="43"/>
      <c r="AA917" s="23"/>
      <c r="AB917" s="23"/>
      <c r="AC917" s="23"/>
      <c r="AD917" s="23"/>
      <c r="AE917" s="23"/>
      <c r="AF917" s="23"/>
      <c r="AG917" s="23"/>
      <c r="AH917" s="23"/>
      <c r="AI917" s="23"/>
    </row>
    <row r="918" spans="1:35">
      <c r="A918" s="50"/>
      <c r="B918" s="42"/>
      <c r="C918" s="49"/>
      <c r="E918" s="49"/>
      <c r="G918" s="43"/>
      <c r="H918" s="44"/>
      <c r="L918" s="42"/>
      <c r="M918" s="42"/>
      <c r="N918" s="25"/>
      <c r="O918" s="54"/>
      <c r="P918"/>
      <c r="Q918" s="25"/>
      <c r="R918" s="54"/>
      <c r="W918" s="23"/>
      <c r="X918" s="23"/>
      <c r="Y918" s="23"/>
      <c r="Z918" s="43"/>
      <c r="AA918" s="23"/>
      <c r="AB918" s="23"/>
      <c r="AC918" s="23"/>
      <c r="AD918" s="23"/>
      <c r="AE918" s="23"/>
      <c r="AF918" s="23"/>
      <c r="AG918" s="23"/>
      <c r="AH918" s="23"/>
      <c r="AI918" s="49"/>
    </row>
    <row r="919" spans="1:35">
      <c r="A919" s="50"/>
      <c r="B919" s="42"/>
      <c r="C919" s="49"/>
      <c r="E919" s="49"/>
      <c r="G919" s="43"/>
      <c r="H919" s="44"/>
      <c r="L919" s="42"/>
      <c r="M919" s="42"/>
      <c r="N919" s="25"/>
      <c r="O919" s="54"/>
      <c r="P919"/>
      <c r="Q919" s="25"/>
      <c r="R919" s="54"/>
      <c r="W919" s="23"/>
      <c r="X919" s="23"/>
      <c r="Y919" s="23"/>
      <c r="Z919" s="43"/>
      <c r="AA919" s="23"/>
      <c r="AB919" s="23"/>
      <c r="AC919" s="23"/>
      <c r="AD919" s="23"/>
      <c r="AE919" s="23"/>
      <c r="AF919" s="23"/>
      <c r="AG919" s="23"/>
      <c r="AH919" s="23"/>
      <c r="AI919" s="49"/>
    </row>
    <row r="920" spans="1:35">
      <c r="B920" s="42"/>
      <c r="C920" s="49"/>
      <c r="E920" s="49"/>
      <c r="G920" s="43"/>
      <c r="H920" s="44"/>
      <c r="L920" s="42"/>
      <c r="M920" s="42"/>
      <c r="N920" s="25"/>
      <c r="O920" s="54"/>
      <c r="P920"/>
      <c r="Q920" s="25"/>
      <c r="R920" s="54"/>
      <c r="W920" s="23"/>
      <c r="X920" s="23"/>
      <c r="Y920" s="23"/>
      <c r="Z920" s="43"/>
      <c r="AA920" s="23"/>
      <c r="AB920" s="23"/>
      <c r="AC920" s="23"/>
      <c r="AD920" s="23"/>
      <c r="AE920" s="23"/>
      <c r="AF920" s="23"/>
      <c r="AG920" s="23"/>
      <c r="AH920" s="23"/>
      <c r="AI920" s="23"/>
    </row>
    <row r="921" spans="1:35">
      <c r="B921" s="42"/>
      <c r="G921" s="43"/>
      <c r="H921" s="44"/>
      <c r="L921" s="42"/>
      <c r="M921" s="42"/>
      <c r="N921" s="25"/>
      <c r="O921" s="54"/>
      <c r="P921"/>
      <c r="Q921" s="25"/>
      <c r="R921" s="54"/>
      <c r="W921" s="23"/>
      <c r="X921" s="23"/>
      <c r="Y921" s="23"/>
      <c r="Z921" s="43"/>
      <c r="AA921" s="23"/>
      <c r="AB921" s="23"/>
      <c r="AC921" s="23"/>
      <c r="AD921" s="23"/>
      <c r="AE921" s="23"/>
      <c r="AF921" s="23"/>
      <c r="AG921" s="23"/>
      <c r="AH921" s="23"/>
    </row>
    <row r="922" spans="1:35">
      <c r="A922" s="23"/>
      <c r="B922" s="42"/>
      <c r="G922" s="43"/>
      <c r="H922" s="44"/>
      <c r="L922" s="42"/>
      <c r="M922" s="42"/>
      <c r="N922" s="25"/>
      <c r="O922" s="54"/>
      <c r="P922"/>
      <c r="Q922" s="25"/>
      <c r="R922" s="54"/>
      <c r="W922" s="23"/>
      <c r="X922" s="23"/>
      <c r="Y922" s="23"/>
      <c r="Z922" s="43"/>
      <c r="AA922" s="23"/>
      <c r="AB922" s="23"/>
      <c r="AC922" s="23"/>
      <c r="AD922" s="23"/>
      <c r="AE922" s="23"/>
      <c r="AF922" s="23"/>
      <c r="AG922" s="23"/>
      <c r="AH922" s="23"/>
      <c r="AI922" s="23"/>
    </row>
    <row r="923" spans="1:35">
      <c r="A923" s="23"/>
      <c r="B923" s="42"/>
      <c r="C923" s="49"/>
      <c r="E923" s="49"/>
      <c r="G923" s="43"/>
      <c r="H923" s="44"/>
      <c r="L923" s="42"/>
      <c r="M923" s="42"/>
      <c r="N923" s="25"/>
      <c r="O923" s="54"/>
      <c r="P923"/>
      <c r="Q923" s="25"/>
      <c r="R923" s="54"/>
      <c r="W923" s="23"/>
      <c r="X923" s="23"/>
      <c r="Y923" s="23"/>
      <c r="Z923" s="43"/>
      <c r="AA923" s="23"/>
      <c r="AB923" s="23"/>
      <c r="AC923" s="23"/>
      <c r="AD923" s="23"/>
      <c r="AE923" s="23"/>
      <c r="AF923" s="23"/>
      <c r="AG923" s="23"/>
      <c r="AH923" s="23"/>
      <c r="AI923" s="49"/>
    </row>
    <row r="924" spans="1:35">
      <c r="A924" s="23"/>
      <c r="B924" s="42"/>
      <c r="C924" s="49"/>
      <c r="E924" s="49"/>
      <c r="G924" s="43"/>
      <c r="H924" s="44"/>
      <c r="L924" s="42"/>
      <c r="M924" s="42"/>
      <c r="N924" s="25"/>
      <c r="O924" s="54"/>
      <c r="P924"/>
      <c r="Q924" s="25"/>
      <c r="R924" s="54"/>
      <c r="W924" s="23"/>
      <c r="X924" s="23"/>
      <c r="Y924" s="23"/>
      <c r="Z924" s="43"/>
      <c r="AA924" s="23"/>
      <c r="AB924" s="23"/>
      <c r="AC924" s="23"/>
      <c r="AD924" s="23"/>
      <c r="AE924" s="23"/>
      <c r="AF924" s="23"/>
      <c r="AG924" s="23"/>
      <c r="AH924" s="23"/>
      <c r="AI924" s="49"/>
    </row>
    <row r="925" spans="1:35">
      <c r="A925" s="23"/>
      <c r="B925" s="42"/>
      <c r="G925" s="43"/>
      <c r="H925" s="44"/>
      <c r="L925" s="42"/>
      <c r="M925" s="42"/>
      <c r="N925" s="25"/>
      <c r="O925" s="54"/>
      <c r="P925"/>
      <c r="Q925" s="25"/>
      <c r="R925" s="54"/>
      <c r="W925" s="23"/>
      <c r="X925" s="23"/>
      <c r="Y925" s="23"/>
      <c r="Z925" s="43"/>
      <c r="AA925" s="23"/>
      <c r="AB925" s="23"/>
      <c r="AC925" s="23"/>
      <c r="AD925" s="23"/>
      <c r="AE925" s="23"/>
      <c r="AF925" s="23"/>
      <c r="AG925" s="23"/>
      <c r="AH925" s="23"/>
    </row>
    <row r="926" spans="1:35">
      <c r="A926" s="23"/>
      <c r="B926" s="42"/>
      <c r="G926" s="43"/>
      <c r="H926" s="44"/>
      <c r="L926" s="42"/>
      <c r="M926" s="42"/>
      <c r="N926" s="25"/>
      <c r="O926" s="54"/>
      <c r="P926"/>
      <c r="Q926" s="25"/>
      <c r="R926" s="54"/>
      <c r="W926" s="23"/>
      <c r="X926" s="23"/>
      <c r="Y926" s="23"/>
      <c r="Z926" s="43"/>
      <c r="AA926" s="23"/>
      <c r="AB926" s="23"/>
      <c r="AC926" s="23"/>
      <c r="AD926" s="23"/>
      <c r="AE926" s="23"/>
      <c r="AF926" s="23"/>
      <c r="AG926" s="23"/>
      <c r="AH926" s="23"/>
    </row>
    <row r="927" spans="1:35">
      <c r="A927" s="23"/>
      <c r="B927" s="42"/>
      <c r="C927" s="49"/>
      <c r="E927" s="49"/>
      <c r="G927" s="43"/>
      <c r="H927" s="44"/>
      <c r="L927" s="42"/>
      <c r="M927" s="42"/>
      <c r="N927" s="25"/>
      <c r="O927" s="54"/>
      <c r="P927"/>
      <c r="Q927" s="25"/>
      <c r="R927" s="54"/>
      <c r="W927" s="23"/>
      <c r="X927" s="23"/>
      <c r="Y927" s="23"/>
      <c r="Z927" s="43"/>
      <c r="AA927" s="23"/>
      <c r="AB927" s="23"/>
      <c r="AC927" s="23"/>
      <c r="AD927" s="23"/>
      <c r="AE927" s="23"/>
      <c r="AF927" s="23"/>
      <c r="AG927" s="23"/>
      <c r="AH927" s="23"/>
      <c r="AI927" s="49"/>
    </row>
    <row r="928" spans="1:35">
      <c r="A928" s="45"/>
      <c r="B928" s="42"/>
      <c r="C928" s="45"/>
      <c r="E928" s="45"/>
      <c r="G928" s="43"/>
      <c r="H928" s="44"/>
      <c r="L928" s="42"/>
      <c r="M928" s="42"/>
      <c r="N928" s="25"/>
      <c r="O928" s="54"/>
      <c r="P928"/>
      <c r="Q928" s="25"/>
      <c r="R928" s="54"/>
      <c r="W928" s="23"/>
      <c r="X928" s="23"/>
      <c r="Y928" s="23"/>
      <c r="Z928" s="43"/>
      <c r="AA928" s="23"/>
      <c r="AB928" s="23"/>
      <c r="AC928" s="23"/>
      <c r="AD928" s="23"/>
      <c r="AE928" s="23"/>
      <c r="AF928" s="23"/>
      <c r="AG928" s="23"/>
      <c r="AH928" s="23"/>
      <c r="AI928" s="48"/>
    </row>
    <row r="929" spans="1:35">
      <c r="A929" s="23"/>
      <c r="B929" s="42"/>
      <c r="C929" s="49"/>
      <c r="E929" s="49"/>
      <c r="G929" s="43"/>
      <c r="H929" s="44"/>
      <c r="L929" s="42"/>
      <c r="M929" s="42"/>
      <c r="N929" s="25"/>
      <c r="O929" s="54"/>
      <c r="P929"/>
      <c r="Q929" s="25"/>
      <c r="R929" s="54"/>
      <c r="W929" s="23"/>
      <c r="X929" s="23"/>
      <c r="Y929" s="23"/>
      <c r="Z929" s="43"/>
      <c r="AA929" s="23"/>
      <c r="AB929" s="23"/>
      <c r="AC929" s="23"/>
      <c r="AD929" s="23"/>
      <c r="AE929" s="23"/>
      <c r="AF929" s="23"/>
      <c r="AG929" s="23"/>
      <c r="AH929" s="23"/>
      <c r="AI929" s="49"/>
    </row>
    <row r="930" spans="1:35">
      <c r="A930" s="23"/>
      <c r="B930" s="42"/>
      <c r="C930" s="49"/>
      <c r="E930" s="49"/>
      <c r="G930" s="43"/>
      <c r="H930" s="44"/>
      <c r="L930" s="42"/>
      <c r="M930" s="42"/>
      <c r="N930" s="25"/>
      <c r="O930" s="54"/>
      <c r="P930"/>
      <c r="Q930" s="25"/>
      <c r="R930" s="54"/>
      <c r="W930" s="23"/>
      <c r="X930" s="23"/>
      <c r="Y930" s="23"/>
      <c r="Z930" s="43"/>
      <c r="AA930" s="23"/>
      <c r="AB930" s="23"/>
      <c r="AC930" s="23"/>
      <c r="AD930" s="23"/>
      <c r="AE930" s="23"/>
      <c r="AF930" s="23"/>
      <c r="AG930" s="23"/>
      <c r="AH930" s="23"/>
      <c r="AI930" s="49"/>
    </row>
    <row r="931" spans="1:35">
      <c r="B931" s="42"/>
      <c r="G931" s="43"/>
      <c r="H931" s="44"/>
      <c r="L931" s="42"/>
      <c r="M931" s="42"/>
      <c r="N931" s="25"/>
      <c r="O931" s="54"/>
      <c r="P931"/>
      <c r="Q931" s="25"/>
      <c r="R931" s="54"/>
      <c r="W931" s="23"/>
      <c r="X931" s="23"/>
      <c r="Y931" s="23"/>
      <c r="Z931" s="43"/>
      <c r="AA931" s="23"/>
      <c r="AB931" s="23"/>
      <c r="AC931" s="23"/>
      <c r="AD931" s="23"/>
      <c r="AE931" s="23"/>
      <c r="AF931" s="23"/>
      <c r="AG931" s="23"/>
      <c r="AH931" s="23"/>
      <c r="AI931" s="48"/>
    </row>
    <row r="932" spans="1:35">
      <c r="A932" s="49"/>
      <c r="B932" s="42"/>
      <c r="C932" s="49"/>
      <c r="E932" s="49"/>
      <c r="G932" s="43"/>
      <c r="H932" s="44"/>
      <c r="L932" s="42"/>
      <c r="M932" s="42"/>
      <c r="N932" s="25"/>
      <c r="O932" s="54"/>
      <c r="P932"/>
      <c r="Q932" s="25"/>
      <c r="R932" s="54"/>
      <c r="W932" s="23"/>
      <c r="X932" s="23"/>
      <c r="Y932" s="23"/>
      <c r="Z932" s="43"/>
      <c r="AA932" s="23"/>
      <c r="AB932" s="23"/>
      <c r="AC932" s="23"/>
      <c r="AD932" s="23"/>
      <c r="AE932" s="23"/>
      <c r="AF932" s="23"/>
      <c r="AG932" s="23"/>
      <c r="AH932" s="23"/>
      <c r="AI932" s="49"/>
    </row>
    <row r="933" spans="1:35">
      <c r="A933" s="23"/>
      <c r="B933" s="42"/>
      <c r="C933" s="49"/>
      <c r="E933" s="49"/>
      <c r="G933" s="43"/>
      <c r="H933" s="44"/>
      <c r="L933" s="42"/>
      <c r="M933" s="42"/>
      <c r="N933" s="25"/>
      <c r="O933" s="54"/>
      <c r="P933"/>
      <c r="Q933" s="25"/>
      <c r="R933" s="54"/>
      <c r="W933" s="23"/>
      <c r="X933" s="23"/>
      <c r="Y933" s="23"/>
      <c r="Z933" s="43"/>
      <c r="AA933" s="23"/>
      <c r="AB933" s="23"/>
      <c r="AC933" s="23"/>
      <c r="AD933" s="23"/>
      <c r="AE933" s="23"/>
      <c r="AF933" s="23"/>
      <c r="AG933" s="23"/>
      <c r="AH933" s="23"/>
      <c r="AI933" s="49"/>
    </row>
    <row r="934" spans="1:35">
      <c r="A934" s="23"/>
      <c r="B934" s="42"/>
      <c r="C934" s="49"/>
      <c r="E934" s="49"/>
      <c r="G934" s="43"/>
      <c r="H934" s="44"/>
      <c r="L934" s="42"/>
      <c r="M934" s="42"/>
      <c r="N934" s="25"/>
      <c r="O934" s="54"/>
      <c r="P934"/>
      <c r="Q934" s="25"/>
      <c r="R934" s="54"/>
      <c r="W934" s="23"/>
      <c r="X934" s="23"/>
      <c r="Y934" s="23"/>
      <c r="Z934" s="43"/>
      <c r="AA934" s="23"/>
      <c r="AB934" s="23"/>
      <c r="AC934" s="23"/>
      <c r="AD934" s="23"/>
      <c r="AE934" s="23"/>
      <c r="AF934" s="23"/>
      <c r="AG934" s="23"/>
      <c r="AH934" s="23"/>
      <c r="AI934" s="49"/>
    </row>
    <row r="935" spans="1:35">
      <c r="B935" s="42"/>
      <c r="G935" s="43"/>
      <c r="H935" s="44"/>
      <c r="L935" s="42"/>
      <c r="M935" s="42"/>
      <c r="N935" s="25"/>
      <c r="O935" s="54"/>
      <c r="P935"/>
      <c r="Q935" s="25"/>
      <c r="R935" s="54"/>
      <c r="W935" s="23"/>
      <c r="X935" s="23"/>
      <c r="Y935" s="23"/>
      <c r="Z935" s="43"/>
      <c r="AA935" s="23"/>
      <c r="AB935" s="23"/>
      <c r="AC935" s="23"/>
      <c r="AD935" s="23"/>
      <c r="AE935" s="23"/>
      <c r="AF935" s="23"/>
      <c r="AG935" s="23"/>
      <c r="AH935" s="23"/>
      <c r="AI935" s="48"/>
    </row>
    <row r="936" spans="1:35">
      <c r="B936" s="42"/>
      <c r="G936" s="43"/>
      <c r="H936" s="44"/>
      <c r="L936" s="42"/>
      <c r="M936" s="42"/>
      <c r="N936" s="25"/>
      <c r="O936" s="54"/>
      <c r="P936"/>
      <c r="Q936" s="25"/>
      <c r="R936" s="54"/>
      <c r="W936" s="23"/>
      <c r="X936" s="23"/>
      <c r="Y936" s="23"/>
      <c r="Z936" s="43"/>
      <c r="AA936" s="23"/>
      <c r="AB936" s="23"/>
      <c r="AC936" s="23"/>
      <c r="AD936" s="23"/>
      <c r="AE936" s="23"/>
      <c r="AF936" s="23"/>
      <c r="AG936" s="23"/>
      <c r="AH936" s="23"/>
      <c r="AI936" s="48"/>
    </row>
    <row r="937" spans="1:35">
      <c r="A937" s="23"/>
      <c r="B937" s="42"/>
      <c r="C937" s="49"/>
      <c r="E937" s="49"/>
      <c r="G937" s="43"/>
      <c r="H937" s="44"/>
      <c r="L937" s="42"/>
      <c r="M937" s="42"/>
      <c r="N937" s="25"/>
      <c r="O937" s="54"/>
      <c r="P937"/>
      <c r="Q937" s="25"/>
      <c r="R937" s="54"/>
      <c r="W937" s="23"/>
      <c r="X937" s="23"/>
      <c r="Y937" s="23"/>
      <c r="Z937" s="43"/>
      <c r="AA937" s="23"/>
      <c r="AB937" s="23"/>
      <c r="AC937" s="23"/>
      <c r="AD937" s="23"/>
      <c r="AE937" s="23"/>
      <c r="AF937" s="23"/>
      <c r="AG937" s="23"/>
      <c r="AH937" s="23"/>
      <c r="AI937" s="49"/>
    </row>
    <row r="938" spans="1:35">
      <c r="B938" s="42"/>
      <c r="C938" s="49"/>
      <c r="E938" s="49"/>
      <c r="G938" s="43"/>
      <c r="H938" s="44"/>
      <c r="L938" s="42"/>
      <c r="M938" s="42"/>
      <c r="N938" s="25"/>
      <c r="O938" s="54"/>
      <c r="P938"/>
      <c r="Q938" s="25"/>
      <c r="R938" s="54"/>
      <c r="W938" s="23"/>
      <c r="X938" s="23"/>
      <c r="Y938" s="23"/>
      <c r="Z938" s="43"/>
      <c r="AA938" s="23"/>
      <c r="AB938" s="23"/>
      <c r="AC938" s="23"/>
      <c r="AD938" s="23"/>
      <c r="AE938" s="23"/>
      <c r="AF938" s="23"/>
      <c r="AG938" s="23"/>
      <c r="AH938" s="23"/>
      <c r="AI938" s="23"/>
    </row>
    <row r="939" spans="1:35">
      <c r="A939" s="23"/>
      <c r="B939" s="42"/>
      <c r="C939" s="49"/>
      <c r="E939" s="49"/>
      <c r="G939" s="43"/>
      <c r="H939" s="44"/>
      <c r="L939" s="42"/>
      <c r="M939" s="42"/>
      <c r="N939" s="25"/>
      <c r="O939" s="54"/>
      <c r="P939"/>
      <c r="Q939" s="25"/>
      <c r="R939" s="54"/>
      <c r="W939" s="23"/>
      <c r="X939" s="23"/>
      <c r="Y939" s="23"/>
      <c r="Z939" s="43"/>
      <c r="AA939" s="23"/>
      <c r="AB939" s="23"/>
      <c r="AC939" s="23"/>
      <c r="AD939" s="23"/>
      <c r="AE939" s="23"/>
      <c r="AF939" s="23"/>
      <c r="AG939" s="23"/>
      <c r="AH939" s="23"/>
      <c r="AI939" s="49"/>
    </row>
    <row r="940" spans="1:35">
      <c r="A940" s="23"/>
      <c r="B940" s="42"/>
      <c r="C940" s="49"/>
      <c r="E940" s="49"/>
      <c r="G940" s="43"/>
      <c r="H940" s="44"/>
      <c r="L940" s="42"/>
      <c r="M940" s="42"/>
      <c r="N940" s="25"/>
      <c r="O940" s="54"/>
      <c r="P940"/>
      <c r="Q940" s="25"/>
      <c r="R940" s="54"/>
      <c r="W940" s="23"/>
      <c r="X940" s="23"/>
      <c r="Y940" s="23"/>
      <c r="Z940" s="43"/>
      <c r="AA940" s="23"/>
      <c r="AB940" s="23"/>
      <c r="AC940" s="23"/>
      <c r="AD940" s="23"/>
      <c r="AE940" s="23"/>
      <c r="AF940" s="23"/>
      <c r="AG940" s="23"/>
      <c r="AH940" s="23"/>
      <c r="AI940" s="49"/>
    </row>
    <row r="941" spans="1:35">
      <c r="A941" s="23"/>
      <c r="B941" s="42"/>
      <c r="C941" s="49"/>
      <c r="E941" s="49"/>
      <c r="G941" s="43"/>
      <c r="H941" s="44"/>
      <c r="L941" s="42"/>
      <c r="M941" s="42"/>
      <c r="N941" s="25"/>
      <c r="O941" s="54"/>
      <c r="P941"/>
      <c r="Q941" s="25"/>
      <c r="R941" s="54"/>
      <c r="W941" s="23"/>
      <c r="X941" s="23"/>
      <c r="Y941" s="23"/>
      <c r="Z941" s="43"/>
      <c r="AA941" s="23"/>
      <c r="AB941" s="23"/>
      <c r="AC941" s="23"/>
      <c r="AD941" s="23"/>
      <c r="AE941" s="23"/>
      <c r="AF941" s="23"/>
      <c r="AG941" s="23"/>
      <c r="AH941" s="23"/>
      <c r="AI941" s="49"/>
    </row>
    <row r="942" spans="1:35">
      <c r="A942" s="23"/>
      <c r="B942" s="42"/>
      <c r="C942" s="49"/>
      <c r="E942" s="49"/>
      <c r="G942" s="43"/>
      <c r="H942" s="44"/>
      <c r="L942" s="42"/>
      <c r="M942" s="42"/>
      <c r="N942" s="25"/>
      <c r="O942" s="54"/>
      <c r="P942"/>
      <c r="Q942" s="25"/>
      <c r="R942" s="54"/>
      <c r="W942" s="23"/>
      <c r="X942" s="23"/>
      <c r="Y942" s="23"/>
      <c r="Z942" s="43"/>
      <c r="AA942" s="23"/>
      <c r="AB942" s="23"/>
      <c r="AC942" s="23"/>
      <c r="AD942" s="23"/>
      <c r="AE942" s="23"/>
      <c r="AF942" s="23"/>
      <c r="AG942" s="23"/>
      <c r="AH942" s="23"/>
      <c r="AI942" s="49"/>
    </row>
    <row r="943" spans="1:35">
      <c r="B943" s="42"/>
      <c r="C943" s="49"/>
      <c r="E943" s="49"/>
      <c r="G943" s="43"/>
      <c r="H943" s="44"/>
      <c r="L943" s="42"/>
      <c r="M943" s="42"/>
      <c r="N943" s="25"/>
      <c r="O943" s="54"/>
      <c r="P943"/>
      <c r="Q943" s="25"/>
      <c r="R943" s="54"/>
      <c r="W943" s="23"/>
      <c r="X943" s="23"/>
      <c r="Y943" s="23"/>
      <c r="Z943" s="43"/>
      <c r="AA943" s="23"/>
      <c r="AB943" s="23"/>
      <c r="AC943" s="23"/>
      <c r="AD943" s="23"/>
      <c r="AE943" s="23"/>
      <c r="AF943" s="23"/>
      <c r="AG943" s="23"/>
      <c r="AH943" s="23"/>
      <c r="AI943" s="23"/>
    </row>
    <row r="944" spans="1:35">
      <c r="B944" s="42"/>
      <c r="C944" s="49"/>
      <c r="E944" s="49"/>
      <c r="G944" s="43"/>
      <c r="H944" s="44"/>
      <c r="L944" s="42"/>
      <c r="M944" s="42"/>
      <c r="N944" s="25"/>
      <c r="O944" s="54"/>
      <c r="P944"/>
      <c r="Q944" s="25"/>
      <c r="R944" s="54"/>
      <c r="W944" s="23"/>
      <c r="X944" s="23"/>
      <c r="Y944" s="23"/>
      <c r="Z944" s="43"/>
      <c r="AA944" s="23"/>
      <c r="AB944" s="23"/>
      <c r="AC944" s="23"/>
      <c r="AD944" s="23"/>
      <c r="AE944" s="23"/>
      <c r="AF944" s="23"/>
      <c r="AG944" s="23"/>
      <c r="AH944" s="23"/>
      <c r="AI944" s="23"/>
    </row>
    <row r="945" spans="1:35">
      <c r="B945" s="42"/>
      <c r="G945" s="43"/>
      <c r="H945" s="44"/>
      <c r="L945" s="42"/>
      <c r="M945" s="42"/>
      <c r="N945" s="25"/>
      <c r="O945" s="54"/>
      <c r="P945"/>
      <c r="Q945" s="25"/>
      <c r="R945" s="54"/>
      <c r="W945" s="23"/>
      <c r="X945" s="23"/>
      <c r="Y945" s="23"/>
      <c r="Z945" s="43"/>
      <c r="AA945" s="23"/>
      <c r="AB945" s="23"/>
      <c r="AC945" s="23"/>
      <c r="AD945" s="23"/>
      <c r="AE945" s="23"/>
      <c r="AF945" s="23"/>
      <c r="AG945" s="23"/>
      <c r="AH945" s="23"/>
      <c r="AI945" s="48"/>
    </row>
    <row r="946" spans="1:35">
      <c r="A946" s="23"/>
      <c r="B946" s="42"/>
      <c r="C946" s="49"/>
      <c r="E946" s="49"/>
      <c r="G946" s="43"/>
      <c r="H946" s="44"/>
      <c r="L946" s="42"/>
      <c r="M946" s="42"/>
      <c r="N946" s="25"/>
      <c r="O946" s="54"/>
      <c r="P946"/>
      <c r="Q946" s="25"/>
      <c r="R946" s="54"/>
      <c r="W946" s="23"/>
      <c r="X946" s="23"/>
      <c r="Y946" s="23"/>
      <c r="Z946" s="43"/>
      <c r="AA946" s="23"/>
      <c r="AB946" s="23"/>
      <c r="AC946" s="23"/>
      <c r="AD946" s="23"/>
      <c r="AE946" s="23"/>
      <c r="AF946" s="23"/>
      <c r="AG946" s="23"/>
      <c r="AH946" s="23"/>
      <c r="AI946" s="49"/>
    </row>
    <row r="947" spans="1:35">
      <c r="A947" s="23"/>
      <c r="B947" s="42"/>
      <c r="C947" s="49"/>
      <c r="E947" s="49"/>
      <c r="G947" s="43"/>
      <c r="H947" s="44"/>
      <c r="L947" s="42"/>
      <c r="M947" s="42"/>
      <c r="N947" s="25"/>
      <c r="O947" s="54"/>
      <c r="P947"/>
      <c r="Q947" s="25"/>
      <c r="R947" s="54"/>
      <c r="W947" s="23"/>
      <c r="X947" s="23"/>
      <c r="Y947" s="23"/>
      <c r="Z947" s="43"/>
      <c r="AA947" s="23"/>
      <c r="AB947" s="23"/>
      <c r="AC947" s="23"/>
      <c r="AD947" s="23"/>
      <c r="AE947" s="23"/>
      <c r="AF947" s="23"/>
      <c r="AG947" s="23"/>
      <c r="AH947" s="23"/>
      <c r="AI947" s="49"/>
    </row>
    <row r="948" spans="1:35">
      <c r="A948" s="23"/>
      <c r="B948" s="42"/>
      <c r="C948" s="49"/>
      <c r="E948" s="49"/>
      <c r="G948" s="43"/>
      <c r="H948" s="44"/>
      <c r="L948" s="42"/>
      <c r="M948" s="42"/>
      <c r="N948" s="25"/>
      <c r="O948" s="54"/>
      <c r="P948"/>
      <c r="Q948" s="25"/>
      <c r="R948" s="54"/>
      <c r="W948" s="23"/>
      <c r="X948" s="23"/>
      <c r="Y948" s="23"/>
      <c r="Z948" s="43"/>
      <c r="AA948" s="23"/>
      <c r="AB948" s="23"/>
      <c r="AC948" s="23"/>
      <c r="AD948" s="23"/>
      <c r="AE948" s="23"/>
      <c r="AF948" s="23"/>
      <c r="AG948" s="23"/>
      <c r="AH948" s="23"/>
      <c r="AI948" s="49"/>
    </row>
    <row r="949" spans="1:35">
      <c r="A949" s="23"/>
      <c r="B949" s="42"/>
      <c r="C949" s="49"/>
      <c r="E949" s="49"/>
      <c r="G949" s="43"/>
      <c r="H949" s="44"/>
      <c r="L949" s="42"/>
      <c r="M949" s="42"/>
      <c r="N949" s="25"/>
      <c r="O949" s="54"/>
      <c r="P949"/>
      <c r="Q949" s="25"/>
      <c r="R949" s="54"/>
      <c r="W949" s="23"/>
      <c r="X949" s="23"/>
      <c r="Y949" s="23"/>
      <c r="Z949" s="43"/>
      <c r="AA949" s="23"/>
      <c r="AB949" s="23"/>
      <c r="AC949" s="23"/>
      <c r="AD949" s="23"/>
      <c r="AE949" s="23"/>
      <c r="AF949" s="23"/>
      <c r="AG949" s="23"/>
      <c r="AH949" s="23"/>
      <c r="AI949" s="49"/>
    </row>
    <row r="950" spans="1:35">
      <c r="A950" s="23"/>
      <c r="B950" s="42"/>
      <c r="C950" s="49"/>
      <c r="E950" s="49"/>
      <c r="G950" s="43"/>
      <c r="H950" s="44"/>
      <c r="L950" s="42"/>
      <c r="M950" s="42"/>
      <c r="N950" s="25"/>
      <c r="O950" s="54"/>
      <c r="P950"/>
      <c r="Q950" s="25"/>
      <c r="R950" s="54"/>
      <c r="W950" s="23"/>
      <c r="X950" s="23"/>
      <c r="Y950" s="23"/>
      <c r="Z950" s="43"/>
      <c r="AA950" s="23"/>
      <c r="AB950" s="23"/>
      <c r="AC950" s="23"/>
      <c r="AD950" s="23"/>
      <c r="AE950" s="23"/>
      <c r="AF950" s="23"/>
      <c r="AG950" s="23"/>
      <c r="AH950" s="23"/>
      <c r="AI950" s="49"/>
    </row>
    <row r="951" spans="1:35">
      <c r="B951" s="42"/>
      <c r="G951" s="43"/>
      <c r="H951" s="44"/>
      <c r="L951" s="42"/>
      <c r="M951" s="42"/>
      <c r="N951" s="25"/>
      <c r="O951" s="54"/>
      <c r="P951"/>
      <c r="Q951" s="25"/>
      <c r="R951" s="54"/>
      <c r="W951" s="23"/>
      <c r="X951" s="23"/>
      <c r="Y951" s="23"/>
      <c r="Z951" s="43"/>
      <c r="AA951" s="23"/>
      <c r="AB951" s="23"/>
      <c r="AC951" s="23"/>
      <c r="AD951" s="23"/>
      <c r="AE951" s="23"/>
      <c r="AF951" s="23"/>
      <c r="AG951" s="23"/>
      <c r="AH951" s="23"/>
      <c r="AI951" s="48"/>
    </row>
    <row r="952" spans="1:35">
      <c r="B952" s="42"/>
      <c r="G952" s="43"/>
      <c r="H952" s="44"/>
      <c r="L952" s="42"/>
      <c r="M952" s="42"/>
      <c r="N952" s="25"/>
      <c r="O952" s="54"/>
      <c r="P952"/>
      <c r="Q952" s="25"/>
      <c r="R952" s="54"/>
      <c r="W952" s="23"/>
      <c r="X952" s="23"/>
      <c r="Y952" s="23"/>
      <c r="Z952" s="43"/>
      <c r="AA952" s="23"/>
      <c r="AB952" s="23"/>
      <c r="AC952" s="23"/>
      <c r="AD952" s="23"/>
      <c r="AE952" s="23"/>
      <c r="AF952" s="23"/>
      <c r="AG952" s="23"/>
      <c r="AH952" s="23"/>
      <c r="AI952" s="48"/>
    </row>
    <row r="953" spans="1:35">
      <c r="B953" s="42"/>
      <c r="G953" s="43"/>
      <c r="H953" s="44"/>
      <c r="L953" s="42"/>
      <c r="M953" s="42"/>
      <c r="N953" s="25"/>
      <c r="O953" s="54"/>
      <c r="P953"/>
      <c r="Q953" s="25"/>
      <c r="R953" s="54"/>
      <c r="W953" s="23"/>
      <c r="X953" s="23"/>
      <c r="Y953" s="23"/>
      <c r="Z953" s="43"/>
      <c r="AA953" s="23"/>
      <c r="AB953" s="23"/>
      <c r="AC953" s="23"/>
      <c r="AD953" s="23"/>
      <c r="AE953" s="23"/>
      <c r="AF953" s="23"/>
      <c r="AG953" s="23"/>
      <c r="AH953" s="23"/>
      <c r="AI953" s="48"/>
    </row>
    <row r="954" spans="1:35">
      <c r="B954" s="42"/>
      <c r="G954" s="43"/>
      <c r="H954" s="44"/>
      <c r="L954" s="42"/>
      <c r="M954" s="42"/>
      <c r="N954" s="25"/>
      <c r="O954" s="54"/>
      <c r="P954"/>
      <c r="Q954" s="25"/>
      <c r="R954" s="54"/>
      <c r="W954" s="23"/>
      <c r="X954" s="23"/>
      <c r="Y954" s="23"/>
      <c r="Z954" s="43"/>
      <c r="AA954" s="23"/>
      <c r="AB954" s="23"/>
      <c r="AC954" s="23"/>
      <c r="AD954" s="23"/>
      <c r="AE954" s="23"/>
      <c r="AF954" s="23"/>
      <c r="AG954" s="23"/>
      <c r="AH954" s="23"/>
      <c r="AI954" s="48"/>
    </row>
    <row r="955" spans="1:35">
      <c r="A955" s="45"/>
      <c r="B955" s="42"/>
      <c r="C955" s="45"/>
      <c r="E955" s="45"/>
      <c r="G955" s="43"/>
      <c r="H955" s="44"/>
      <c r="L955" s="42"/>
      <c r="M955" s="42"/>
      <c r="N955" s="25"/>
      <c r="O955" s="54"/>
      <c r="P955"/>
      <c r="Q955" s="25"/>
      <c r="R955" s="54"/>
      <c r="W955" s="23"/>
      <c r="X955" s="23"/>
      <c r="Y955" s="23"/>
      <c r="Z955" s="43"/>
      <c r="AA955" s="23"/>
      <c r="AB955" s="23"/>
      <c r="AC955" s="23"/>
      <c r="AD955" s="23"/>
      <c r="AE955" s="23"/>
      <c r="AF955" s="23"/>
      <c r="AG955" s="23"/>
      <c r="AH955" s="23"/>
      <c r="AI955" s="48"/>
    </row>
    <row r="956" spans="1:35">
      <c r="A956" s="45"/>
      <c r="B956" s="42"/>
      <c r="C956" s="45"/>
      <c r="E956" s="45"/>
      <c r="G956" s="43"/>
      <c r="H956" s="44"/>
      <c r="L956" s="42"/>
      <c r="M956" s="42"/>
      <c r="N956" s="25"/>
      <c r="O956" s="54"/>
      <c r="P956"/>
      <c r="Q956" s="25"/>
      <c r="R956" s="54"/>
      <c r="W956" s="23"/>
      <c r="X956" s="23"/>
      <c r="Y956" s="23"/>
      <c r="Z956" s="43"/>
      <c r="AA956" s="23"/>
      <c r="AB956" s="23"/>
      <c r="AC956" s="23"/>
      <c r="AD956" s="23"/>
      <c r="AE956" s="23"/>
      <c r="AF956" s="23"/>
      <c r="AG956" s="23"/>
      <c r="AH956" s="23"/>
      <c r="AI956" s="48"/>
    </row>
    <row r="957" spans="1:35">
      <c r="A957" s="45"/>
      <c r="B957" s="42"/>
      <c r="C957" s="45"/>
      <c r="E957" s="45"/>
      <c r="G957" s="43"/>
      <c r="H957" s="44"/>
      <c r="L957" s="42"/>
      <c r="M957" s="42"/>
      <c r="N957" s="25"/>
      <c r="O957" s="54"/>
      <c r="P957"/>
      <c r="Q957" s="25"/>
      <c r="R957" s="54"/>
      <c r="W957" s="23"/>
      <c r="X957" s="23"/>
      <c r="Y957" s="23"/>
      <c r="Z957" s="43"/>
      <c r="AA957" s="23"/>
      <c r="AB957" s="23"/>
      <c r="AC957" s="23"/>
      <c r="AD957" s="23"/>
      <c r="AE957" s="23"/>
      <c r="AF957" s="23"/>
      <c r="AG957" s="23"/>
      <c r="AH957" s="23"/>
      <c r="AI957" s="48"/>
    </row>
    <row r="958" spans="1:35">
      <c r="A958" s="45"/>
      <c r="B958" s="42"/>
      <c r="C958" s="45"/>
      <c r="E958" s="45"/>
      <c r="G958" s="43"/>
      <c r="H958" s="44"/>
      <c r="L958" s="42"/>
      <c r="M958" s="42"/>
      <c r="N958" s="25"/>
      <c r="O958" s="54"/>
      <c r="P958"/>
      <c r="Q958" s="25"/>
      <c r="R958" s="54"/>
      <c r="W958" s="23"/>
      <c r="X958" s="23"/>
      <c r="Y958" s="23"/>
      <c r="Z958" s="43"/>
      <c r="AA958" s="23"/>
      <c r="AB958" s="23"/>
      <c r="AC958" s="23"/>
      <c r="AD958" s="23"/>
      <c r="AE958" s="23"/>
      <c r="AF958" s="23"/>
      <c r="AG958" s="23"/>
      <c r="AH958" s="23"/>
      <c r="AI958" s="48"/>
    </row>
    <row r="959" spans="1:35">
      <c r="A959" s="45"/>
      <c r="B959" s="42"/>
      <c r="C959" s="45"/>
      <c r="E959" s="45"/>
      <c r="G959" s="43"/>
      <c r="H959" s="44"/>
      <c r="L959" s="42"/>
      <c r="M959" s="42"/>
      <c r="N959" s="25"/>
      <c r="O959" s="54"/>
      <c r="P959"/>
      <c r="Q959" s="25"/>
      <c r="R959" s="54"/>
      <c r="W959" s="23"/>
      <c r="X959" s="23"/>
      <c r="Y959" s="23"/>
      <c r="Z959" s="43"/>
      <c r="AA959" s="23"/>
      <c r="AB959" s="23"/>
      <c r="AC959" s="23"/>
      <c r="AD959" s="23"/>
      <c r="AE959" s="23"/>
      <c r="AF959" s="23"/>
      <c r="AG959" s="23"/>
      <c r="AH959" s="23"/>
      <c r="AI959" s="48"/>
    </row>
    <row r="960" spans="1:35">
      <c r="A960" s="45"/>
      <c r="B960" s="42"/>
      <c r="C960" s="45"/>
      <c r="E960" s="45"/>
      <c r="G960" s="43"/>
      <c r="H960" s="44"/>
      <c r="L960" s="42"/>
      <c r="M960" s="42"/>
      <c r="N960" s="25"/>
      <c r="O960" s="54"/>
      <c r="P960"/>
      <c r="Q960" s="25"/>
      <c r="R960" s="54"/>
      <c r="W960" s="23"/>
      <c r="X960" s="23"/>
      <c r="Y960" s="23"/>
      <c r="Z960" s="43"/>
      <c r="AA960" s="23"/>
      <c r="AB960" s="23"/>
      <c r="AC960" s="23"/>
      <c r="AD960" s="23"/>
      <c r="AE960" s="23"/>
      <c r="AF960" s="23"/>
      <c r="AG960" s="23"/>
      <c r="AH960" s="23"/>
      <c r="AI960" s="48"/>
    </row>
    <row r="961" spans="1:35">
      <c r="A961" s="45"/>
      <c r="B961" s="42"/>
      <c r="C961" s="45"/>
      <c r="E961" s="45"/>
      <c r="G961" s="43"/>
      <c r="H961" s="44"/>
      <c r="L961" s="42"/>
      <c r="M961" s="42"/>
      <c r="N961" s="25"/>
      <c r="O961" s="54"/>
      <c r="P961"/>
      <c r="Q961" s="25"/>
      <c r="R961" s="54"/>
      <c r="W961" s="23"/>
      <c r="X961" s="23"/>
      <c r="Y961" s="23"/>
      <c r="Z961" s="43"/>
      <c r="AA961" s="23"/>
      <c r="AB961" s="23"/>
      <c r="AC961" s="23"/>
      <c r="AD961" s="23"/>
      <c r="AE961" s="23"/>
      <c r="AF961" s="23"/>
      <c r="AG961" s="23"/>
      <c r="AH961" s="23"/>
      <c r="AI961" s="48"/>
    </row>
    <row r="962" spans="1:35">
      <c r="A962" s="45"/>
      <c r="B962" s="42"/>
      <c r="C962" s="45"/>
      <c r="E962" s="45"/>
      <c r="G962" s="43"/>
      <c r="H962" s="44"/>
      <c r="L962" s="42"/>
      <c r="M962" s="42"/>
      <c r="N962" s="25"/>
      <c r="O962" s="54"/>
      <c r="P962"/>
      <c r="Q962" s="25"/>
      <c r="R962" s="54"/>
      <c r="W962" s="23"/>
      <c r="X962" s="23"/>
      <c r="Y962" s="23"/>
      <c r="Z962" s="43"/>
      <c r="AA962" s="23"/>
      <c r="AB962" s="23"/>
      <c r="AC962" s="23"/>
      <c r="AD962" s="23"/>
      <c r="AE962" s="23"/>
      <c r="AF962" s="23"/>
      <c r="AG962" s="23"/>
      <c r="AH962" s="23"/>
      <c r="AI962" s="48"/>
    </row>
    <row r="963" spans="1:35">
      <c r="A963" s="45"/>
      <c r="B963" s="42"/>
      <c r="C963" s="45"/>
      <c r="E963" s="45"/>
      <c r="G963" s="43"/>
      <c r="H963" s="44"/>
      <c r="L963" s="42"/>
      <c r="M963" s="42"/>
      <c r="N963" s="25"/>
      <c r="O963" s="54"/>
      <c r="P963"/>
      <c r="Q963" s="25"/>
      <c r="R963" s="54"/>
      <c r="W963" s="23"/>
      <c r="X963" s="23"/>
      <c r="Y963" s="23"/>
      <c r="Z963" s="43"/>
      <c r="AA963" s="23"/>
      <c r="AB963" s="23"/>
      <c r="AC963" s="23"/>
      <c r="AD963" s="23"/>
      <c r="AE963" s="23"/>
      <c r="AF963" s="23"/>
      <c r="AG963" s="23"/>
      <c r="AH963" s="23"/>
      <c r="AI963" s="48"/>
    </row>
    <row r="964" spans="1:35">
      <c r="A964" s="45"/>
      <c r="B964" s="42"/>
      <c r="C964" s="45"/>
      <c r="E964" s="45"/>
      <c r="G964" s="43"/>
      <c r="H964" s="44"/>
      <c r="L964" s="42"/>
      <c r="M964" s="42"/>
      <c r="N964" s="25"/>
      <c r="O964" s="54"/>
      <c r="P964"/>
      <c r="Q964" s="25"/>
      <c r="R964" s="54"/>
      <c r="W964" s="23"/>
      <c r="X964" s="23"/>
      <c r="Y964" s="23"/>
      <c r="Z964" s="43"/>
      <c r="AA964" s="23"/>
      <c r="AB964" s="23"/>
      <c r="AC964" s="23"/>
      <c r="AD964" s="23"/>
      <c r="AE964" s="23"/>
      <c r="AF964" s="23"/>
      <c r="AG964" s="23"/>
      <c r="AH964" s="23"/>
      <c r="AI964" s="48"/>
    </row>
    <row r="965" spans="1:35">
      <c r="A965" s="45"/>
      <c r="B965" s="42"/>
      <c r="C965" s="45"/>
      <c r="E965" s="45"/>
      <c r="G965" s="43"/>
      <c r="H965" s="44"/>
      <c r="L965" s="42"/>
      <c r="M965" s="42"/>
      <c r="N965" s="25"/>
      <c r="O965" s="54"/>
      <c r="P965"/>
      <c r="Q965" s="25"/>
      <c r="R965" s="54"/>
      <c r="W965" s="23"/>
      <c r="X965" s="23"/>
      <c r="Y965" s="23"/>
      <c r="Z965" s="43"/>
      <c r="AA965" s="23"/>
      <c r="AB965" s="23"/>
      <c r="AC965" s="23"/>
      <c r="AD965" s="23"/>
      <c r="AE965" s="23"/>
      <c r="AF965" s="23"/>
      <c r="AG965" s="23"/>
      <c r="AH965" s="23"/>
      <c r="AI965" s="48"/>
    </row>
    <row r="966" spans="1:35">
      <c r="A966" s="45"/>
      <c r="B966" s="42"/>
      <c r="C966" s="45"/>
      <c r="E966" s="45"/>
      <c r="G966" s="43"/>
      <c r="H966" s="44"/>
      <c r="L966" s="42"/>
      <c r="M966" s="42"/>
      <c r="N966" s="25"/>
      <c r="O966" s="54"/>
      <c r="P966"/>
      <c r="Q966" s="25"/>
      <c r="R966" s="54"/>
      <c r="W966" s="23"/>
      <c r="X966" s="23"/>
      <c r="Y966" s="23"/>
      <c r="Z966" s="43"/>
      <c r="AA966" s="23"/>
      <c r="AB966" s="23"/>
      <c r="AC966" s="23"/>
      <c r="AD966" s="23"/>
      <c r="AE966" s="23"/>
      <c r="AF966" s="23"/>
      <c r="AG966" s="23"/>
      <c r="AH966" s="23"/>
      <c r="AI966" s="48"/>
    </row>
    <row r="967" spans="1:35">
      <c r="A967" s="45"/>
      <c r="B967" s="42"/>
      <c r="C967" s="45"/>
      <c r="E967" s="45"/>
      <c r="G967" s="43"/>
      <c r="H967" s="44"/>
      <c r="L967" s="42"/>
      <c r="M967" s="42"/>
      <c r="N967" s="25"/>
      <c r="O967" s="54"/>
      <c r="P967"/>
      <c r="Q967" s="25"/>
      <c r="R967" s="54"/>
      <c r="W967" s="23"/>
      <c r="X967" s="23"/>
      <c r="Y967" s="23"/>
      <c r="Z967" s="43"/>
      <c r="AA967" s="23"/>
      <c r="AB967" s="23"/>
      <c r="AC967" s="23"/>
      <c r="AD967" s="23"/>
      <c r="AE967" s="23"/>
      <c r="AF967" s="23"/>
      <c r="AG967" s="23"/>
      <c r="AH967" s="23"/>
      <c r="AI967" s="48"/>
    </row>
    <row r="968" spans="1:35">
      <c r="A968" s="45"/>
      <c r="B968" s="42"/>
      <c r="C968" s="45"/>
      <c r="E968" s="45"/>
      <c r="G968" s="43"/>
      <c r="H968" s="44"/>
      <c r="L968" s="42"/>
      <c r="M968" s="42"/>
      <c r="N968" s="25"/>
      <c r="O968" s="54"/>
      <c r="P968"/>
      <c r="Q968" s="25"/>
      <c r="R968" s="54"/>
      <c r="W968" s="23"/>
      <c r="X968" s="23"/>
      <c r="Y968" s="23"/>
      <c r="Z968" s="43"/>
      <c r="AA968" s="23"/>
      <c r="AB968" s="23"/>
      <c r="AC968" s="23"/>
      <c r="AD968" s="23"/>
      <c r="AE968" s="23"/>
      <c r="AF968" s="23"/>
      <c r="AG968" s="23"/>
      <c r="AH968" s="23"/>
      <c r="AI968" s="48"/>
    </row>
    <row r="969" spans="1:35">
      <c r="A969" s="45"/>
      <c r="B969" s="42"/>
      <c r="C969" s="45"/>
      <c r="E969" s="45"/>
      <c r="G969" s="43"/>
      <c r="H969" s="44"/>
      <c r="L969" s="42"/>
      <c r="M969" s="42"/>
      <c r="N969" s="25"/>
      <c r="O969" s="54"/>
      <c r="P969"/>
      <c r="Q969" s="25"/>
      <c r="R969" s="54"/>
      <c r="W969" s="23"/>
      <c r="X969" s="23"/>
      <c r="Y969" s="23"/>
      <c r="Z969" s="43"/>
      <c r="AA969" s="23"/>
      <c r="AB969" s="23"/>
      <c r="AC969" s="23"/>
      <c r="AD969" s="23"/>
      <c r="AE969" s="23"/>
      <c r="AF969" s="23"/>
      <c r="AG969" s="23"/>
      <c r="AH969" s="23"/>
      <c r="AI969" s="48"/>
    </row>
    <row r="970" spans="1:35">
      <c r="A970" s="45"/>
      <c r="B970" s="42"/>
      <c r="C970" s="45"/>
      <c r="E970" s="45"/>
      <c r="G970" s="43"/>
      <c r="H970" s="44"/>
      <c r="L970" s="42"/>
      <c r="M970" s="42"/>
      <c r="N970" s="25"/>
      <c r="O970" s="54"/>
      <c r="P970"/>
      <c r="Q970" s="25"/>
      <c r="R970" s="54"/>
      <c r="W970" s="23"/>
      <c r="X970" s="23"/>
      <c r="Y970" s="23"/>
      <c r="Z970" s="43"/>
      <c r="AA970" s="23"/>
      <c r="AB970" s="23"/>
      <c r="AC970" s="23"/>
      <c r="AD970" s="23"/>
      <c r="AE970" s="23"/>
      <c r="AF970" s="23"/>
      <c r="AG970" s="23"/>
      <c r="AH970" s="23"/>
      <c r="AI970" s="48"/>
    </row>
    <row r="971" spans="1:35">
      <c r="A971" s="45"/>
      <c r="B971" s="42"/>
      <c r="C971" s="45"/>
      <c r="E971" s="45"/>
      <c r="G971" s="43"/>
      <c r="H971" s="44"/>
      <c r="L971" s="42"/>
      <c r="M971" s="42"/>
      <c r="N971" s="25"/>
      <c r="O971" s="54"/>
      <c r="P971"/>
      <c r="Q971" s="25"/>
      <c r="R971" s="54"/>
      <c r="W971" s="23"/>
      <c r="X971" s="23"/>
      <c r="Y971" s="23"/>
      <c r="Z971" s="43"/>
      <c r="AA971" s="23"/>
      <c r="AB971" s="23"/>
      <c r="AC971" s="23"/>
      <c r="AD971" s="23"/>
      <c r="AE971" s="23"/>
      <c r="AF971" s="23"/>
      <c r="AG971" s="23"/>
      <c r="AH971" s="23"/>
      <c r="AI971" s="48"/>
    </row>
    <row r="972" spans="1:35">
      <c r="A972" s="45"/>
      <c r="B972" s="42"/>
      <c r="C972" s="45"/>
      <c r="E972" s="45"/>
      <c r="G972" s="43"/>
      <c r="H972" s="44"/>
      <c r="L972" s="42"/>
      <c r="M972" s="42"/>
      <c r="N972" s="25"/>
      <c r="O972" s="54"/>
      <c r="P972"/>
      <c r="Q972" s="25"/>
      <c r="R972" s="54"/>
      <c r="W972" s="23"/>
      <c r="X972" s="23"/>
      <c r="Y972" s="23"/>
      <c r="Z972" s="43"/>
      <c r="AA972" s="23"/>
      <c r="AB972" s="23"/>
      <c r="AC972" s="23"/>
      <c r="AD972" s="23"/>
      <c r="AE972" s="23"/>
      <c r="AF972" s="23"/>
      <c r="AG972" s="23"/>
      <c r="AH972" s="23"/>
      <c r="AI972" s="48"/>
    </row>
    <row r="973" spans="1:35">
      <c r="A973" s="45"/>
      <c r="B973" s="42"/>
      <c r="C973" s="45"/>
      <c r="E973" s="45"/>
      <c r="G973" s="43"/>
      <c r="H973" s="44"/>
      <c r="L973" s="42"/>
      <c r="M973" s="42"/>
      <c r="N973" s="25"/>
      <c r="O973" s="54"/>
      <c r="P973"/>
      <c r="Q973" s="25"/>
      <c r="R973" s="54"/>
      <c r="W973" s="23"/>
      <c r="X973" s="23"/>
      <c r="Y973" s="23"/>
      <c r="Z973" s="43"/>
      <c r="AA973" s="23"/>
      <c r="AB973" s="23"/>
      <c r="AC973" s="23"/>
      <c r="AD973" s="23"/>
      <c r="AE973" s="23"/>
      <c r="AF973" s="23"/>
      <c r="AG973" s="23"/>
      <c r="AH973" s="23"/>
      <c r="AI973" s="48"/>
    </row>
    <row r="974" spans="1:35">
      <c r="A974" s="45"/>
      <c r="B974" s="42"/>
      <c r="C974" s="45"/>
      <c r="E974" s="45"/>
      <c r="G974" s="43"/>
      <c r="H974" s="44"/>
      <c r="L974" s="42"/>
      <c r="M974" s="42"/>
      <c r="N974" s="25"/>
      <c r="O974" s="54"/>
      <c r="P974"/>
      <c r="Q974" s="25"/>
      <c r="R974" s="54"/>
      <c r="W974" s="23"/>
      <c r="X974" s="23"/>
      <c r="Y974" s="23"/>
      <c r="Z974" s="43"/>
      <c r="AA974" s="23"/>
      <c r="AB974" s="23"/>
      <c r="AC974" s="23"/>
      <c r="AD974" s="23"/>
      <c r="AE974" s="23"/>
      <c r="AF974" s="23"/>
      <c r="AG974" s="23"/>
      <c r="AH974" s="23"/>
      <c r="AI974" s="48"/>
    </row>
    <row r="975" spans="1:35">
      <c r="A975" s="45"/>
      <c r="B975" s="42"/>
      <c r="C975" s="45"/>
      <c r="E975" s="45"/>
      <c r="G975" s="43"/>
      <c r="H975" s="44"/>
      <c r="L975" s="42"/>
      <c r="M975" s="42"/>
      <c r="N975" s="25"/>
      <c r="O975" s="54"/>
      <c r="P975"/>
      <c r="Q975" s="25"/>
      <c r="R975" s="54"/>
      <c r="W975" s="23"/>
      <c r="X975" s="23"/>
      <c r="Y975" s="23"/>
      <c r="Z975" s="43"/>
      <c r="AA975" s="23"/>
      <c r="AB975" s="23"/>
      <c r="AC975" s="23"/>
      <c r="AD975" s="23"/>
      <c r="AE975" s="23"/>
      <c r="AF975" s="23"/>
      <c r="AG975" s="23"/>
      <c r="AH975" s="23"/>
      <c r="AI975" s="48"/>
    </row>
    <row r="976" spans="1:35">
      <c r="A976" s="23"/>
      <c r="B976" s="42"/>
      <c r="C976" s="49"/>
      <c r="E976" s="49"/>
      <c r="G976" s="43"/>
      <c r="H976" s="44"/>
      <c r="L976" s="42"/>
      <c r="M976" s="42"/>
      <c r="N976" s="25"/>
      <c r="O976" s="54"/>
      <c r="P976"/>
      <c r="Q976" s="25"/>
      <c r="R976" s="54"/>
      <c r="W976" s="23"/>
      <c r="X976" s="23"/>
      <c r="Y976" s="23"/>
      <c r="Z976" s="43"/>
      <c r="AA976" s="23"/>
      <c r="AB976" s="23"/>
      <c r="AC976" s="23"/>
      <c r="AD976" s="23"/>
      <c r="AE976" s="23"/>
      <c r="AF976" s="23"/>
      <c r="AG976" s="23"/>
      <c r="AH976" s="23"/>
      <c r="AI976" s="49"/>
    </row>
    <row r="977" spans="1:35">
      <c r="B977" s="42"/>
      <c r="G977" s="43"/>
      <c r="H977" s="44"/>
      <c r="L977" s="42"/>
      <c r="M977" s="42"/>
      <c r="N977" s="25"/>
      <c r="O977" s="54"/>
      <c r="P977"/>
      <c r="Q977" s="25"/>
      <c r="R977" s="54"/>
      <c r="W977" s="23"/>
      <c r="X977" s="23"/>
      <c r="Y977" s="23"/>
      <c r="Z977" s="43"/>
      <c r="AA977" s="23"/>
      <c r="AB977" s="23"/>
      <c r="AC977" s="23"/>
      <c r="AD977" s="23"/>
      <c r="AE977" s="23"/>
      <c r="AF977" s="23"/>
      <c r="AG977" s="23"/>
      <c r="AH977" s="23"/>
      <c r="AI977" s="48"/>
    </row>
    <row r="978" spans="1:35">
      <c r="B978" s="42"/>
      <c r="G978" s="43"/>
      <c r="H978" s="44"/>
      <c r="L978" s="42"/>
      <c r="M978" s="42"/>
      <c r="N978" s="25"/>
      <c r="O978" s="54"/>
      <c r="P978"/>
      <c r="Q978" s="25"/>
      <c r="R978" s="54"/>
      <c r="W978" s="23"/>
      <c r="X978" s="23"/>
      <c r="Y978" s="23"/>
      <c r="Z978" s="43"/>
      <c r="AA978" s="23"/>
      <c r="AB978" s="23"/>
      <c r="AC978" s="23"/>
      <c r="AD978" s="23"/>
      <c r="AE978" s="23"/>
      <c r="AF978" s="23"/>
      <c r="AG978" s="23"/>
      <c r="AH978" s="23"/>
    </row>
    <row r="979" spans="1:35">
      <c r="A979" s="23"/>
      <c r="B979" s="42"/>
      <c r="G979" s="43"/>
      <c r="H979" s="44"/>
      <c r="L979" s="42"/>
      <c r="M979" s="42"/>
      <c r="N979" s="25"/>
      <c r="O979" s="54"/>
      <c r="P979"/>
      <c r="Q979" s="25"/>
      <c r="R979" s="54"/>
      <c r="W979" s="23"/>
      <c r="X979" s="23"/>
      <c r="Y979" s="23"/>
      <c r="Z979" s="43"/>
      <c r="AA979" s="23"/>
      <c r="AB979" s="23"/>
      <c r="AC979" s="23"/>
      <c r="AD979" s="23"/>
      <c r="AE979" s="23"/>
      <c r="AF979" s="23"/>
      <c r="AG979" s="23"/>
      <c r="AH979" s="23"/>
      <c r="AI979" s="23"/>
    </row>
    <row r="980" spans="1:35">
      <c r="A980" s="23"/>
      <c r="B980" s="42"/>
      <c r="G980" s="43"/>
      <c r="H980" s="44"/>
      <c r="L980" s="42"/>
      <c r="M980" s="42"/>
      <c r="N980" s="25"/>
      <c r="O980" s="54"/>
      <c r="P980"/>
      <c r="Q980" s="25"/>
      <c r="R980" s="54"/>
      <c r="W980" s="23"/>
      <c r="X980" s="23"/>
      <c r="Y980" s="23"/>
      <c r="Z980" s="43"/>
      <c r="AA980" s="23"/>
      <c r="AB980" s="23"/>
      <c r="AC980" s="23"/>
      <c r="AD980" s="23"/>
      <c r="AE980" s="23"/>
      <c r="AF980" s="23"/>
      <c r="AG980" s="23"/>
      <c r="AH980" s="23"/>
      <c r="AI980" s="23"/>
    </row>
    <row r="981" spans="1:35">
      <c r="A981" s="23"/>
      <c r="B981" s="42"/>
      <c r="G981" s="43"/>
      <c r="H981" s="44"/>
      <c r="L981" s="42"/>
      <c r="M981" s="42"/>
      <c r="N981" s="25"/>
      <c r="O981" s="54"/>
      <c r="P981"/>
      <c r="Q981" s="25"/>
      <c r="R981" s="54"/>
      <c r="W981" s="23"/>
      <c r="X981" s="23"/>
      <c r="Y981" s="23"/>
      <c r="Z981" s="43"/>
      <c r="AA981" s="23"/>
      <c r="AB981" s="23"/>
      <c r="AC981" s="23"/>
      <c r="AD981" s="23"/>
      <c r="AE981" s="23"/>
      <c r="AF981" s="23"/>
      <c r="AG981" s="23"/>
      <c r="AH981" s="23"/>
      <c r="AI981" s="23"/>
    </row>
    <row r="982" spans="1:35">
      <c r="A982" s="23"/>
      <c r="B982" s="42"/>
      <c r="C982" s="49"/>
      <c r="E982" s="49"/>
      <c r="G982" s="43"/>
      <c r="H982" s="44"/>
      <c r="L982" s="42"/>
      <c r="M982" s="42"/>
      <c r="N982" s="25"/>
      <c r="O982" s="54"/>
      <c r="P982"/>
      <c r="Q982" s="25"/>
      <c r="R982" s="54"/>
      <c r="W982" s="23"/>
      <c r="X982" s="23"/>
      <c r="Y982" s="23"/>
      <c r="Z982" s="43"/>
      <c r="AA982" s="23"/>
      <c r="AB982" s="23"/>
      <c r="AC982" s="23"/>
      <c r="AD982" s="23"/>
      <c r="AE982" s="23"/>
      <c r="AF982" s="23"/>
      <c r="AG982" s="23"/>
      <c r="AH982" s="23"/>
      <c r="AI982" s="49"/>
    </row>
    <row r="983" spans="1:35">
      <c r="A983" s="50"/>
      <c r="B983" s="42"/>
      <c r="C983" s="49"/>
      <c r="E983" s="49"/>
      <c r="G983" s="43"/>
      <c r="H983" s="44"/>
      <c r="L983" s="42"/>
      <c r="M983" s="42"/>
      <c r="N983" s="25"/>
      <c r="O983" s="54"/>
      <c r="P983"/>
      <c r="Q983" s="25"/>
      <c r="R983" s="54"/>
      <c r="W983" s="23"/>
      <c r="X983" s="23"/>
      <c r="Y983" s="23"/>
      <c r="Z983" s="43"/>
      <c r="AA983" s="23"/>
      <c r="AB983" s="23"/>
      <c r="AC983" s="23"/>
      <c r="AD983" s="23"/>
      <c r="AE983" s="23"/>
      <c r="AF983" s="23"/>
      <c r="AG983" s="23"/>
      <c r="AH983" s="23"/>
      <c r="AI983" s="49"/>
    </row>
    <row r="984" spans="1:35">
      <c r="A984" s="23"/>
      <c r="B984" s="42"/>
      <c r="C984" s="49"/>
      <c r="E984" s="49"/>
      <c r="G984" s="43"/>
      <c r="H984" s="44"/>
      <c r="L984" s="42"/>
      <c r="M984" s="42"/>
      <c r="N984" s="25"/>
      <c r="O984" s="54"/>
      <c r="P984"/>
      <c r="Q984" s="25"/>
      <c r="R984" s="54"/>
      <c r="W984" s="23"/>
      <c r="X984" s="23"/>
      <c r="Y984" s="23"/>
      <c r="Z984" s="43"/>
      <c r="AA984" s="23"/>
      <c r="AB984" s="23"/>
      <c r="AC984" s="23"/>
      <c r="AD984" s="23"/>
      <c r="AE984" s="23"/>
      <c r="AF984" s="23"/>
      <c r="AG984" s="23"/>
      <c r="AH984" s="23"/>
      <c r="AI984" s="49"/>
    </row>
    <row r="985" spans="1:35">
      <c r="A985" s="23"/>
      <c r="B985" s="42"/>
      <c r="C985" s="49"/>
      <c r="E985" s="49"/>
      <c r="G985" s="43"/>
      <c r="H985" s="44"/>
      <c r="L985" s="42"/>
      <c r="M985" s="42"/>
      <c r="N985" s="25"/>
      <c r="O985" s="54"/>
      <c r="P985"/>
      <c r="Q985" s="25"/>
      <c r="R985" s="54"/>
      <c r="W985" s="23"/>
      <c r="X985" s="23"/>
      <c r="Y985" s="23"/>
      <c r="Z985" s="43"/>
      <c r="AA985" s="23"/>
      <c r="AB985" s="23"/>
      <c r="AC985" s="23"/>
      <c r="AD985" s="23"/>
      <c r="AE985" s="23"/>
      <c r="AF985" s="23"/>
      <c r="AG985" s="23"/>
      <c r="AH985" s="23"/>
      <c r="AI985" s="49"/>
    </row>
    <row r="986" spans="1:35">
      <c r="A986" s="50"/>
      <c r="B986" s="42"/>
      <c r="C986" s="49"/>
      <c r="E986" s="49"/>
      <c r="G986" s="43"/>
      <c r="H986" s="44"/>
      <c r="L986" s="42"/>
      <c r="M986" s="42"/>
      <c r="N986" s="25"/>
      <c r="O986" s="54"/>
      <c r="P986"/>
      <c r="Q986" s="25"/>
      <c r="R986" s="54"/>
      <c r="W986" s="23"/>
      <c r="X986" s="23"/>
      <c r="Y986" s="23"/>
      <c r="Z986" s="43"/>
      <c r="AA986" s="23"/>
      <c r="AB986" s="23"/>
      <c r="AC986" s="23"/>
      <c r="AD986" s="23"/>
      <c r="AE986" s="23"/>
      <c r="AF986" s="23"/>
      <c r="AG986" s="23"/>
      <c r="AH986" s="23"/>
      <c r="AI986" s="49"/>
    </row>
    <row r="987" spans="1:35">
      <c r="A987" s="23"/>
      <c r="B987" s="42"/>
      <c r="C987" s="49"/>
      <c r="E987" s="49"/>
      <c r="G987" s="43"/>
      <c r="H987" s="44"/>
      <c r="L987" s="42"/>
      <c r="M987" s="42"/>
      <c r="N987" s="25"/>
      <c r="O987" s="54"/>
      <c r="P987"/>
      <c r="Q987" s="25"/>
      <c r="R987" s="54"/>
      <c r="W987" s="23"/>
      <c r="X987" s="23"/>
      <c r="Y987" s="23"/>
      <c r="Z987" s="43"/>
      <c r="AA987" s="23"/>
      <c r="AB987" s="23"/>
      <c r="AC987" s="23"/>
      <c r="AD987" s="23"/>
      <c r="AE987" s="23"/>
      <c r="AF987" s="23"/>
      <c r="AG987" s="23"/>
      <c r="AH987" s="23"/>
      <c r="AI987" s="49"/>
    </row>
    <row r="988" spans="1:35">
      <c r="A988" s="23"/>
      <c r="B988" s="42"/>
      <c r="G988" s="43"/>
      <c r="H988" s="44"/>
      <c r="L988" s="42"/>
      <c r="M988" s="42"/>
      <c r="N988" s="25"/>
      <c r="O988" s="54"/>
      <c r="P988"/>
      <c r="Q988" s="25"/>
      <c r="R988" s="54"/>
      <c r="W988" s="23"/>
      <c r="X988" s="23"/>
      <c r="Y988" s="23"/>
      <c r="Z988" s="43"/>
      <c r="AA988" s="23"/>
      <c r="AB988" s="23"/>
      <c r="AC988" s="23"/>
      <c r="AD988" s="23"/>
      <c r="AE988" s="23"/>
      <c r="AF988" s="23"/>
      <c r="AG988" s="23"/>
      <c r="AH988" s="23"/>
      <c r="AI988" s="23"/>
    </row>
    <row r="989" spans="1:35">
      <c r="A989" s="23"/>
      <c r="B989" s="42"/>
      <c r="C989" s="49"/>
      <c r="E989" s="49"/>
      <c r="G989" s="43"/>
      <c r="H989" s="44"/>
      <c r="L989" s="42"/>
      <c r="M989" s="42"/>
      <c r="N989" s="25"/>
      <c r="O989" s="54"/>
      <c r="P989"/>
      <c r="Q989" s="25"/>
      <c r="R989" s="54"/>
      <c r="W989" s="23"/>
      <c r="X989" s="23"/>
      <c r="Y989" s="23"/>
      <c r="Z989" s="43"/>
      <c r="AA989" s="23"/>
      <c r="AB989" s="23"/>
      <c r="AC989" s="23"/>
      <c r="AD989" s="23"/>
      <c r="AE989" s="23"/>
      <c r="AF989" s="23"/>
      <c r="AG989" s="23"/>
      <c r="AH989" s="23"/>
      <c r="AI989" s="49"/>
    </row>
    <row r="990" spans="1:35">
      <c r="A990" s="23"/>
      <c r="B990" s="42"/>
      <c r="C990" s="49"/>
      <c r="E990" s="49"/>
      <c r="G990" s="43"/>
      <c r="H990" s="44"/>
      <c r="L990" s="42"/>
      <c r="M990" s="42"/>
      <c r="N990" s="25"/>
      <c r="O990" s="54"/>
      <c r="P990"/>
      <c r="Q990" s="25"/>
      <c r="R990" s="54"/>
      <c r="W990" s="23"/>
      <c r="X990" s="23"/>
      <c r="Y990" s="23"/>
      <c r="Z990" s="43"/>
      <c r="AA990" s="23"/>
      <c r="AB990" s="23"/>
      <c r="AC990" s="23"/>
      <c r="AD990" s="23"/>
      <c r="AE990" s="23"/>
      <c r="AF990" s="23"/>
      <c r="AG990" s="23"/>
      <c r="AH990" s="23"/>
      <c r="AI990" s="49"/>
    </row>
    <row r="991" spans="1:35">
      <c r="A991" s="23"/>
      <c r="B991" s="42"/>
      <c r="G991" s="43"/>
      <c r="H991" s="44"/>
      <c r="L991" s="42"/>
      <c r="M991" s="42"/>
      <c r="N991" s="25"/>
      <c r="O991" s="54"/>
      <c r="P991"/>
      <c r="Q991" s="25"/>
      <c r="R991" s="54"/>
      <c r="W991" s="23"/>
      <c r="X991" s="23"/>
      <c r="Y991" s="23"/>
      <c r="Z991" s="43"/>
      <c r="AA991" s="23"/>
      <c r="AB991" s="23"/>
      <c r="AC991" s="23"/>
      <c r="AD991" s="23"/>
      <c r="AE991" s="23"/>
      <c r="AF991" s="23"/>
      <c r="AG991" s="23"/>
      <c r="AH991" s="23"/>
      <c r="AI991" s="23"/>
    </row>
    <row r="992" spans="1:35">
      <c r="A992" s="23"/>
      <c r="B992" s="42"/>
      <c r="G992" s="43"/>
      <c r="H992" s="44"/>
      <c r="L992" s="42"/>
      <c r="M992" s="42"/>
      <c r="N992" s="25"/>
      <c r="O992" s="54"/>
      <c r="P992"/>
      <c r="Q992" s="25"/>
      <c r="R992" s="54"/>
      <c r="W992" s="23"/>
      <c r="X992" s="23"/>
      <c r="Y992" s="23"/>
      <c r="Z992" s="43"/>
      <c r="AA992" s="23"/>
      <c r="AB992" s="23"/>
      <c r="AC992" s="23"/>
      <c r="AD992" s="23"/>
      <c r="AE992" s="23"/>
      <c r="AF992" s="23"/>
      <c r="AG992" s="23"/>
      <c r="AH992" s="23"/>
      <c r="AI992" s="23"/>
    </row>
    <row r="993" spans="1:35">
      <c r="B993" s="42"/>
      <c r="G993" s="43"/>
      <c r="H993" s="44"/>
      <c r="L993" s="42"/>
      <c r="M993" s="42"/>
      <c r="N993" s="25"/>
      <c r="O993" s="54"/>
      <c r="P993"/>
      <c r="Q993" s="25"/>
      <c r="R993" s="54"/>
      <c r="W993" s="23"/>
      <c r="X993" s="23"/>
      <c r="Y993" s="23"/>
      <c r="Z993" s="43"/>
      <c r="AA993" s="23"/>
      <c r="AB993" s="23"/>
      <c r="AC993" s="23"/>
      <c r="AD993" s="23"/>
      <c r="AE993" s="23"/>
      <c r="AF993" s="23"/>
      <c r="AG993" s="23"/>
      <c r="AH993" s="23"/>
      <c r="AI993" s="48"/>
    </row>
    <row r="994" spans="1:35">
      <c r="B994" s="42"/>
      <c r="G994" s="43"/>
      <c r="H994" s="44"/>
      <c r="L994" s="42"/>
      <c r="M994" s="42"/>
      <c r="N994" s="25"/>
      <c r="O994" s="54"/>
      <c r="P994"/>
      <c r="Q994" s="25"/>
      <c r="R994" s="54"/>
      <c r="W994" s="23"/>
      <c r="X994" s="23"/>
      <c r="Y994" s="23"/>
      <c r="Z994" s="43"/>
      <c r="AA994" s="23"/>
      <c r="AB994" s="23"/>
      <c r="AC994" s="23"/>
      <c r="AD994" s="23"/>
      <c r="AE994" s="23"/>
      <c r="AF994" s="23"/>
      <c r="AG994" s="23"/>
      <c r="AH994" s="23"/>
      <c r="AI994" s="48"/>
    </row>
    <row r="995" spans="1:35">
      <c r="B995" s="42"/>
      <c r="G995" s="43"/>
      <c r="H995" s="44"/>
      <c r="L995" s="42"/>
      <c r="M995" s="42"/>
      <c r="N995" s="25"/>
      <c r="O995" s="54"/>
      <c r="P995"/>
      <c r="Q995" s="25"/>
      <c r="R995" s="54"/>
      <c r="W995" s="23"/>
      <c r="X995" s="23"/>
      <c r="Y995" s="23"/>
      <c r="Z995" s="43"/>
      <c r="AA995" s="23"/>
      <c r="AB995" s="23"/>
      <c r="AC995" s="23"/>
      <c r="AD995" s="23"/>
      <c r="AE995" s="23"/>
      <c r="AF995" s="23"/>
      <c r="AG995" s="23"/>
      <c r="AH995" s="23"/>
      <c r="AI995" s="48"/>
    </row>
    <row r="996" spans="1:35">
      <c r="B996" s="42"/>
      <c r="G996" s="43"/>
      <c r="H996" s="44"/>
      <c r="L996" s="42"/>
      <c r="M996" s="42"/>
      <c r="N996" s="25"/>
      <c r="O996" s="54"/>
      <c r="P996"/>
      <c r="Q996" s="25"/>
      <c r="R996" s="54"/>
      <c r="W996" s="23"/>
      <c r="X996" s="23"/>
      <c r="Y996" s="23"/>
      <c r="Z996" s="43"/>
      <c r="AA996" s="23"/>
      <c r="AB996" s="23"/>
      <c r="AC996" s="23"/>
      <c r="AD996" s="23"/>
      <c r="AE996" s="23"/>
      <c r="AF996" s="23"/>
      <c r="AG996" s="23"/>
      <c r="AH996" s="23"/>
      <c r="AI996" s="48"/>
    </row>
    <row r="997" spans="1:35">
      <c r="B997" s="42"/>
      <c r="G997" s="43"/>
      <c r="H997" s="44"/>
      <c r="L997" s="42"/>
      <c r="M997" s="42"/>
      <c r="N997" s="25"/>
      <c r="O997" s="54"/>
      <c r="P997"/>
      <c r="Q997" s="25"/>
      <c r="R997" s="54"/>
      <c r="W997" s="23"/>
      <c r="X997" s="23"/>
      <c r="Y997" s="23"/>
      <c r="Z997" s="43"/>
      <c r="AA997" s="23"/>
      <c r="AB997" s="23"/>
      <c r="AC997" s="23"/>
      <c r="AD997" s="23"/>
      <c r="AE997" s="23"/>
      <c r="AF997" s="23"/>
      <c r="AG997" s="23"/>
      <c r="AH997" s="23"/>
    </row>
    <row r="998" spans="1:35">
      <c r="B998" s="42"/>
      <c r="G998" s="43"/>
      <c r="H998" s="44"/>
      <c r="L998" s="42"/>
      <c r="M998" s="42"/>
      <c r="N998" s="25"/>
      <c r="O998" s="54"/>
      <c r="P998"/>
      <c r="Q998" s="25"/>
      <c r="R998" s="54"/>
      <c r="W998" s="23"/>
      <c r="X998" s="23"/>
      <c r="Y998" s="23"/>
      <c r="Z998" s="43"/>
      <c r="AA998" s="23"/>
      <c r="AB998" s="23"/>
      <c r="AC998" s="23"/>
      <c r="AD998" s="23"/>
      <c r="AE998" s="23"/>
      <c r="AF998" s="23"/>
      <c r="AG998" s="23"/>
      <c r="AH998" s="23"/>
      <c r="AI998" s="48"/>
    </row>
    <row r="999" spans="1:35">
      <c r="B999" s="42"/>
      <c r="G999" s="43"/>
      <c r="H999" s="44"/>
      <c r="L999" s="42"/>
      <c r="M999" s="42"/>
      <c r="N999" s="25"/>
      <c r="O999" s="54"/>
      <c r="P999"/>
      <c r="Q999" s="25"/>
      <c r="R999" s="54"/>
      <c r="W999" s="23"/>
      <c r="X999" s="23"/>
      <c r="Y999" s="23"/>
      <c r="Z999" s="43"/>
      <c r="AA999" s="23"/>
      <c r="AB999" s="23"/>
      <c r="AC999" s="23"/>
      <c r="AD999" s="23"/>
      <c r="AE999" s="23"/>
      <c r="AF999" s="23"/>
      <c r="AG999" s="23"/>
      <c r="AH999" s="23"/>
      <c r="AI999" s="48"/>
    </row>
    <row r="1000" spans="1:35">
      <c r="B1000" s="42"/>
      <c r="G1000" s="43"/>
      <c r="H1000" s="44"/>
      <c r="L1000" s="42"/>
      <c r="M1000" s="42"/>
      <c r="N1000" s="25"/>
      <c r="O1000" s="54"/>
      <c r="P1000"/>
      <c r="Q1000" s="25"/>
      <c r="R1000" s="54"/>
      <c r="W1000" s="23"/>
      <c r="X1000" s="23"/>
      <c r="Y1000" s="23"/>
      <c r="Z1000" s="43"/>
      <c r="AA1000" s="23"/>
      <c r="AB1000" s="23"/>
      <c r="AC1000" s="23"/>
      <c r="AD1000" s="23"/>
      <c r="AE1000" s="23"/>
      <c r="AF1000" s="23"/>
      <c r="AG1000" s="23"/>
      <c r="AH1000" s="23"/>
      <c r="AI1000" s="48"/>
    </row>
    <row r="1001" spans="1:35">
      <c r="B1001" s="42"/>
      <c r="G1001" s="43"/>
      <c r="H1001" s="44"/>
      <c r="L1001" s="42"/>
      <c r="M1001" s="42"/>
      <c r="N1001" s="25"/>
      <c r="O1001" s="54"/>
      <c r="P1001"/>
      <c r="Q1001" s="25"/>
      <c r="R1001" s="54"/>
      <c r="W1001" s="23"/>
      <c r="X1001" s="23"/>
      <c r="Y1001" s="23"/>
      <c r="Z1001" s="43"/>
      <c r="AA1001" s="23"/>
      <c r="AB1001" s="23"/>
      <c r="AC1001" s="23"/>
      <c r="AD1001" s="23"/>
      <c r="AE1001" s="23"/>
      <c r="AF1001" s="23"/>
      <c r="AG1001" s="23"/>
      <c r="AH1001" s="23"/>
      <c r="AI1001" s="48"/>
    </row>
    <row r="1002" spans="1:35">
      <c r="B1002" s="42"/>
      <c r="G1002" s="43"/>
      <c r="H1002" s="44"/>
      <c r="L1002" s="42"/>
      <c r="M1002" s="42"/>
      <c r="N1002" s="25"/>
      <c r="O1002" s="54"/>
      <c r="P1002"/>
      <c r="Q1002" s="25"/>
      <c r="R1002" s="54"/>
      <c r="W1002" s="23"/>
      <c r="X1002" s="23"/>
      <c r="Y1002" s="23"/>
      <c r="Z1002" s="43"/>
      <c r="AA1002" s="23"/>
      <c r="AB1002" s="23"/>
      <c r="AC1002" s="23"/>
      <c r="AD1002" s="23"/>
      <c r="AE1002" s="23"/>
      <c r="AF1002" s="23"/>
      <c r="AG1002" s="23"/>
      <c r="AH1002" s="23"/>
      <c r="AI1002" s="48"/>
    </row>
    <row r="1003" spans="1:35">
      <c r="A1003" s="45"/>
      <c r="B1003" s="42"/>
      <c r="C1003" s="45"/>
      <c r="E1003" s="45"/>
      <c r="G1003" s="43"/>
      <c r="H1003" s="44"/>
      <c r="L1003" s="42"/>
      <c r="M1003" s="42"/>
      <c r="N1003" s="25"/>
      <c r="O1003" s="54"/>
      <c r="P1003"/>
      <c r="Q1003" s="25"/>
      <c r="R1003" s="54"/>
      <c r="W1003" s="23"/>
      <c r="X1003" s="23"/>
      <c r="Y1003" s="23"/>
      <c r="Z1003" s="43"/>
      <c r="AA1003" s="23"/>
      <c r="AB1003" s="23"/>
      <c r="AC1003" s="23"/>
      <c r="AD1003" s="23"/>
      <c r="AE1003" s="23"/>
      <c r="AF1003" s="23"/>
      <c r="AG1003" s="23"/>
      <c r="AH1003" s="23"/>
      <c r="AI1003" s="48"/>
    </row>
    <row r="1004" spans="1:35">
      <c r="A1004" s="45"/>
      <c r="B1004" s="42"/>
      <c r="C1004" s="45"/>
      <c r="E1004" s="45"/>
      <c r="G1004" s="43"/>
      <c r="H1004" s="44"/>
      <c r="L1004" s="42"/>
      <c r="M1004" s="42"/>
      <c r="N1004" s="25"/>
      <c r="O1004" s="54"/>
      <c r="P1004"/>
      <c r="Q1004" s="25"/>
      <c r="R1004" s="54"/>
      <c r="W1004" s="23"/>
      <c r="X1004" s="23"/>
      <c r="Y1004" s="23"/>
      <c r="Z1004" s="43"/>
      <c r="AA1004" s="23"/>
      <c r="AB1004" s="23"/>
      <c r="AC1004" s="23"/>
      <c r="AD1004" s="23"/>
      <c r="AE1004" s="23"/>
      <c r="AF1004" s="23"/>
      <c r="AG1004" s="23"/>
      <c r="AH1004" s="23"/>
      <c r="AI1004" s="48"/>
    </row>
    <row r="1005" spans="1:35">
      <c r="A1005" s="45"/>
      <c r="B1005" s="42"/>
      <c r="C1005" s="45"/>
      <c r="E1005" s="45"/>
      <c r="G1005" s="43"/>
      <c r="H1005" s="44"/>
      <c r="L1005" s="42"/>
      <c r="M1005" s="42"/>
      <c r="N1005" s="25"/>
      <c r="O1005" s="54"/>
      <c r="P1005"/>
      <c r="Q1005" s="25"/>
      <c r="R1005" s="54"/>
      <c r="W1005" s="23"/>
      <c r="X1005" s="23"/>
      <c r="Y1005" s="23"/>
      <c r="Z1005" s="43"/>
      <c r="AA1005" s="23"/>
      <c r="AB1005" s="23"/>
      <c r="AC1005" s="23"/>
      <c r="AD1005" s="23"/>
      <c r="AE1005" s="23"/>
      <c r="AF1005" s="23"/>
      <c r="AG1005" s="23"/>
      <c r="AH1005" s="23"/>
      <c r="AI1005" s="48"/>
    </row>
    <row r="1006" spans="1:35">
      <c r="A1006" s="45"/>
      <c r="B1006" s="42"/>
      <c r="C1006" s="45"/>
      <c r="E1006" s="45"/>
      <c r="G1006" s="43"/>
      <c r="H1006" s="44"/>
      <c r="L1006" s="42"/>
      <c r="M1006" s="42"/>
      <c r="N1006" s="25"/>
      <c r="O1006" s="54"/>
      <c r="P1006"/>
      <c r="Q1006" s="25"/>
      <c r="R1006" s="54"/>
      <c r="W1006" s="23"/>
      <c r="X1006" s="23"/>
      <c r="Y1006" s="23"/>
      <c r="Z1006" s="43"/>
      <c r="AA1006" s="23"/>
      <c r="AB1006" s="23"/>
      <c r="AC1006" s="23"/>
      <c r="AD1006" s="23"/>
      <c r="AE1006" s="23"/>
      <c r="AF1006" s="23"/>
      <c r="AG1006" s="23"/>
      <c r="AH1006" s="23"/>
      <c r="AI1006" s="48"/>
    </row>
    <row r="1007" spans="1:35">
      <c r="A1007" s="45"/>
      <c r="B1007" s="42"/>
      <c r="C1007" s="45"/>
      <c r="E1007" s="45"/>
      <c r="G1007" s="43"/>
      <c r="H1007" s="44"/>
      <c r="L1007" s="42"/>
      <c r="M1007" s="42"/>
      <c r="N1007" s="25"/>
      <c r="O1007" s="54"/>
      <c r="P1007"/>
      <c r="Q1007" s="25"/>
      <c r="R1007" s="54"/>
      <c r="W1007" s="23"/>
      <c r="X1007" s="23"/>
      <c r="Y1007" s="23"/>
      <c r="Z1007" s="43"/>
      <c r="AA1007" s="23"/>
      <c r="AB1007" s="23"/>
      <c r="AC1007" s="23"/>
      <c r="AD1007" s="23"/>
      <c r="AE1007" s="23"/>
      <c r="AF1007" s="23"/>
      <c r="AG1007" s="23"/>
      <c r="AH1007" s="23"/>
      <c r="AI1007" s="48"/>
    </row>
    <row r="1008" spans="1:35">
      <c r="A1008" s="45"/>
      <c r="B1008" s="42"/>
      <c r="C1008" s="45"/>
      <c r="E1008" s="45"/>
      <c r="G1008" s="43"/>
      <c r="H1008" s="44"/>
      <c r="L1008" s="42"/>
      <c r="M1008" s="42"/>
      <c r="N1008" s="25"/>
      <c r="O1008" s="54"/>
      <c r="P1008"/>
      <c r="Q1008" s="25"/>
      <c r="R1008" s="54"/>
      <c r="W1008" s="23"/>
      <c r="X1008" s="23"/>
      <c r="Y1008" s="23"/>
      <c r="Z1008" s="43"/>
      <c r="AA1008" s="23"/>
      <c r="AB1008" s="23"/>
      <c r="AC1008" s="23"/>
      <c r="AD1008" s="23"/>
      <c r="AE1008" s="23"/>
      <c r="AF1008" s="23"/>
      <c r="AG1008" s="23"/>
      <c r="AH1008" s="23"/>
      <c r="AI1008" s="48"/>
    </row>
    <row r="1009" spans="1:35">
      <c r="A1009" s="45"/>
      <c r="B1009" s="42"/>
      <c r="C1009" s="45"/>
      <c r="E1009" s="45"/>
      <c r="G1009" s="43"/>
      <c r="H1009" s="44"/>
      <c r="L1009" s="42"/>
      <c r="M1009" s="42"/>
      <c r="N1009" s="25"/>
      <c r="O1009" s="54"/>
      <c r="P1009"/>
      <c r="Q1009" s="25"/>
      <c r="R1009" s="54"/>
      <c r="W1009" s="23"/>
      <c r="X1009" s="23"/>
      <c r="Y1009" s="23"/>
      <c r="Z1009" s="43"/>
      <c r="AA1009" s="23"/>
      <c r="AB1009" s="23"/>
      <c r="AC1009" s="23"/>
      <c r="AD1009" s="23"/>
      <c r="AE1009" s="23"/>
      <c r="AF1009" s="23"/>
      <c r="AG1009" s="23"/>
      <c r="AH1009" s="23"/>
      <c r="AI1009" s="48"/>
    </row>
    <row r="1010" spans="1:35">
      <c r="A1010" s="45"/>
      <c r="B1010" s="42"/>
      <c r="C1010" s="45"/>
      <c r="E1010" s="45"/>
      <c r="G1010" s="43"/>
      <c r="H1010" s="44"/>
      <c r="L1010" s="42"/>
      <c r="M1010" s="42"/>
      <c r="N1010" s="25"/>
      <c r="O1010" s="54"/>
      <c r="P1010"/>
      <c r="Q1010" s="25"/>
      <c r="R1010" s="54"/>
      <c r="W1010" s="23"/>
      <c r="X1010" s="23"/>
      <c r="Y1010" s="23"/>
      <c r="Z1010" s="43"/>
      <c r="AA1010" s="23"/>
      <c r="AB1010" s="23"/>
      <c r="AC1010" s="23"/>
      <c r="AD1010" s="23"/>
      <c r="AE1010" s="23"/>
      <c r="AF1010" s="23"/>
      <c r="AG1010" s="23"/>
      <c r="AH1010" s="23"/>
      <c r="AI1010" s="48"/>
    </row>
    <row r="1011" spans="1:35">
      <c r="A1011" s="45"/>
      <c r="B1011" s="42"/>
      <c r="C1011" s="45"/>
      <c r="E1011" s="45"/>
      <c r="G1011" s="43"/>
      <c r="H1011" s="44"/>
      <c r="L1011" s="42"/>
      <c r="M1011" s="42"/>
      <c r="N1011" s="25"/>
      <c r="O1011" s="54"/>
      <c r="P1011"/>
      <c r="Q1011" s="25"/>
      <c r="R1011" s="54"/>
      <c r="W1011" s="23"/>
      <c r="X1011" s="23"/>
      <c r="Y1011" s="23"/>
      <c r="Z1011" s="43"/>
      <c r="AA1011" s="23"/>
      <c r="AB1011" s="23"/>
      <c r="AC1011" s="23"/>
      <c r="AD1011" s="23"/>
      <c r="AE1011" s="23"/>
      <c r="AF1011" s="23"/>
      <c r="AG1011" s="23"/>
      <c r="AH1011" s="23"/>
      <c r="AI1011" s="48"/>
    </row>
    <row r="1012" spans="1:35">
      <c r="A1012" s="45"/>
      <c r="B1012" s="42"/>
      <c r="C1012" s="45"/>
      <c r="E1012" s="45"/>
      <c r="G1012" s="43"/>
      <c r="H1012" s="44"/>
      <c r="L1012" s="42"/>
      <c r="M1012" s="42"/>
      <c r="N1012" s="25"/>
      <c r="O1012" s="54"/>
      <c r="P1012"/>
      <c r="Q1012" s="25"/>
      <c r="R1012" s="54"/>
      <c r="W1012" s="23"/>
      <c r="X1012" s="23"/>
      <c r="Y1012" s="23"/>
      <c r="Z1012" s="43"/>
      <c r="AA1012" s="23"/>
      <c r="AB1012" s="23"/>
      <c r="AC1012" s="23"/>
      <c r="AD1012" s="23"/>
      <c r="AE1012" s="23"/>
      <c r="AF1012" s="23"/>
      <c r="AG1012" s="23"/>
      <c r="AH1012" s="23"/>
      <c r="AI1012" s="48"/>
    </row>
    <row r="1013" spans="1:35">
      <c r="A1013" s="45"/>
      <c r="B1013" s="42"/>
      <c r="C1013" s="45"/>
      <c r="E1013" s="45"/>
      <c r="G1013" s="43"/>
      <c r="H1013" s="44"/>
      <c r="L1013" s="42"/>
      <c r="M1013" s="42"/>
      <c r="N1013" s="25"/>
      <c r="O1013" s="54"/>
      <c r="P1013"/>
      <c r="Q1013" s="25"/>
      <c r="R1013" s="54"/>
      <c r="W1013" s="23"/>
      <c r="X1013" s="23"/>
      <c r="Y1013" s="23"/>
      <c r="Z1013" s="43"/>
      <c r="AA1013" s="23"/>
      <c r="AB1013" s="23"/>
      <c r="AC1013" s="23"/>
      <c r="AD1013" s="23"/>
      <c r="AE1013" s="23"/>
      <c r="AF1013" s="23"/>
      <c r="AG1013" s="23"/>
      <c r="AH1013" s="23"/>
      <c r="AI1013" s="48"/>
    </row>
    <row r="1014" spans="1:35">
      <c r="A1014" s="45"/>
      <c r="B1014" s="42"/>
      <c r="C1014" s="45"/>
      <c r="E1014" s="45"/>
      <c r="G1014" s="43"/>
      <c r="H1014" s="44"/>
      <c r="L1014" s="42"/>
      <c r="M1014" s="42"/>
      <c r="N1014" s="25"/>
      <c r="O1014" s="54"/>
      <c r="P1014"/>
      <c r="Q1014" s="25"/>
      <c r="R1014" s="54"/>
      <c r="W1014" s="23"/>
      <c r="X1014" s="23"/>
      <c r="Y1014" s="23"/>
      <c r="Z1014" s="43"/>
      <c r="AA1014" s="23"/>
      <c r="AB1014" s="23"/>
      <c r="AC1014" s="23"/>
      <c r="AD1014" s="23"/>
      <c r="AE1014" s="23"/>
      <c r="AF1014" s="23"/>
      <c r="AG1014" s="23"/>
      <c r="AH1014" s="23"/>
      <c r="AI1014" s="48"/>
    </row>
    <row r="1015" spans="1:35">
      <c r="A1015" s="45"/>
      <c r="B1015" s="42"/>
      <c r="C1015" s="45"/>
      <c r="E1015" s="45"/>
      <c r="G1015" s="43"/>
      <c r="H1015" s="44"/>
      <c r="L1015" s="42"/>
      <c r="M1015" s="42"/>
      <c r="N1015" s="25"/>
      <c r="O1015" s="54"/>
      <c r="P1015"/>
      <c r="Q1015" s="25"/>
      <c r="R1015" s="54"/>
      <c r="W1015" s="23"/>
      <c r="X1015" s="23"/>
      <c r="Y1015" s="23"/>
      <c r="Z1015" s="43"/>
      <c r="AA1015" s="23"/>
      <c r="AB1015" s="23"/>
      <c r="AC1015" s="23"/>
      <c r="AD1015" s="23"/>
      <c r="AE1015" s="23"/>
      <c r="AF1015" s="23"/>
      <c r="AG1015" s="23"/>
      <c r="AH1015" s="23"/>
      <c r="AI1015" s="48"/>
    </row>
    <row r="1016" spans="1:35">
      <c r="A1016" s="45"/>
      <c r="B1016" s="42"/>
      <c r="C1016" s="45"/>
      <c r="E1016" s="45"/>
      <c r="G1016" s="43"/>
      <c r="H1016" s="44"/>
      <c r="L1016" s="42"/>
      <c r="M1016" s="42"/>
      <c r="N1016" s="25"/>
      <c r="O1016" s="54"/>
      <c r="P1016"/>
      <c r="Q1016" s="25"/>
      <c r="R1016" s="54"/>
      <c r="W1016" s="23"/>
      <c r="X1016" s="23"/>
      <c r="Y1016" s="23"/>
      <c r="Z1016" s="43"/>
      <c r="AA1016" s="23"/>
      <c r="AB1016" s="23"/>
      <c r="AC1016" s="23"/>
      <c r="AD1016" s="23"/>
      <c r="AE1016" s="23"/>
      <c r="AF1016" s="23"/>
      <c r="AG1016" s="23"/>
      <c r="AH1016" s="23"/>
      <c r="AI1016" s="48"/>
    </row>
    <row r="1017" spans="1:35">
      <c r="A1017" s="45"/>
      <c r="B1017" s="42"/>
      <c r="C1017" s="45"/>
      <c r="E1017" s="45"/>
      <c r="G1017" s="43"/>
      <c r="H1017" s="44"/>
      <c r="L1017" s="42"/>
      <c r="M1017" s="42"/>
      <c r="N1017" s="25"/>
      <c r="O1017" s="54"/>
      <c r="P1017"/>
      <c r="Q1017" s="25"/>
      <c r="R1017" s="54"/>
      <c r="W1017" s="23"/>
      <c r="X1017" s="23"/>
      <c r="Y1017" s="23"/>
      <c r="Z1017" s="43"/>
      <c r="AA1017" s="23"/>
      <c r="AB1017" s="23"/>
      <c r="AC1017" s="23"/>
      <c r="AD1017" s="23"/>
      <c r="AE1017" s="23"/>
      <c r="AF1017" s="23"/>
      <c r="AG1017" s="23"/>
      <c r="AH1017" s="23"/>
      <c r="AI1017" s="48"/>
    </row>
    <row r="1018" spans="1:35">
      <c r="A1018" s="45"/>
      <c r="B1018" s="42"/>
      <c r="C1018" s="45"/>
      <c r="E1018" s="45"/>
      <c r="G1018" s="43"/>
      <c r="H1018" s="44"/>
      <c r="L1018" s="42"/>
      <c r="M1018" s="42"/>
      <c r="N1018" s="25"/>
      <c r="O1018" s="54"/>
      <c r="P1018"/>
      <c r="Q1018" s="25"/>
      <c r="R1018" s="54"/>
      <c r="W1018" s="23"/>
      <c r="X1018" s="23"/>
      <c r="Y1018" s="23"/>
      <c r="Z1018" s="43"/>
      <c r="AA1018" s="23"/>
      <c r="AB1018" s="23"/>
      <c r="AC1018" s="23"/>
      <c r="AD1018" s="23"/>
      <c r="AE1018" s="23"/>
      <c r="AF1018" s="23"/>
      <c r="AG1018" s="23"/>
      <c r="AH1018" s="23"/>
      <c r="AI1018" s="48"/>
    </row>
    <row r="1019" spans="1:35">
      <c r="A1019" s="45"/>
      <c r="B1019" s="42"/>
      <c r="C1019" s="45"/>
      <c r="E1019" s="45"/>
      <c r="G1019" s="43"/>
      <c r="H1019" s="44"/>
      <c r="L1019" s="42"/>
      <c r="M1019" s="42"/>
      <c r="N1019" s="25"/>
      <c r="O1019" s="54"/>
      <c r="P1019"/>
      <c r="Q1019" s="25"/>
      <c r="R1019" s="54"/>
      <c r="W1019" s="23"/>
      <c r="X1019" s="23"/>
      <c r="Y1019" s="23"/>
      <c r="Z1019" s="43"/>
      <c r="AA1019" s="23"/>
      <c r="AB1019" s="23"/>
      <c r="AC1019" s="23"/>
      <c r="AD1019" s="23"/>
      <c r="AE1019" s="23"/>
      <c r="AF1019" s="23"/>
      <c r="AG1019" s="23"/>
      <c r="AH1019" s="23"/>
      <c r="AI1019" s="48"/>
    </row>
    <row r="1020" spans="1:35">
      <c r="A1020" s="45"/>
      <c r="B1020" s="42"/>
      <c r="C1020" s="45"/>
      <c r="E1020" s="45"/>
      <c r="G1020" s="43"/>
      <c r="H1020" s="44"/>
      <c r="L1020" s="42"/>
      <c r="M1020" s="42"/>
      <c r="N1020" s="25"/>
      <c r="O1020" s="54"/>
      <c r="P1020"/>
      <c r="Q1020" s="25"/>
      <c r="R1020" s="54"/>
      <c r="W1020" s="23"/>
      <c r="X1020" s="23"/>
      <c r="Y1020" s="23"/>
      <c r="Z1020" s="43"/>
      <c r="AA1020" s="23"/>
      <c r="AB1020" s="23"/>
      <c r="AC1020" s="23"/>
      <c r="AD1020" s="23"/>
      <c r="AE1020" s="23"/>
      <c r="AF1020" s="23"/>
      <c r="AG1020" s="23"/>
      <c r="AH1020" s="23"/>
      <c r="AI1020" s="48"/>
    </row>
    <row r="1021" spans="1:35">
      <c r="A1021" s="45"/>
      <c r="B1021" s="42"/>
      <c r="C1021" s="45"/>
      <c r="E1021" s="45"/>
      <c r="G1021" s="43"/>
      <c r="H1021" s="44"/>
      <c r="L1021" s="42"/>
      <c r="M1021" s="42"/>
      <c r="N1021" s="25"/>
      <c r="O1021" s="54"/>
      <c r="P1021"/>
      <c r="Q1021" s="25"/>
      <c r="R1021" s="54"/>
      <c r="W1021" s="23"/>
      <c r="X1021" s="23"/>
      <c r="Y1021" s="23"/>
      <c r="Z1021" s="43"/>
      <c r="AA1021" s="23"/>
      <c r="AB1021" s="23"/>
      <c r="AC1021" s="23"/>
      <c r="AD1021" s="23"/>
      <c r="AE1021" s="23"/>
      <c r="AF1021" s="23"/>
      <c r="AG1021" s="23"/>
      <c r="AH1021" s="23"/>
      <c r="AI1021" s="48"/>
    </row>
    <row r="1022" spans="1:35">
      <c r="A1022" s="45"/>
      <c r="B1022" s="42"/>
      <c r="C1022" s="45"/>
      <c r="E1022" s="45"/>
      <c r="G1022" s="43"/>
      <c r="H1022" s="44"/>
      <c r="L1022" s="42"/>
      <c r="M1022" s="42"/>
      <c r="N1022" s="25"/>
      <c r="O1022" s="54"/>
      <c r="P1022"/>
      <c r="Q1022" s="25"/>
      <c r="R1022" s="54"/>
      <c r="W1022" s="23"/>
      <c r="X1022" s="23"/>
      <c r="Y1022" s="23"/>
      <c r="Z1022" s="43"/>
      <c r="AA1022" s="23"/>
      <c r="AB1022" s="23"/>
      <c r="AC1022" s="23"/>
      <c r="AD1022" s="23"/>
      <c r="AE1022" s="23"/>
      <c r="AF1022" s="23"/>
      <c r="AG1022" s="23"/>
      <c r="AH1022" s="23"/>
      <c r="AI1022" s="48"/>
    </row>
    <row r="1023" spans="1:35">
      <c r="A1023" s="45"/>
      <c r="B1023" s="42"/>
      <c r="C1023" s="45"/>
      <c r="E1023" s="45"/>
      <c r="G1023" s="43"/>
      <c r="H1023" s="44"/>
      <c r="L1023" s="42"/>
      <c r="M1023" s="42"/>
      <c r="N1023" s="25"/>
      <c r="O1023" s="54"/>
      <c r="P1023"/>
      <c r="Q1023" s="25"/>
      <c r="R1023" s="54"/>
      <c r="W1023" s="23"/>
      <c r="X1023" s="23"/>
      <c r="Y1023" s="23"/>
      <c r="Z1023" s="43"/>
      <c r="AA1023" s="23"/>
      <c r="AB1023" s="23"/>
      <c r="AC1023" s="23"/>
      <c r="AD1023" s="23"/>
      <c r="AE1023" s="23"/>
      <c r="AF1023" s="23"/>
      <c r="AG1023" s="23"/>
      <c r="AH1023" s="23"/>
      <c r="AI1023" s="48"/>
    </row>
    <row r="1024" spans="1:35">
      <c r="A1024" s="45"/>
      <c r="B1024" s="42"/>
      <c r="C1024" s="45"/>
      <c r="E1024" s="45"/>
      <c r="G1024" s="43"/>
      <c r="H1024" s="44"/>
      <c r="L1024" s="42"/>
      <c r="M1024" s="42"/>
      <c r="N1024" s="25"/>
      <c r="O1024" s="54"/>
      <c r="P1024"/>
      <c r="Q1024" s="25"/>
      <c r="R1024" s="54"/>
      <c r="W1024" s="23"/>
      <c r="X1024" s="23"/>
      <c r="Y1024" s="23"/>
      <c r="Z1024" s="43"/>
      <c r="AA1024" s="23"/>
      <c r="AB1024" s="23"/>
      <c r="AC1024" s="23"/>
      <c r="AD1024" s="23"/>
      <c r="AE1024" s="23"/>
      <c r="AF1024" s="23"/>
      <c r="AG1024" s="23"/>
      <c r="AH1024" s="23"/>
      <c r="AI1024" s="48"/>
    </row>
    <row r="1025" spans="1:35">
      <c r="A1025" s="45"/>
      <c r="B1025" s="42"/>
      <c r="C1025" s="45"/>
      <c r="E1025" s="45"/>
      <c r="G1025" s="43"/>
      <c r="H1025" s="44"/>
      <c r="L1025" s="42"/>
      <c r="M1025" s="42"/>
      <c r="N1025" s="25"/>
      <c r="O1025" s="54"/>
      <c r="P1025"/>
      <c r="Q1025" s="25"/>
      <c r="R1025" s="54"/>
      <c r="W1025" s="23"/>
      <c r="X1025" s="23"/>
      <c r="Y1025" s="23"/>
      <c r="Z1025" s="43"/>
      <c r="AA1025" s="23"/>
      <c r="AB1025" s="23"/>
      <c r="AC1025" s="23"/>
      <c r="AD1025" s="23"/>
      <c r="AE1025" s="23"/>
      <c r="AF1025" s="23"/>
      <c r="AG1025" s="23"/>
      <c r="AH1025" s="23"/>
      <c r="AI1025" s="48"/>
    </row>
    <row r="1026" spans="1:35">
      <c r="A1026" s="45"/>
      <c r="B1026" s="42"/>
      <c r="C1026" s="45"/>
      <c r="E1026" s="45"/>
      <c r="G1026" s="43"/>
      <c r="H1026" s="44"/>
      <c r="L1026" s="42"/>
      <c r="M1026" s="42"/>
      <c r="N1026" s="25"/>
      <c r="O1026" s="54"/>
      <c r="P1026"/>
      <c r="Q1026" s="25"/>
      <c r="R1026" s="54"/>
      <c r="W1026" s="23"/>
      <c r="X1026" s="23"/>
      <c r="Y1026" s="23"/>
      <c r="Z1026" s="43"/>
      <c r="AA1026" s="23"/>
      <c r="AB1026" s="23"/>
      <c r="AC1026" s="23"/>
      <c r="AD1026" s="23"/>
      <c r="AE1026" s="23"/>
      <c r="AF1026" s="23"/>
      <c r="AG1026" s="23"/>
      <c r="AH1026" s="23"/>
      <c r="AI1026" s="48"/>
    </row>
    <row r="1027" spans="1:35">
      <c r="A1027" s="45"/>
      <c r="B1027" s="42"/>
      <c r="C1027" s="45"/>
      <c r="E1027" s="45"/>
      <c r="G1027" s="43"/>
      <c r="H1027" s="44"/>
      <c r="L1027" s="42"/>
      <c r="M1027" s="42"/>
      <c r="N1027" s="25"/>
      <c r="O1027" s="54"/>
      <c r="P1027"/>
      <c r="Q1027" s="25"/>
      <c r="R1027" s="54"/>
      <c r="W1027" s="23"/>
      <c r="X1027" s="23"/>
      <c r="Y1027" s="23"/>
      <c r="Z1027" s="43"/>
      <c r="AA1027" s="23"/>
      <c r="AB1027" s="23"/>
      <c r="AC1027" s="23"/>
      <c r="AD1027" s="23"/>
      <c r="AE1027" s="23"/>
      <c r="AF1027" s="23"/>
      <c r="AG1027" s="23"/>
      <c r="AH1027" s="23"/>
      <c r="AI1027" s="48"/>
    </row>
    <row r="1028" spans="1:35">
      <c r="A1028" s="45"/>
      <c r="B1028" s="42"/>
      <c r="C1028" s="45"/>
      <c r="E1028" s="45"/>
      <c r="G1028" s="43"/>
      <c r="H1028" s="44"/>
      <c r="L1028" s="42"/>
      <c r="M1028" s="42"/>
      <c r="N1028" s="25"/>
      <c r="O1028" s="54"/>
      <c r="P1028"/>
      <c r="Q1028" s="25"/>
      <c r="R1028" s="54"/>
      <c r="W1028" s="23"/>
      <c r="X1028" s="23"/>
      <c r="Y1028" s="23"/>
      <c r="Z1028" s="43"/>
      <c r="AA1028" s="23"/>
      <c r="AB1028" s="23"/>
      <c r="AC1028" s="23"/>
      <c r="AD1028" s="23"/>
      <c r="AE1028" s="23"/>
      <c r="AF1028" s="23"/>
      <c r="AG1028" s="23"/>
      <c r="AH1028" s="23"/>
      <c r="AI1028" s="48"/>
    </row>
    <row r="1029" spans="1:35">
      <c r="A1029" s="45"/>
      <c r="B1029" s="42"/>
      <c r="C1029" s="45"/>
      <c r="E1029" s="45"/>
      <c r="G1029" s="43"/>
      <c r="H1029" s="44"/>
      <c r="L1029" s="42"/>
      <c r="M1029" s="42"/>
      <c r="N1029" s="25"/>
      <c r="O1029" s="54"/>
      <c r="P1029"/>
      <c r="Q1029" s="25"/>
      <c r="R1029" s="54"/>
      <c r="W1029" s="23"/>
      <c r="X1029" s="23"/>
      <c r="Y1029" s="23"/>
      <c r="Z1029" s="43"/>
      <c r="AA1029" s="23"/>
      <c r="AB1029" s="23"/>
      <c r="AC1029" s="23"/>
      <c r="AD1029" s="23"/>
      <c r="AE1029" s="23"/>
      <c r="AF1029" s="23"/>
      <c r="AG1029" s="23"/>
      <c r="AH1029" s="23"/>
      <c r="AI1029" s="48"/>
    </row>
    <row r="1030" spans="1:35">
      <c r="A1030" s="45"/>
      <c r="B1030" s="42"/>
      <c r="C1030" s="45"/>
      <c r="E1030" s="45"/>
      <c r="G1030" s="43"/>
      <c r="H1030" s="44"/>
      <c r="L1030" s="42"/>
      <c r="M1030" s="42"/>
      <c r="N1030" s="25"/>
      <c r="O1030" s="54"/>
      <c r="P1030"/>
      <c r="Q1030" s="25"/>
      <c r="R1030" s="54"/>
      <c r="W1030" s="23"/>
      <c r="X1030" s="23"/>
      <c r="Y1030" s="23"/>
      <c r="Z1030" s="43"/>
      <c r="AA1030" s="23"/>
      <c r="AB1030" s="23"/>
      <c r="AC1030" s="23"/>
      <c r="AD1030" s="23"/>
      <c r="AE1030" s="23"/>
      <c r="AF1030" s="23"/>
      <c r="AG1030" s="23"/>
      <c r="AH1030" s="23"/>
      <c r="AI1030" s="48"/>
    </row>
    <row r="1031" spans="1:35">
      <c r="A1031" s="45"/>
      <c r="B1031" s="42"/>
      <c r="C1031" s="45"/>
      <c r="E1031" s="45"/>
      <c r="G1031" s="43"/>
      <c r="H1031" s="44"/>
      <c r="L1031" s="42"/>
      <c r="M1031" s="42"/>
      <c r="N1031" s="25"/>
      <c r="O1031" s="54"/>
      <c r="P1031"/>
      <c r="Q1031" s="25"/>
      <c r="R1031" s="54"/>
      <c r="W1031" s="23"/>
      <c r="X1031" s="23"/>
      <c r="Y1031" s="23"/>
      <c r="Z1031" s="43"/>
      <c r="AA1031" s="23"/>
      <c r="AB1031" s="23"/>
      <c r="AC1031" s="23"/>
      <c r="AD1031" s="23"/>
      <c r="AE1031" s="23"/>
      <c r="AF1031" s="23"/>
      <c r="AG1031" s="23"/>
      <c r="AH1031" s="23"/>
      <c r="AI1031" s="48"/>
    </row>
    <row r="1032" spans="1:35">
      <c r="A1032" s="45"/>
      <c r="B1032" s="42"/>
      <c r="C1032" s="45"/>
      <c r="E1032" s="45"/>
      <c r="G1032" s="43"/>
      <c r="H1032" s="44"/>
      <c r="L1032" s="42"/>
      <c r="M1032" s="42"/>
      <c r="N1032" s="25"/>
      <c r="O1032" s="54"/>
      <c r="P1032"/>
      <c r="Q1032" s="25"/>
      <c r="R1032" s="54"/>
      <c r="W1032" s="23"/>
      <c r="X1032" s="23"/>
      <c r="Y1032" s="23"/>
      <c r="Z1032" s="43"/>
      <c r="AA1032" s="23"/>
      <c r="AB1032" s="23"/>
      <c r="AC1032" s="23"/>
      <c r="AD1032" s="23"/>
      <c r="AE1032" s="23"/>
      <c r="AF1032" s="23"/>
      <c r="AG1032" s="23"/>
      <c r="AH1032" s="23"/>
      <c r="AI1032" s="48"/>
    </row>
    <row r="1033" spans="1:35">
      <c r="A1033" s="45"/>
      <c r="B1033" s="42"/>
      <c r="C1033" s="45"/>
      <c r="E1033" s="45"/>
      <c r="G1033" s="43"/>
      <c r="H1033" s="44"/>
      <c r="L1033" s="42"/>
      <c r="M1033" s="42"/>
      <c r="N1033" s="25"/>
      <c r="O1033" s="54"/>
      <c r="P1033"/>
      <c r="Q1033" s="25"/>
      <c r="R1033" s="54"/>
      <c r="W1033" s="23"/>
      <c r="X1033" s="23"/>
      <c r="Y1033" s="23"/>
      <c r="Z1033" s="43"/>
      <c r="AA1033" s="23"/>
      <c r="AB1033" s="23"/>
      <c r="AC1033" s="23"/>
      <c r="AD1033" s="23"/>
      <c r="AE1033" s="23"/>
      <c r="AF1033" s="23"/>
      <c r="AG1033" s="23"/>
      <c r="AH1033" s="23"/>
      <c r="AI1033" s="48"/>
    </row>
    <row r="1034" spans="1:35">
      <c r="A1034" s="45"/>
      <c r="B1034" s="42"/>
      <c r="C1034" s="45"/>
      <c r="E1034" s="45"/>
      <c r="G1034" s="43"/>
      <c r="H1034" s="44"/>
      <c r="L1034" s="42"/>
      <c r="M1034" s="42"/>
      <c r="N1034" s="25"/>
      <c r="O1034" s="54"/>
      <c r="P1034"/>
      <c r="Q1034" s="25"/>
      <c r="R1034" s="54"/>
      <c r="W1034" s="23"/>
      <c r="X1034" s="23"/>
      <c r="Y1034" s="23"/>
      <c r="Z1034" s="43"/>
      <c r="AA1034" s="23"/>
      <c r="AB1034" s="23"/>
      <c r="AC1034" s="23"/>
      <c r="AD1034" s="23"/>
      <c r="AE1034" s="23"/>
      <c r="AF1034" s="23"/>
      <c r="AG1034" s="23"/>
      <c r="AH1034" s="23"/>
      <c r="AI1034" s="48"/>
    </row>
    <row r="1035" spans="1:35">
      <c r="A1035" s="45"/>
      <c r="B1035" s="42"/>
      <c r="C1035" s="45"/>
      <c r="E1035" s="45"/>
      <c r="G1035" s="43"/>
      <c r="H1035" s="44"/>
      <c r="L1035" s="42"/>
      <c r="M1035" s="42"/>
      <c r="N1035" s="25"/>
      <c r="O1035" s="54"/>
      <c r="P1035"/>
      <c r="Q1035" s="25"/>
      <c r="R1035" s="54"/>
      <c r="W1035" s="23"/>
      <c r="X1035" s="23"/>
      <c r="Y1035" s="23"/>
      <c r="Z1035" s="43"/>
      <c r="AA1035" s="23"/>
      <c r="AB1035" s="23"/>
      <c r="AC1035" s="23"/>
      <c r="AD1035" s="23"/>
      <c r="AE1035" s="23"/>
      <c r="AF1035" s="23"/>
      <c r="AG1035" s="23"/>
      <c r="AH1035" s="23"/>
      <c r="AI1035" s="48"/>
    </row>
    <row r="1036" spans="1:35">
      <c r="A1036" s="45"/>
      <c r="B1036" s="42"/>
      <c r="C1036" s="45"/>
      <c r="E1036" s="45"/>
      <c r="G1036" s="43"/>
      <c r="H1036" s="44"/>
      <c r="L1036" s="42"/>
      <c r="M1036" s="42"/>
      <c r="N1036" s="25"/>
      <c r="O1036" s="54"/>
      <c r="P1036"/>
      <c r="Q1036" s="25"/>
      <c r="R1036" s="54"/>
      <c r="W1036" s="23"/>
      <c r="X1036" s="23"/>
      <c r="Y1036" s="23"/>
      <c r="Z1036" s="43"/>
      <c r="AA1036" s="23"/>
      <c r="AB1036" s="23"/>
      <c r="AC1036" s="23"/>
      <c r="AD1036" s="23"/>
      <c r="AE1036" s="23"/>
      <c r="AF1036" s="23"/>
      <c r="AG1036" s="23"/>
      <c r="AH1036" s="23"/>
      <c r="AI1036" s="48"/>
    </row>
    <row r="1037" spans="1:35">
      <c r="A1037" s="45"/>
      <c r="B1037" s="42"/>
      <c r="C1037" s="45"/>
      <c r="E1037" s="45"/>
      <c r="G1037" s="43"/>
      <c r="H1037" s="44"/>
      <c r="L1037" s="42"/>
      <c r="M1037" s="42"/>
      <c r="N1037" s="25"/>
      <c r="O1037" s="54"/>
      <c r="P1037"/>
      <c r="Q1037" s="25"/>
      <c r="R1037" s="54"/>
      <c r="W1037" s="23"/>
      <c r="X1037" s="23"/>
      <c r="Y1037" s="23"/>
      <c r="Z1037" s="43"/>
      <c r="AA1037" s="23"/>
      <c r="AB1037" s="23"/>
      <c r="AC1037" s="23"/>
      <c r="AD1037" s="23"/>
      <c r="AE1037" s="23"/>
      <c r="AF1037" s="23"/>
      <c r="AG1037" s="23"/>
      <c r="AH1037" s="23"/>
      <c r="AI1037" s="48"/>
    </row>
    <row r="1038" spans="1:35">
      <c r="A1038" s="45"/>
      <c r="B1038" s="42"/>
      <c r="C1038" s="45"/>
      <c r="E1038" s="45"/>
      <c r="G1038" s="43"/>
      <c r="H1038" s="44"/>
      <c r="L1038" s="42"/>
      <c r="M1038" s="42"/>
      <c r="N1038" s="25"/>
      <c r="O1038" s="54"/>
      <c r="P1038"/>
      <c r="Q1038" s="25"/>
      <c r="R1038" s="54"/>
      <c r="W1038" s="23"/>
      <c r="X1038" s="23"/>
      <c r="Y1038" s="23"/>
      <c r="Z1038" s="43"/>
      <c r="AA1038" s="23"/>
      <c r="AB1038" s="23"/>
      <c r="AC1038" s="23"/>
      <c r="AD1038" s="23"/>
      <c r="AE1038" s="23"/>
      <c r="AF1038" s="23"/>
      <c r="AG1038" s="23"/>
      <c r="AH1038" s="23"/>
      <c r="AI1038" s="48"/>
    </row>
    <row r="1039" spans="1:35">
      <c r="A1039" s="45"/>
      <c r="B1039" s="42"/>
      <c r="C1039" s="45"/>
      <c r="E1039" s="45"/>
      <c r="G1039" s="43"/>
      <c r="H1039" s="44"/>
      <c r="L1039" s="42"/>
      <c r="M1039" s="42"/>
      <c r="N1039" s="25"/>
      <c r="O1039" s="54"/>
      <c r="P1039"/>
      <c r="Q1039" s="25"/>
      <c r="R1039" s="54"/>
      <c r="W1039" s="23"/>
      <c r="X1039" s="23"/>
      <c r="Y1039" s="23"/>
      <c r="Z1039" s="43"/>
      <c r="AA1039" s="23"/>
      <c r="AB1039" s="23"/>
      <c r="AC1039" s="23"/>
      <c r="AD1039" s="23"/>
      <c r="AE1039" s="23"/>
      <c r="AF1039" s="23"/>
      <c r="AG1039" s="23"/>
      <c r="AH1039" s="23"/>
      <c r="AI1039" s="48"/>
    </row>
    <row r="1040" spans="1:35">
      <c r="A1040" s="45"/>
      <c r="B1040" s="42"/>
      <c r="C1040" s="45"/>
      <c r="E1040" s="45"/>
      <c r="G1040" s="43"/>
      <c r="H1040" s="44"/>
      <c r="L1040" s="42"/>
      <c r="M1040" s="42"/>
      <c r="N1040" s="25"/>
      <c r="O1040" s="54"/>
      <c r="P1040"/>
      <c r="Q1040" s="25"/>
      <c r="R1040" s="54"/>
      <c r="W1040" s="23"/>
      <c r="X1040" s="23"/>
      <c r="Y1040" s="23"/>
      <c r="Z1040" s="43"/>
      <c r="AA1040" s="23"/>
      <c r="AB1040" s="23"/>
      <c r="AC1040" s="23"/>
      <c r="AD1040" s="23"/>
      <c r="AE1040" s="23"/>
      <c r="AF1040" s="23"/>
      <c r="AG1040" s="23"/>
      <c r="AH1040" s="23"/>
      <c r="AI1040" s="48"/>
    </row>
    <row r="1041" spans="1:35">
      <c r="A1041" s="45"/>
      <c r="B1041" s="42"/>
      <c r="C1041" s="45"/>
      <c r="E1041" s="45"/>
      <c r="G1041" s="43"/>
      <c r="H1041" s="44"/>
      <c r="L1041" s="42"/>
      <c r="M1041" s="42"/>
      <c r="N1041" s="25"/>
      <c r="O1041" s="54"/>
      <c r="P1041"/>
      <c r="Q1041" s="25"/>
      <c r="R1041" s="54"/>
      <c r="W1041" s="23"/>
      <c r="X1041" s="23"/>
      <c r="Y1041" s="23"/>
      <c r="Z1041" s="43"/>
      <c r="AA1041" s="23"/>
      <c r="AB1041" s="23"/>
      <c r="AC1041" s="23"/>
      <c r="AD1041" s="23"/>
      <c r="AE1041" s="23"/>
      <c r="AF1041" s="23"/>
      <c r="AG1041" s="23"/>
      <c r="AH1041" s="23"/>
      <c r="AI1041" s="48"/>
    </row>
    <row r="1042" spans="1:35">
      <c r="A1042" s="45"/>
      <c r="B1042" s="42"/>
      <c r="C1042" s="45"/>
      <c r="E1042" s="45"/>
      <c r="G1042" s="43"/>
      <c r="H1042" s="44"/>
      <c r="L1042" s="42"/>
      <c r="M1042" s="42"/>
      <c r="N1042" s="25"/>
      <c r="O1042" s="54"/>
      <c r="P1042"/>
      <c r="Q1042" s="25"/>
      <c r="R1042" s="54"/>
      <c r="W1042" s="23"/>
      <c r="X1042" s="23"/>
      <c r="Y1042" s="23"/>
      <c r="Z1042" s="43"/>
      <c r="AA1042" s="23"/>
      <c r="AB1042" s="23"/>
      <c r="AC1042" s="23"/>
      <c r="AD1042" s="23"/>
      <c r="AE1042" s="23"/>
      <c r="AF1042" s="23"/>
      <c r="AG1042" s="23"/>
      <c r="AH1042" s="23"/>
      <c r="AI1042" s="48"/>
    </row>
    <row r="1043" spans="1:35">
      <c r="A1043" s="45"/>
      <c r="B1043" s="42"/>
      <c r="C1043" s="45"/>
      <c r="E1043" s="45"/>
      <c r="G1043" s="43"/>
      <c r="H1043" s="44"/>
      <c r="L1043" s="42"/>
      <c r="M1043" s="42"/>
      <c r="N1043" s="25"/>
      <c r="O1043" s="54"/>
      <c r="P1043"/>
      <c r="Q1043" s="25"/>
      <c r="R1043" s="54"/>
      <c r="W1043" s="23"/>
      <c r="X1043" s="23"/>
      <c r="Y1043" s="23"/>
      <c r="Z1043" s="43"/>
      <c r="AA1043" s="23"/>
      <c r="AB1043" s="23"/>
      <c r="AC1043" s="23"/>
      <c r="AD1043" s="23"/>
      <c r="AE1043" s="23"/>
      <c r="AF1043" s="23"/>
      <c r="AG1043" s="23"/>
      <c r="AH1043" s="23"/>
      <c r="AI1043" s="48"/>
    </row>
    <row r="1044" spans="1:35">
      <c r="A1044" s="45"/>
      <c r="B1044" s="42"/>
      <c r="C1044" s="45"/>
      <c r="E1044" s="45"/>
      <c r="G1044" s="43"/>
      <c r="H1044" s="44"/>
      <c r="L1044" s="42"/>
      <c r="M1044" s="42"/>
      <c r="N1044" s="25"/>
      <c r="O1044" s="54"/>
      <c r="P1044"/>
      <c r="Q1044" s="25"/>
      <c r="R1044" s="54"/>
      <c r="W1044" s="23"/>
      <c r="X1044" s="23"/>
      <c r="Y1044" s="23"/>
      <c r="Z1044" s="43"/>
      <c r="AA1044" s="23"/>
      <c r="AB1044" s="23"/>
      <c r="AC1044" s="23"/>
      <c r="AD1044" s="23"/>
      <c r="AE1044" s="23"/>
      <c r="AF1044" s="23"/>
      <c r="AG1044" s="23"/>
      <c r="AH1044" s="23"/>
      <c r="AI1044" s="48"/>
    </row>
    <row r="1045" spans="1:35">
      <c r="A1045" s="45"/>
      <c r="B1045" s="42"/>
      <c r="C1045" s="45"/>
      <c r="E1045" s="45"/>
      <c r="G1045" s="43"/>
      <c r="H1045" s="44"/>
      <c r="L1045" s="42"/>
      <c r="M1045" s="42"/>
      <c r="N1045" s="25"/>
      <c r="O1045" s="54"/>
      <c r="P1045"/>
      <c r="Q1045" s="25"/>
      <c r="R1045" s="54"/>
      <c r="W1045" s="23"/>
      <c r="X1045" s="23"/>
      <c r="Y1045" s="23"/>
      <c r="Z1045" s="43"/>
      <c r="AA1045" s="23"/>
      <c r="AB1045" s="23"/>
      <c r="AC1045" s="23"/>
      <c r="AD1045" s="23"/>
      <c r="AE1045" s="23"/>
      <c r="AF1045" s="23"/>
      <c r="AG1045" s="23"/>
      <c r="AH1045" s="23"/>
      <c r="AI1045" s="48"/>
    </row>
    <row r="1046" spans="1:35">
      <c r="A1046" s="45"/>
      <c r="B1046" s="42"/>
      <c r="C1046" s="45"/>
      <c r="E1046" s="45"/>
      <c r="G1046" s="43"/>
      <c r="H1046" s="44"/>
      <c r="L1046" s="42"/>
      <c r="M1046" s="42"/>
      <c r="N1046" s="25"/>
      <c r="O1046" s="54"/>
      <c r="P1046"/>
      <c r="Q1046" s="25"/>
      <c r="R1046" s="54"/>
      <c r="W1046" s="23"/>
      <c r="X1046" s="23"/>
      <c r="Y1046" s="23"/>
      <c r="Z1046" s="43"/>
      <c r="AA1046" s="23"/>
      <c r="AB1046" s="23"/>
      <c r="AC1046" s="23"/>
      <c r="AD1046" s="23"/>
      <c r="AE1046" s="23"/>
      <c r="AF1046" s="23"/>
      <c r="AG1046" s="23"/>
      <c r="AH1046" s="23"/>
      <c r="AI1046" s="48"/>
    </row>
    <row r="1047" spans="1:35">
      <c r="A1047" s="45"/>
      <c r="B1047" s="42"/>
      <c r="C1047" s="45"/>
      <c r="E1047" s="45"/>
      <c r="G1047" s="43"/>
      <c r="H1047" s="44"/>
      <c r="L1047" s="42"/>
      <c r="M1047" s="42"/>
      <c r="N1047" s="25"/>
      <c r="O1047" s="54"/>
      <c r="P1047"/>
      <c r="Q1047" s="25"/>
      <c r="R1047" s="54"/>
      <c r="W1047" s="23"/>
      <c r="X1047" s="23"/>
      <c r="Y1047" s="23"/>
      <c r="Z1047" s="43"/>
      <c r="AA1047" s="23"/>
      <c r="AB1047" s="23"/>
      <c r="AC1047" s="23"/>
      <c r="AD1047" s="23"/>
      <c r="AE1047" s="23"/>
      <c r="AF1047" s="23"/>
      <c r="AG1047" s="23"/>
      <c r="AH1047" s="23"/>
      <c r="AI1047" s="48"/>
    </row>
    <row r="1048" spans="1:35">
      <c r="A1048" s="45"/>
      <c r="B1048" s="42"/>
      <c r="C1048" s="45"/>
      <c r="E1048" s="45"/>
      <c r="G1048" s="43"/>
      <c r="H1048" s="44"/>
      <c r="L1048" s="42"/>
      <c r="M1048" s="42"/>
      <c r="N1048" s="25"/>
      <c r="O1048" s="54"/>
      <c r="P1048"/>
      <c r="Q1048" s="25"/>
      <c r="R1048" s="54"/>
      <c r="W1048" s="23"/>
      <c r="X1048" s="23"/>
      <c r="Y1048" s="23"/>
      <c r="Z1048" s="43"/>
      <c r="AA1048" s="23"/>
      <c r="AB1048" s="23"/>
      <c r="AC1048" s="23"/>
      <c r="AD1048" s="23"/>
      <c r="AE1048" s="23"/>
      <c r="AF1048" s="23"/>
      <c r="AG1048" s="23"/>
      <c r="AH1048" s="23"/>
      <c r="AI1048" s="48"/>
    </row>
    <row r="1049" spans="1:35">
      <c r="A1049" s="45"/>
      <c r="B1049" s="42"/>
      <c r="C1049" s="45"/>
      <c r="E1049" s="45"/>
      <c r="G1049" s="43"/>
      <c r="H1049" s="44"/>
      <c r="L1049" s="42"/>
      <c r="M1049" s="42"/>
      <c r="N1049" s="25"/>
      <c r="O1049" s="54"/>
      <c r="P1049"/>
      <c r="Q1049" s="25"/>
      <c r="R1049" s="54"/>
      <c r="W1049" s="23"/>
      <c r="X1049" s="23"/>
      <c r="Y1049" s="23"/>
      <c r="Z1049" s="43"/>
      <c r="AA1049" s="23"/>
      <c r="AB1049" s="23"/>
      <c r="AC1049" s="23"/>
      <c r="AD1049" s="23"/>
      <c r="AE1049" s="23"/>
      <c r="AF1049" s="23"/>
      <c r="AG1049" s="23"/>
      <c r="AH1049" s="23"/>
      <c r="AI1049" s="48"/>
    </row>
    <row r="1050" spans="1:35">
      <c r="A1050" s="45"/>
      <c r="B1050" s="42"/>
      <c r="C1050" s="45"/>
      <c r="E1050" s="45"/>
      <c r="G1050" s="43"/>
      <c r="H1050" s="44"/>
      <c r="L1050" s="42"/>
      <c r="M1050" s="42"/>
      <c r="N1050" s="25"/>
      <c r="O1050" s="54"/>
      <c r="P1050"/>
      <c r="Q1050" s="25"/>
      <c r="R1050" s="54"/>
      <c r="W1050" s="23"/>
      <c r="X1050" s="23"/>
      <c r="Y1050" s="23"/>
      <c r="Z1050" s="43"/>
      <c r="AA1050" s="23"/>
      <c r="AB1050" s="23"/>
      <c r="AC1050" s="23"/>
      <c r="AD1050" s="23"/>
      <c r="AE1050" s="23"/>
      <c r="AF1050" s="23"/>
      <c r="AG1050" s="23"/>
      <c r="AH1050" s="23"/>
      <c r="AI1050" s="48"/>
    </row>
    <row r="1051" spans="1:35">
      <c r="A1051" s="45"/>
      <c r="B1051" s="42"/>
      <c r="C1051" s="45"/>
      <c r="E1051" s="45"/>
      <c r="G1051" s="43"/>
      <c r="H1051" s="44"/>
      <c r="L1051" s="42"/>
      <c r="M1051" s="42"/>
      <c r="N1051" s="25"/>
      <c r="O1051" s="54"/>
      <c r="P1051"/>
      <c r="Q1051" s="25"/>
      <c r="R1051" s="54"/>
      <c r="W1051" s="23"/>
      <c r="X1051" s="23"/>
      <c r="Y1051" s="23"/>
      <c r="Z1051" s="43"/>
      <c r="AA1051" s="23"/>
      <c r="AB1051" s="23"/>
      <c r="AC1051" s="23"/>
      <c r="AD1051" s="23"/>
      <c r="AE1051" s="23"/>
      <c r="AF1051" s="23"/>
      <c r="AG1051" s="23"/>
      <c r="AH1051" s="23"/>
      <c r="AI1051" s="48"/>
    </row>
    <row r="1052" spans="1:35">
      <c r="A1052" s="45"/>
      <c r="B1052" s="42"/>
      <c r="C1052" s="45"/>
      <c r="E1052" s="45"/>
      <c r="G1052" s="43"/>
      <c r="H1052" s="44"/>
      <c r="L1052" s="42"/>
      <c r="M1052" s="42"/>
      <c r="N1052" s="25"/>
      <c r="O1052" s="54"/>
      <c r="P1052"/>
      <c r="Q1052" s="25"/>
      <c r="R1052" s="54"/>
      <c r="W1052" s="23"/>
      <c r="X1052" s="23"/>
      <c r="Y1052" s="23"/>
      <c r="Z1052" s="43"/>
      <c r="AA1052" s="23"/>
      <c r="AB1052" s="23"/>
      <c r="AC1052" s="23"/>
      <c r="AD1052" s="23"/>
      <c r="AE1052" s="23"/>
      <c r="AF1052" s="23"/>
      <c r="AG1052" s="23"/>
      <c r="AH1052" s="23"/>
      <c r="AI1052" s="48"/>
    </row>
    <row r="1053" spans="1:35">
      <c r="A1053" s="45"/>
      <c r="B1053" s="42"/>
      <c r="C1053" s="45"/>
      <c r="E1053" s="45"/>
      <c r="G1053" s="43"/>
      <c r="H1053" s="44"/>
      <c r="L1053" s="42"/>
      <c r="M1053" s="42"/>
      <c r="N1053" s="25"/>
      <c r="O1053" s="54"/>
      <c r="P1053"/>
      <c r="Q1053" s="25"/>
      <c r="R1053" s="54"/>
      <c r="W1053" s="23"/>
      <c r="X1053" s="23"/>
      <c r="Y1053" s="23"/>
      <c r="Z1053" s="43"/>
      <c r="AA1053" s="23"/>
      <c r="AB1053" s="23"/>
      <c r="AC1053" s="23"/>
      <c r="AD1053" s="23"/>
      <c r="AE1053" s="23"/>
      <c r="AF1053" s="23"/>
      <c r="AG1053" s="23"/>
      <c r="AH1053" s="23"/>
      <c r="AI1053" s="48"/>
    </row>
    <row r="1054" spans="1:35">
      <c r="A1054" s="45"/>
      <c r="B1054" s="42"/>
      <c r="C1054" s="45"/>
      <c r="E1054" s="45"/>
      <c r="G1054" s="43"/>
      <c r="H1054" s="44"/>
      <c r="L1054" s="42"/>
      <c r="M1054" s="42"/>
      <c r="N1054" s="25"/>
      <c r="O1054" s="54"/>
      <c r="P1054"/>
      <c r="Q1054" s="25"/>
      <c r="R1054" s="54"/>
      <c r="W1054" s="23"/>
      <c r="X1054" s="23"/>
      <c r="Y1054" s="23"/>
      <c r="Z1054" s="43"/>
      <c r="AA1054" s="23"/>
      <c r="AB1054" s="23"/>
      <c r="AC1054" s="23"/>
      <c r="AD1054" s="23"/>
      <c r="AE1054" s="23"/>
      <c r="AF1054" s="23"/>
      <c r="AG1054" s="23"/>
      <c r="AH1054" s="23"/>
      <c r="AI1054" s="48"/>
    </row>
    <row r="1055" spans="1:35">
      <c r="B1055" s="42"/>
      <c r="G1055" s="43"/>
      <c r="H1055" s="44"/>
      <c r="L1055" s="42"/>
      <c r="M1055" s="42"/>
      <c r="N1055" s="25"/>
      <c r="O1055" s="54"/>
      <c r="P1055"/>
      <c r="Q1055" s="25"/>
      <c r="R1055" s="54"/>
      <c r="W1055" s="23"/>
      <c r="X1055" s="23"/>
      <c r="Y1055" s="23"/>
      <c r="Z1055" s="43"/>
      <c r="AA1055" s="23"/>
      <c r="AB1055" s="23"/>
      <c r="AC1055" s="23"/>
      <c r="AD1055" s="23"/>
      <c r="AE1055" s="23"/>
      <c r="AF1055" s="23"/>
      <c r="AG1055" s="23"/>
      <c r="AH1055" s="23"/>
    </row>
    <row r="1056" spans="1:35">
      <c r="B1056" s="42"/>
      <c r="C1056" s="49"/>
      <c r="E1056" s="49"/>
      <c r="G1056" s="43"/>
      <c r="H1056" s="44"/>
      <c r="L1056" s="42"/>
      <c r="M1056" s="42"/>
      <c r="N1056" s="25"/>
      <c r="O1056" s="54"/>
      <c r="P1056"/>
      <c r="Q1056" s="25"/>
      <c r="R1056" s="54"/>
      <c r="W1056" s="23"/>
      <c r="X1056" s="23"/>
      <c r="Y1056" s="23"/>
      <c r="Z1056" s="43"/>
      <c r="AA1056" s="23"/>
      <c r="AB1056" s="23"/>
      <c r="AC1056" s="23"/>
      <c r="AD1056" s="23"/>
      <c r="AE1056" s="23"/>
      <c r="AF1056" s="23"/>
      <c r="AG1056" s="23"/>
      <c r="AH1056" s="23"/>
      <c r="AI1056" s="23"/>
    </row>
    <row r="1057" spans="2:35">
      <c r="B1057" s="42"/>
      <c r="C1057" s="49"/>
      <c r="E1057" s="49"/>
      <c r="G1057" s="43"/>
      <c r="H1057" s="44"/>
      <c r="L1057" s="42"/>
      <c r="M1057" s="42"/>
      <c r="N1057" s="25"/>
      <c r="O1057" s="54"/>
      <c r="P1057"/>
      <c r="Q1057" s="25"/>
      <c r="R1057" s="54"/>
      <c r="W1057" s="23"/>
      <c r="X1057" s="23"/>
      <c r="Y1057" s="23"/>
      <c r="Z1057" s="43"/>
      <c r="AA1057" s="23"/>
      <c r="AB1057" s="23"/>
      <c r="AC1057" s="23"/>
      <c r="AD1057" s="23"/>
      <c r="AE1057" s="23"/>
      <c r="AF1057" s="23"/>
      <c r="AG1057" s="23"/>
      <c r="AH1057" s="23"/>
      <c r="AI1057" s="23"/>
    </row>
    <row r="1058" spans="2:35">
      <c r="B1058" s="42"/>
      <c r="C1058" s="49"/>
      <c r="E1058" s="49"/>
      <c r="G1058" s="43"/>
      <c r="H1058" s="44"/>
      <c r="L1058" s="42"/>
      <c r="M1058" s="42"/>
      <c r="N1058" s="25"/>
      <c r="O1058" s="54"/>
      <c r="P1058"/>
      <c r="Q1058" s="25"/>
      <c r="R1058" s="54"/>
      <c r="W1058" s="23"/>
      <c r="X1058" s="23"/>
      <c r="Y1058" s="23"/>
      <c r="Z1058" s="43"/>
      <c r="AA1058" s="23"/>
      <c r="AB1058" s="23"/>
      <c r="AC1058" s="23"/>
      <c r="AD1058" s="23"/>
      <c r="AE1058" s="23"/>
      <c r="AF1058" s="23"/>
      <c r="AG1058" s="23"/>
      <c r="AH1058" s="23"/>
      <c r="AI1058" s="23"/>
    </row>
    <row r="1059" spans="2:35">
      <c r="B1059" s="42"/>
      <c r="C1059" s="49"/>
      <c r="E1059" s="49"/>
      <c r="G1059" s="43"/>
      <c r="H1059" s="44"/>
      <c r="L1059" s="42"/>
      <c r="M1059" s="42"/>
      <c r="N1059" s="25"/>
      <c r="O1059" s="54"/>
      <c r="P1059"/>
      <c r="Q1059" s="25"/>
      <c r="R1059" s="54"/>
      <c r="W1059" s="23"/>
      <c r="X1059" s="23"/>
      <c r="Y1059" s="23"/>
      <c r="Z1059" s="43"/>
      <c r="AA1059" s="23"/>
      <c r="AB1059" s="23"/>
      <c r="AC1059" s="23"/>
      <c r="AD1059" s="23"/>
      <c r="AE1059" s="23"/>
      <c r="AF1059" s="23"/>
      <c r="AG1059" s="23"/>
      <c r="AH1059" s="23"/>
      <c r="AI1059" s="23"/>
    </row>
    <row r="1060" spans="2:35">
      <c r="B1060" s="42"/>
      <c r="C1060" s="49"/>
      <c r="E1060" s="49"/>
      <c r="G1060" s="43"/>
      <c r="H1060" s="44"/>
      <c r="L1060" s="42"/>
      <c r="M1060" s="42"/>
      <c r="N1060" s="25"/>
      <c r="O1060" s="54"/>
      <c r="P1060"/>
      <c r="Q1060" s="25"/>
      <c r="R1060" s="54"/>
      <c r="W1060" s="23"/>
      <c r="X1060" s="23"/>
      <c r="Y1060" s="23"/>
      <c r="Z1060" s="43"/>
      <c r="AA1060" s="23"/>
      <c r="AB1060" s="23"/>
      <c r="AC1060" s="23"/>
      <c r="AD1060" s="23"/>
      <c r="AE1060" s="23"/>
      <c r="AF1060" s="23"/>
      <c r="AG1060" s="23"/>
      <c r="AH1060" s="23"/>
      <c r="AI1060" s="23"/>
    </row>
    <row r="1061" spans="2:35">
      <c r="B1061" s="42"/>
      <c r="C1061" s="49"/>
      <c r="E1061" s="49"/>
      <c r="G1061" s="43"/>
      <c r="H1061" s="44"/>
      <c r="L1061" s="42"/>
      <c r="M1061" s="42"/>
      <c r="N1061" s="25"/>
      <c r="O1061" s="54"/>
      <c r="P1061"/>
      <c r="Q1061" s="25"/>
      <c r="R1061" s="54"/>
      <c r="W1061" s="23"/>
      <c r="X1061" s="23"/>
      <c r="Y1061" s="23"/>
      <c r="Z1061" s="43"/>
      <c r="AA1061" s="23"/>
      <c r="AB1061" s="23"/>
      <c r="AC1061" s="23"/>
      <c r="AD1061" s="23"/>
      <c r="AE1061" s="23"/>
      <c r="AF1061" s="23"/>
      <c r="AG1061" s="23"/>
      <c r="AH1061" s="23"/>
      <c r="AI1061" s="23"/>
    </row>
    <row r="1062" spans="2:35">
      <c r="B1062" s="42"/>
      <c r="C1062" s="49"/>
      <c r="E1062" s="49"/>
      <c r="G1062" s="43"/>
      <c r="H1062" s="44"/>
      <c r="L1062" s="42"/>
      <c r="M1062" s="42"/>
      <c r="N1062" s="25"/>
      <c r="O1062" s="54"/>
      <c r="P1062"/>
      <c r="Q1062" s="25"/>
      <c r="R1062" s="54"/>
      <c r="W1062" s="23"/>
      <c r="X1062" s="23"/>
      <c r="Y1062" s="23"/>
      <c r="Z1062" s="43"/>
      <c r="AA1062" s="23"/>
      <c r="AB1062" s="23"/>
      <c r="AC1062" s="23"/>
      <c r="AD1062" s="23"/>
      <c r="AE1062" s="23"/>
      <c r="AF1062" s="23"/>
      <c r="AG1062" s="23"/>
      <c r="AH1062" s="23"/>
      <c r="AI1062" s="23"/>
    </row>
    <row r="1063" spans="2:35">
      <c r="B1063" s="42"/>
      <c r="C1063" s="49"/>
      <c r="E1063" s="49"/>
      <c r="G1063" s="43"/>
      <c r="H1063" s="44"/>
      <c r="L1063" s="42"/>
      <c r="M1063" s="42"/>
      <c r="N1063" s="25"/>
      <c r="O1063" s="54"/>
      <c r="P1063"/>
      <c r="Q1063" s="25"/>
      <c r="R1063" s="54"/>
      <c r="W1063" s="23"/>
      <c r="X1063" s="23"/>
      <c r="Y1063" s="23"/>
      <c r="Z1063" s="43"/>
      <c r="AA1063" s="23"/>
      <c r="AB1063" s="23"/>
      <c r="AC1063" s="23"/>
      <c r="AD1063" s="23"/>
      <c r="AE1063" s="23"/>
      <c r="AF1063" s="23"/>
      <c r="AG1063" s="23"/>
      <c r="AH1063" s="23"/>
      <c r="AI1063" s="23"/>
    </row>
    <row r="1064" spans="2:35">
      <c r="B1064" s="42"/>
      <c r="C1064" s="49"/>
      <c r="E1064" s="49"/>
      <c r="G1064" s="43"/>
      <c r="H1064" s="44"/>
      <c r="L1064" s="42"/>
      <c r="M1064" s="42"/>
      <c r="N1064" s="25"/>
      <c r="O1064" s="54"/>
      <c r="P1064"/>
      <c r="Q1064" s="25"/>
      <c r="R1064" s="54"/>
      <c r="W1064" s="23"/>
      <c r="X1064" s="23"/>
      <c r="Y1064" s="23"/>
      <c r="Z1064" s="43"/>
      <c r="AA1064" s="23"/>
      <c r="AB1064" s="23"/>
      <c r="AC1064" s="23"/>
      <c r="AD1064" s="23"/>
      <c r="AE1064" s="23"/>
      <c r="AF1064" s="23"/>
      <c r="AG1064" s="23"/>
      <c r="AH1064" s="23"/>
      <c r="AI1064" s="23"/>
    </row>
    <row r="1065" spans="2:35">
      <c r="B1065" s="42"/>
      <c r="C1065" s="49"/>
      <c r="E1065" s="49"/>
      <c r="G1065" s="43"/>
      <c r="H1065" s="44"/>
      <c r="L1065" s="42"/>
      <c r="M1065" s="42"/>
      <c r="N1065" s="25"/>
      <c r="O1065" s="54"/>
      <c r="P1065"/>
      <c r="Q1065" s="25"/>
      <c r="R1065" s="54"/>
      <c r="W1065" s="23"/>
      <c r="X1065" s="23"/>
      <c r="Y1065" s="23"/>
      <c r="Z1065" s="43"/>
      <c r="AA1065" s="23"/>
      <c r="AB1065" s="23"/>
      <c r="AC1065" s="23"/>
      <c r="AD1065" s="23"/>
      <c r="AE1065" s="23"/>
      <c r="AF1065" s="23"/>
      <c r="AG1065" s="23"/>
      <c r="AH1065" s="23"/>
      <c r="AI1065" s="23"/>
    </row>
    <row r="1066" spans="2:35">
      <c r="B1066" s="42"/>
      <c r="C1066" s="49"/>
      <c r="E1066" s="49"/>
      <c r="G1066" s="43"/>
      <c r="H1066" s="44"/>
      <c r="L1066" s="42"/>
      <c r="M1066" s="42"/>
      <c r="N1066" s="25"/>
      <c r="O1066" s="54"/>
      <c r="P1066"/>
      <c r="Q1066" s="25"/>
      <c r="R1066" s="54"/>
      <c r="W1066" s="23"/>
      <c r="X1066" s="23"/>
      <c r="Y1066" s="23"/>
      <c r="Z1066" s="43"/>
      <c r="AA1066" s="23"/>
      <c r="AB1066" s="23"/>
      <c r="AC1066" s="23"/>
      <c r="AD1066" s="23"/>
      <c r="AE1066" s="23"/>
      <c r="AF1066" s="23"/>
      <c r="AG1066" s="23"/>
      <c r="AH1066" s="23"/>
      <c r="AI1066" s="23"/>
    </row>
    <row r="1067" spans="2:35">
      <c r="B1067" s="42"/>
      <c r="C1067" s="49"/>
      <c r="E1067" s="49"/>
      <c r="G1067" s="43"/>
      <c r="H1067" s="44"/>
      <c r="L1067" s="42"/>
      <c r="M1067" s="42"/>
      <c r="N1067" s="25"/>
      <c r="O1067" s="54"/>
      <c r="P1067"/>
      <c r="Q1067" s="25"/>
      <c r="R1067" s="54"/>
      <c r="W1067" s="23"/>
      <c r="X1067" s="23"/>
      <c r="Y1067" s="23"/>
      <c r="Z1067" s="43"/>
      <c r="AA1067" s="23"/>
      <c r="AB1067" s="23"/>
      <c r="AC1067" s="23"/>
      <c r="AD1067" s="23"/>
      <c r="AE1067" s="23"/>
      <c r="AF1067" s="23"/>
      <c r="AG1067" s="23"/>
      <c r="AH1067" s="23"/>
      <c r="AI1067" s="23"/>
    </row>
    <row r="1068" spans="2:35">
      <c r="B1068" s="42"/>
      <c r="C1068" s="49"/>
      <c r="E1068" s="49"/>
      <c r="G1068" s="43"/>
      <c r="H1068" s="44"/>
      <c r="L1068" s="42"/>
      <c r="M1068" s="42"/>
      <c r="N1068" s="25"/>
      <c r="O1068" s="54"/>
      <c r="P1068"/>
      <c r="Q1068" s="25"/>
      <c r="R1068" s="54"/>
      <c r="W1068" s="23"/>
      <c r="X1068" s="23"/>
      <c r="Y1068" s="23"/>
      <c r="Z1068" s="43"/>
      <c r="AA1068" s="23"/>
      <c r="AB1068" s="23"/>
      <c r="AC1068" s="23"/>
      <c r="AD1068" s="23"/>
      <c r="AE1068" s="23"/>
      <c r="AF1068" s="23"/>
      <c r="AG1068" s="23"/>
      <c r="AH1068" s="23"/>
      <c r="AI1068" s="23"/>
    </row>
    <row r="1069" spans="2:35">
      <c r="B1069" s="42"/>
      <c r="C1069" s="49"/>
      <c r="E1069" s="49"/>
      <c r="G1069" s="43"/>
      <c r="H1069" s="44"/>
      <c r="L1069" s="42"/>
      <c r="M1069" s="42"/>
      <c r="N1069" s="25"/>
      <c r="O1069" s="54"/>
      <c r="P1069"/>
      <c r="Q1069" s="25"/>
      <c r="R1069" s="54"/>
      <c r="W1069" s="23"/>
      <c r="X1069" s="23"/>
      <c r="Y1069" s="23"/>
      <c r="Z1069" s="43"/>
      <c r="AA1069" s="23"/>
      <c r="AB1069" s="23"/>
      <c r="AC1069" s="23"/>
      <c r="AD1069" s="23"/>
      <c r="AE1069" s="23"/>
      <c r="AF1069" s="23"/>
      <c r="AG1069" s="23"/>
      <c r="AH1069" s="23"/>
      <c r="AI1069" s="23"/>
    </row>
    <row r="1070" spans="2:35">
      <c r="B1070" s="42"/>
      <c r="C1070" s="49"/>
      <c r="E1070" s="49"/>
      <c r="G1070" s="43"/>
      <c r="H1070" s="44"/>
      <c r="L1070" s="42"/>
      <c r="M1070" s="42"/>
      <c r="N1070" s="25"/>
      <c r="O1070" s="54"/>
      <c r="P1070"/>
      <c r="Q1070" s="25"/>
      <c r="R1070" s="54"/>
      <c r="W1070" s="23"/>
      <c r="X1070" s="23"/>
      <c r="Y1070" s="23"/>
      <c r="Z1070" s="43"/>
      <c r="AA1070" s="23"/>
      <c r="AB1070" s="23"/>
      <c r="AC1070" s="23"/>
      <c r="AD1070" s="23"/>
      <c r="AE1070" s="23"/>
      <c r="AF1070" s="23"/>
      <c r="AG1070" s="23"/>
      <c r="AH1070" s="23"/>
      <c r="AI1070" s="23"/>
    </row>
    <row r="1071" spans="2:35">
      <c r="B1071" s="42"/>
      <c r="C1071" s="49"/>
      <c r="E1071" s="49"/>
      <c r="G1071" s="43"/>
      <c r="H1071" s="44"/>
      <c r="L1071" s="42"/>
      <c r="M1071" s="42"/>
      <c r="N1071" s="25"/>
      <c r="O1071" s="54"/>
      <c r="P1071"/>
      <c r="Q1071" s="25"/>
      <c r="R1071" s="54"/>
      <c r="W1071" s="23"/>
      <c r="X1071" s="23"/>
      <c r="Y1071" s="23"/>
      <c r="Z1071" s="43"/>
      <c r="AA1071" s="23"/>
      <c r="AB1071" s="23"/>
      <c r="AC1071" s="23"/>
      <c r="AD1071" s="23"/>
      <c r="AE1071" s="23"/>
      <c r="AF1071" s="23"/>
      <c r="AG1071" s="23"/>
      <c r="AH1071" s="23"/>
      <c r="AI1071" s="23"/>
    </row>
    <row r="1072" spans="2:35">
      <c r="B1072" s="42"/>
      <c r="C1072" s="49"/>
      <c r="E1072" s="49"/>
      <c r="G1072" s="43"/>
      <c r="H1072" s="44"/>
      <c r="L1072" s="42"/>
      <c r="M1072" s="42"/>
      <c r="N1072" s="25"/>
      <c r="O1072" s="54"/>
      <c r="P1072"/>
      <c r="Q1072" s="25"/>
      <c r="R1072" s="54"/>
      <c r="W1072" s="23"/>
      <c r="X1072" s="23"/>
      <c r="Y1072" s="23"/>
      <c r="Z1072" s="43"/>
      <c r="AA1072" s="23"/>
      <c r="AB1072" s="23"/>
      <c r="AC1072" s="23"/>
      <c r="AD1072" s="23"/>
      <c r="AE1072" s="23"/>
      <c r="AF1072" s="23"/>
      <c r="AG1072" s="23"/>
      <c r="AH1072" s="23"/>
      <c r="AI1072" s="23"/>
    </row>
    <row r="1073" spans="1:35">
      <c r="B1073" s="42"/>
      <c r="C1073" s="49"/>
      <c r="E1073" s="49"/>
      <c r="G1073" s="43"/>
      <c r="H1073" s="44"/>
      <c r="L1073" s="42"/>
      <c r="M1073" s="42"/>
      <c r="N1073" s="25"/>
      <c r="O1073" s="54"/>
      <c r="P1073"/>
      <c r="Q1073" s="25"/>
      <c r="R1073" s="54"/>
      <c r="W1073" s="23"/>
      <c r="X1073" s="23"/>
      <c r="Y1073" s="23"/>
      <c r="Z1073" s="43"/>
      <c r="AA1073" s="23"/>
      <c r="AB1073" s="23"/>
      <c r="AC1073" s="23"/>
      <c r="AD1073" s="23"/>
      <c r="AE1073" s="23"/>
      <c r="AF1073" s="23"/>
      <c r="AG1073" s="23"/>
      <c r="AH1073" s="23"/>
      <c r="AI1073" s="23"/>
    </row>
    <row r="1074" spans="1:35">
      <c r="B1074" s="42"/>
      <c r="C1074" s="49"/>
      <c r="E1074" s="49"/>
      <c r="G1074" s="43"/>
      <c r="H1074" s="44"/>
      <c r="L1074" s="42"/>
      <c r="M1074" s="42"/>
      <c r="N1074" s="25"/>
      <c r="O1074" s="54"/>
      <c r="P1074"/>
      <c r="Q1074" s="25"/>
      <c r="R1074" s="54"/>
      <c r="W1074" s="23"/>
      <c r="X1074" s="23"/>
      <c r="Y1074" s="23"/>
      <c r="Z1074" s="43"/>
      <c r="AA1074" s="23"/>
      <c r="AB1074" s="23"/>
      <c r="AC1074" s="23"/>
      <c r="AD1074" s="23"/>
      <c r="AE1074" s="23"/>
      <c r="AF1074" s="23"/>
      <c r="AG1074" s="23"/>
      <c r="AH1074" s="23"/>
      <c r="AI1074" s="23"/>
    </row>
    <row r="1075" spans="1:35">
      <c r="B1075" s="42"/>
      <c r="C1075" s="49"/>
      <c r="E1075" s="49"/>
      <c r="G1075" s="43"/>
      <c r="H1075" s="44"/>
      <c r="L1075" s="42"/>
      <c r="M1075" s="42"/>
      <c r="N1075" s="25"/>
      <c r="O1075" s="54"/>
      <c r="P1075"/>
      <c r="Q1075" s="25"/>
      <c r="R1075" s="54"/>
      <c r="W1075" s="23"/>
      <c r="X1075" s="23"/>
      <c r="Y1075" s="23"/>
      <c r="Z1075" s="43"/>
      <c r="AA1075" s="23"/>
      <c r="AB1075" s="23"/>
      <c r="AC1075" s="23"/>
      <c r="AD1075" s="23"/>
      <c r="AE1075" s="23"/>
      <c r="AF1075" s="23"/>
      <c r="AG1075" s="23"/>
      <c r="AH1075" s="23"/>
      <c r="AI1075" s="23"/>
    </row>
    <row r="1076" spans="1:35">
      <c r="B1076" s="42"/>
      <c r="C1076" s="49"/>
      <c r="E1076" s="49"/>
      <c r="G1076" s="43"/>
      <c r="H1076" s="44"/>
      <c r="L1076" s="42"/>
      <c r="M1076" s="42"/>
      <c r="N1076" s="25"/>
      <c r="O1076" s="54"/>
      <c r="P1076"/>
      <c r="Q1076" s="25"/>
      <c r="R1076" s="54"/>
      <c r="W1076" s="23"/>
      <c r="X1076" s="23"/>
      <c r="Y1076" s="23"/>
      <c r="Z1076" s="43"/>
      <c r="AA1076" s="23"/>
      <c r="AB1076" s="23"/>
      <c r="AC1076" s="23"/>
      <c r="AD1076" s="23"/>
      <c r="AE1076" s="23"/>
      <c r="AF1076" s="23"/>
      <c r="AG1076" s="23"/>
      <c r="AH1076" s="23"/>
      <c r="AI1076" s="23"/>
    </row>
    <row r="1077" spans="1:35">
      <c r="A1077" s="23"/>
      <c r="B1077" s="42"/>
      <c r="C1077" s="49"/>
      <c r="E1077" s="49"/>
      <c r="G1077" s="43"/>
      <c r="H1077" s="44"/>
      <c r="L1077" s="42"/>
      <c r="M1077" s="42"/>
      <c r="N1077" s="25"/>
      <c r="O1077" s="54"/>
      <c r="P1077"/>
      <c r="Q1077" s="25"/>
      <c r="R1077" s="54"/>
      <c r="W1077" s="23"/>
      <c r="X1077" s="23"/>
      <c r="Y1077" s="23"/>
      <c r="Z1077" s="43"/>
      <c r="AA1077" s="23"/>
      <c r="AB1077" s="23"/>
      <c r="AC1077" s="23"/>
      <c r="AD1077" s="23"/>
      <c r="AE1077" s="23"/>
      <c r="AF1077" s="23"/>
      <c r="AG1077" s="23"/>
      <c r="AH1077" s="23"/>
      <c r="AI1077" s="49"/>
    </row>
    <row r="1078" spans="1:35">
      <c r="A1078" s="23"/>
      <c r="B1078" s="42"/>
      <c r="C1078" s="49"/>
      <c r="E1078" s="49"/>
      <c r="G1078" s="43"/>
      <c r="H1078" s="44"/>
      <c r="L1078" s="42"/>
      <c r="M1078" s="42"/>
      <c r="N1078" s="25"/>
      <c r="O1078" s="54"/>
      <c r="P1078"/>
      <c r="Q1078" s="25"/>
      <c r="R1078" s="54"/>
      <c r="W1078" s="23"/>
      <c r="X1078" s="23"/>
      <c r="Y1078" s="23"/>
      <c r="Z1078" s="43"/>
      <c r="AA1078" s="23"/>
      <c r="AB1078" s="23"/>
      <c r="AC1078" s="23"/>
      <c r="AD1078" s="23"/>
      <c r="AE1078" s="23"/>
      <c r="AF1078" s="23"/>
      <c r="AG1078" s="23"/>
      <c r="AH1078" s="23"/>
      <c r="AI1078" s="49"/>
    </row>
    <row r="1079" spans="1:35">
      <c r="A1079" s="23"/>
      <c r="B1079" s="42"/>
      <c r="C1079" s="49"/>
      <c r="E1079" s="49"/>
      <c r="G1079" s="43"/>
      <c r="H1079" s="44"/>
      <c r="L1079" s="42"/>
      <c r="M1079" s="42"/>
      <c r="N1079" s="25"/>
      <c r="O1079" s="54"/>
      <c r="P1079"/>
      <c r="Q1079" s="25"/>
      <c r="R1079" s="54"/>
      <c r="W1079" s="23"/>
      <c r="X1079" s="23"/>
      <c r="Y1079" s="23"/>
      <c r="Z1079" s="43"/>
      <c r="AA1079" s="23"/>
      <c r="AB1079" s="23"/>
      <c r="AC1079" s="23"/>
      <c r="AD1079" s="23"/>
      <c r="AE1079" s="23"/>
      <c r="AF1079" s="23"/>
      <c r="AG1079" s="23"/>
      <c r="AH1079" s="23"/>
      <c r="AI1079" s="49"/>
    </row>
    <row r="1080" spans="1:35">
      <c r="A1080" s="23"/>
      <c r="B1080" s="42"/>
      <c r="C1080" s="49"/>
      <c r="E1080" s="49"/>
      <c r="G1080" s="43"/>
      <c r="H1080" s="44"/>
      <c r="L1080" s="42"/>
      <c r="M1080" s="42"/>
      <c r="N1080" s="25"/>
      <c r="O1080" s="54"/>
      <c r="P1080"/>
      <c r="Q1080" s="25"/>
      <c r="R1080" s="54"/>
      <c r="W1080" s="23"/>
      <c r="X1080" s="23"/>
      <c r="Y1080" s="23"/>
      <c r="Z1080" s="43"/>
      <c r="AA1080" s="23"/>
      <c r="AB1080" s="23"/>
      <c r="AC1080" s="23"/>
      <c r="AD1080" s="23"/>
      <c r="AE1080" s="23"/>
      <c r="AF1080" s="23"/>
      <c r="AG1080" s="23"/>
      <c r="AH1080" s="23"/>
      <c r="AI1080" s="49"/>
    </row>
    <row r="1081" spans="1:35">
      <c r="A1081" s="45"/>
      <c r="B1081" s="42"/>
      <c r="C1081" s="45"/>
      <c r="E1081" s="45"/>
      <c r="G1081" s="43"/>
      <c r="H1081" s="44"/>
      <c r="L1081" s="42"/>
      <c r="M1081" s="42"/>
      <c r="N1081" s="25"/>
      <c r="O1081" s="54"/>
      <c r="P1081"/>
      <c r="Q1081" s="25"/>
      <c r="R1081" s="54"/>
      <c r="W1081" s="23"/>
      <c r="X1081" s="23"/>
      <c r="Y1081" s="23"/>
      <c r="Z1081" s="43"/>
      <c r="AA1081" s="23"/>
      <c r="AB1081" s="23"/>
      <c r="AC1081" s="23"/>
      <c r="AD1081" s="23"/>
      <c r="AE1081" s="23"/>
      <c r="AF1081" s="23"/>
      <c r="AG1081" s="23"/>
      <c r="AH1081" s="23"/>
      <c r="AI1081" s="48"/>
    </row>
    <row r="1082" spans="1:35">
      <c r="A1082" s="23"/>
      <c r="B1082" s="42"/>
      <c r="C1082" s="49"/>
      <c r="E1082" s="49"/>
      <c r="G1082" s="43"/>
      <c r="H1082" s="44"/>
      <c r="L1082" s="42"/>
      <c r="M1082" s="42"/>
      <c r="N1082" s="25"/>
      <c r="O1082" s="54"/>
      <c r="P1082"/>
      <c r="Q1082" s="25"/>
      <c r="R1082" s="54"/>
      <c r="W1082" s="23"/>
      <c r="X1082" s="23"/>
      <c r="Y1082" s="23"/>
      <c r="Z1082" s="43"/>
      <c r="AA1082" s="23"/>
      <c r="AB1082" s="23"/>
      <c r="AC1082" s="23"/>
      <c r="AD1082" s="23"/>
      <c r="AE1082" s="23"/>
      <c r="AF1082" s="23"/>
      <c r="AG1082" s="23"/>
      <c r="AH1082" s="23"/>
      <c r="AI1082" s="49"/>
    </row>
    <row r="1083" spans="1:35">
      <c r="A1083" s="23"/>
      <c r="B1083" s="42"/>
      <c r="C1083" s="49"/>
      <c r="E1083" s="49"/>
      <c r="G1083" s="43"/>
      <c r="H1083" s="44"/>
      <c r="L1083" s="42"/>
      <c r="M1083" s="42"/>
      <c r="N1083" s="25"/>
      <c r="O1083" s="54"/>
      <c r="P1083"/>
      <c r="Q1083" s="25"/>
      <c r="R1083" s="54"/>
      <c r="W1083" s="23"/>
      <c r="X1083" s="23"/>
      <c r="Y1083" s="23"/>
      <c r="Z1083" s="43"/>
      <c r="AA1083" s="23"/>
      <c r="AB1083" s="23"/>
      <c r="AC1083" s="23"/>
      <c r="AD1083" s="23"/>
      <c r="AE1083" s="23"/>
      <c r="AF1083" s="23"/>
      <c r="AG1083" s="23"/>
      <c r="AH1083" s="23"/>
      <c r="AI1083" s="49"/>
    </row>
    <row r="1084" spans="1:35">
      <c r="A1084" s="23"/>
      <c r="B1084" s="42"/>
      <c r="C1084" s="49"/>
      <c r="E1084" s="49"/>
      <c r="G1084" s="43"/>
      <c r="H1084" s="44"/>
      <c r="L1084" s="42"/>
      <c r="M1084" s="42"/>
      <c r="N1084" s="25"/>
      <c r="O1084" s="54"/>
      <c r="P1084"/>
      <c r="Q1084" s="25"/>
      <c r="R1084" s="54"/>
      <c r="W1084" s="23"/>
      <c r="X1084" s="23"/>
      <c r="Y1084" s="23"/>
      <c r="Z1084" s="43"/>
      <c r="AA1084" s="23"/>
      <c r="AB1084" s="23"/>
      <c r="AC1084" s="23"/>
      <c r="AD1084" s="23"/>
      <c r="AE1084" s="23"/>
      <c r="AF1084" s="23"/>
      <c r="AG1084" s="23"/>
      <c r="AH1084" s="23"/>
      <c r="AI1084" s="49"/>
    </row>
    <row r="1085" spans="1:35">
      <c r="B1085" s="42"/>
      <c r="G1085" s="43"/>
      <c r="H1085" s="44"/>
      <c r="L1085" s="42"/>
      <c r="M1085" s="42"/>
      <c r="N1085" s="25"/>
      <c r="O1085" s="54"/>
      <c r="P1085"/>
      <c r="Q1085" s="25"/>
      <c r="R1085" s="54"/>
      <c r="W1085" s="23"/>
      <c r="X1085" s="23"/>
      <c r="Y1085" s="23"/>
      <c r="Z1085" s="43"/>
      <c r="AA1085" s="23"/>
      <c r="AB1085" s="23"/>
      <c r="AC1085" s="23"/>
      <c r="AD1085" s="23"/>
      <c r="AE1085" s="23"/>
      <c r="AF1085" s="23"/>
      <c r="AG1085" s="23"/>
      <c r="AH1085" s="23"/>
    </row>
    <row r="1086" spans="1:35">
      <c r="A1086" s="23"/>
      <c r="B1086" s="42"/>
      <c r="C1086" s="49"/>
      <c r="E1086" s="49"/>
      <c r="G1086" s="43"/>
      <c r="H1086" s="44"/>
      <c r="L1086" s="42"/>
      <c r="M1086" s="42"/>
      <c r="N1086" s="25"/>
      <c r="O1086" s="54"/>
      <c r="P1086"/>
      <c r="Q1086" s="25"/>
      <c r="R1086" s="54"/>
      <c r="W1086" s="23"/>
      <c r="X1086" s="23"/>
      <c r="Y1086" s="23"/>
      <c r="Z1086" s="43"/>
      <c r="AA1086" s="23"/>
      <c r="AB1086" s="23"/>
      <c r="AC1086" s="23"/>
      <c r="AD1086" s="23"/>
      <c r="AE1086" s="23"/>
      <c r="AF1086" s="23"/>
      <c r="AG1086" s="23"/>
      <c r="AH1086" s="23"/>
      <c r="AI1086" s="49"/>
    </row>
    <row r="1087" spans="1:35">
      <c r="A1087" s="23"/>
      <c r="B1087" s="42"/>
      <c r="C1087" s="49"/>
      <c r="E1087" s="49"/>
      <c r="G1087" s="43"/>
      <c r="H1087" s="44"/>
      <c r="L1087" s="42"/>
      <c r="M1087" s="42"/>
      <c r="N1087" s="25"/>
      <c r="O1087" s="54"/>
      <c r="P1087"/>
      <c r="Q1087" s="25"/>
      <c r="R1087" s="54"/>
      <c r="W1087" s="23"/>
      <c r="X1087" s="23"/>
      <c r="Y1087" s="23"/>
      <c r="Z1087" s="43"/>
      <c r="AA1087" s="23"/>
      <c r="AB1087" s="23"/>
      <c r="AC1087" s="23"/>
      <c r="AD1087" s="23"/>
      <c r="AE1087" s="23"/>
      <c r="AF1087" s="23"/>
      <c r="AG1087" s="23"/>
      <c r="AH1087" s="23"/>
      <c r="AI1087" s="49"/>
    </row>
    <row r="1088" spans="1:35">
      <c r="A1088" s="23"/>
      <c r="B1088" s="42"/>
      <c r="C1088" s="49"/>
      <c r="E1088" s="49"/>
      <c r="G1088" s="43"/>
      <c r="H1088" s="44"/>
      <c r="L1088" s="42"/>
      <c r="M1088" s="42"/>
      <c r="N1088" s="25"/>
      <c r="O1088" s="54"/>
      <c r="P1088"/>
      <c r="Q1088" s="25"/>
      <c r="R1088" s="54"/>
      <c r="W1088" s="23"/>
      <c r="X1088" s="23"/>
      <c r="Y1088" s="23"/>
      <c r="Z1088" s="43"/>
      <c r="AA1088" s="23"/>
      <c r="AB1088" s="23"/>
      <c r="AC1088" s="23"/>
      <c r="AD1088" s="23"/>
      <c r="AE1088" s="23"/>
      <c r="AF1088" s="23"/>
      <c r="AG1088" s="23"/>
      <c r="AH1088" s="23"/>
      <c r="AI1088" s="49"/>
    </row>
    <row r="1089" spans="1:35">
      <c r="A1089" s="23"/>
      <c r="B1089" s="42"/>
      <c r="C1089" s="49"/>
      <c r="E1089" s="49"/>
      <c r="G1089" s="43"/>
      <c r="H1089" s="44"/>
      <c r="L1089" s="42"/>
      <c r="M1089" s="42"/>
      <c r="N1089" s="25"/>
      <c r="O1089" s="54"/>
      <c r="P1089"/>
      <c r="Q1089" s="25"/>
      <c r="R1089" s="54"/>
      <c r="W1089" s="23"/>
      <c r="X1089" s="23"/>
      <c r="Y1089" s="23"/>
      <c r="Z1089" s="43"/>
      <c r="AA1089" s="23"/>
      <c r="AB1089" s="23"/>
      <c r="AC1089" s="23"/>
      <c r="AD1089" s="23"/>
      <c r="AE1089" s="23"/>
      <c r="AF1089" s="23"/>
      <c r="AG1089" s="23"/>
      <c r="AH1089" s="23"/>
      <c r="AI1089" s="49"/>
    </row>
    <row r="1090" spans="1:35">
      <c r="A1090" s="23"/>
      <c r="B1090" s="42"/>
      <c r="C1090" s="49"/>
      <c r="E1090" s="49"/>
      <c r="G1090" s="43"/>
      <c r="H1090" s="44"/>
      <c r="L1090" s="42"/>
      <c r="M1090" s="42"/>
      <c r="N1090" s="25"/>
      <c r="O1090" s="54"/>
      <c r="P1090"/>
      <c r="Q1090" s="25"/>
      <c r="R1090" s="54"/>
      <c r="W1090" s="23"/>
      <c r="X1090" s="23"/>
      <c r="Y1090" s="23"/>
      <c r="Z1090" s="43"/>
      <c r="AA1090" s="23"/>
      <c r="AB1090" s="23"/>
      <c r="AC1090" s="23"/>
      <c r="AD1090" s="23"/>
      <c r="AE1090" s="23"/>
      <c r="AF1090" s="23"/>
      <c r="AG1090" s="23"/>
      <c r="AH1090" s="23"/>
      <c r="AI1090" s="49"/>
    </row>
    <row r="1091" spans="1:35">
      <c r="A1091" s="23"/>
      <c r="B1091" s="42"/>
      <c r="C1091" s="49"/>
      <c r="E1091" s="49"/>
      <c r="G1091" s="43"/>
      <c r="H1091" s="44"/>
      <c r="L1091" s="42"/>
      <c r="M1091" s="42"/>
      <c r="N1091" s="25"/>
      <c r="O1091" s="54"/>
      <c r="P1091"/>
      <c r="Q1091" s="25"/>
      <c r="R1091" s="54"/>
      <c r="W1091" s="23"/>
      <c r="X1091" s="23"/>
      <c r="Y1091" s="23"/>
      <c r="Z1091" s="43"/>
      <c r="AA1091" s="23"/>
      <c r="AB1091" s="23"/>
      <c r="AC1091" s="23"/>
      <c r="AD1091" s="23"/>
      <c r="AE1091" s="23"/>
      <c r="AF1091" s="23"/>
      <c r="AG1091" s="23"/>
      <c r="AH1091" s="23"/>
      <c r="AI1091" s="49"/>
    </row>
    <row r="1092" spans="1:35">
      <c r="A1092" s="23"/>
      <c r="B1092" s="42"/>
      <c r="C1092" s="49"/>
      <c r="E1092" s="49"/>
      <c r="G1092" s="43"/>
      <c r="H1092" s="44"/>
      <c r="L1092" s="42"/>
      <c r="M1092" s="42"/>
      <c r="N1092" s="25"/>
      <c r="O1092" s="54"/>
      <c r="P1092"/>
      <c r="Q1092" s="25"/>
      <c r="R1092" s="54"/>
      <c r="W1092" s="23"/>
      <c r="X1092" s="23"/>
      <c r="Y1092" s="23"/>
      <c r="Z1092" s="43"/>
      <c r="AA1092" s="23"/>
      <c r="AB1092" s="23"/>
      <c r="AC1092" s="23"/>
      <c r="AD1092" s="23"/>
      <c r="AE1092" s="23"/>
      <c r="AF1092" s="23"/>
      <c r="AG1092" s="23"/>
      <c r="AH1092" s="23"/>
      <c r="AI1092" s="49"/>
    </row>
    <row r="1093" spans="1:35">
      <c r="A1093" s="23"/>
      <c r="B1093" s="42"/>
      <c r="C1093" s="49"/>
      <c r="E1093" s="49"/>
      <c r="G1093" s="43"/>
      <c r="H1093" s="44"/>
      <c r="L1093" s="42"/>
      <c r="M1093" s="42"/>
      <c r="N1093" s="25"/>
      <c r="O1093" s="54"/>
      <c r="P1093"/>
      <c r="Q1093" s="25"/>
      <c r="R1093" s="54"/>
      <c r="W1093" s="23"/>
      <c r="X1093" s="23"/>
      <c r="Y1093" s="23"/>
      <c r="Z1093" s="43"/>
      <c r="AA1093" s="23"/>
      <c r="AB1093" s="23"/>
      <c r="AC1093" s="23"/>
      <c r="AD1093" s="23"/>
      <c r="AE1093" s="23"/>
      <c r="AF1093" s="23"/>
      <c r="AG1093" s="23"/>
      <c r="AH1093" s="23"/>
      <c r="AI1093" s="49"/>
    </row>
    <row r="1094" spans="1:35">
      <c r="A1094" s="23"/>
      <c r="B1094" s="42"/>
      <c r="C1094" s="49"/>
      <c r="E1094" s="49"/>
      <c r="G1094" s="43"/>
      <c r="H1094" s="44"/>
      <c r="L1094" s="42"/>
      <c r="M1094" s="42"/>
      <c r="N1094" s="25"/>
      <c r="O1094" s="54"/>
      <c r="P1094"/>
      <c r="Q1094" s="25"/>
      <c r="R1094" s="54"/>
      <c r="W1094" s="23"/>
      <c r="X1094" s="23"/>
      <c r="Y1094" s="23"/>
      <c r="Z1094" s="43"/>
      <c r="AA1094" s="23"/>
      <c r="AB1094" s="23"/>
      <c r="AC1094" s="23"/>
      <c r="AD1094" s="23"/>
      <c r="AE1094" s="23"/>
      <c r="AF1094" s="23"/>
      <c r="AG1094" s="23"/>
      <c r="AH1094" s="23"/>
      <c r="AI1094" s="49"/>
    </row>
    <row r="1095" spans="1:35">
      <c r="A1095" s="23"/>
      <c r="B1095" s="42"/>
      <c r="C1095" s="49"/>
      <c r="E1095" s="49"/>
      <c r="G1095" s="43"/>
      <c r="H1095" s="44"/>
      <c r="L1095" s="42"/>
      <c r="M1095" s="42"/>
      <c r="N1095" s="25"/>
      <c r="O1095" s="54"/>
      <c r="P1095"/>
      <c r="Q1095" s="25"/>
      <c r="R1095" s="54"/>
      <c r="W1095" s="23"/>
      <c r="X1095" s="23"/>
      <c r="Y1095" s="23"/>
      <c r="Z1095" s="43"/>
      <c r="AA1095" s="23"/>
      <c r="AB1095" s="23"/>
      <c r="AC1095" s="23"/>
      <c r="AD1095" s="23"/>
      <c r="AE1095" s="23"/>
      <c r="AF1095" s="23"/>
      <c r="AG1095" s="23"/>
      <c r="AH1095" s="23"/>
      <c r="AI1095" s="49"/>
    </row>
    <row r="1096" spans="1:35">
      <c r="A1096" s="23"/>
      <c r="B1096" s="42"/>
      <c r="C1096" s="49"/>
      <c r="E1096" s="49"/>
      <c r="G1096" s="43"/>
      <c r="H1096" s="44"/>
      <c r="L1096" s="42"/>
      <c r="M1096" s="42"/>
      <c r="N1096" s="25"/>
      <c r="O1096" s="54"/>
      <c r="P1096"/>
      <c r="Q1096" s="25"/>
      <c r="R1096" s="54"/>
      <c r="W1096" s="23"/>
      <c r="X1096" s="23"/>
      <c r="Y1096" s="23"/>
      <c r="Z1096" s="43"/>
      <c r="AA1096" s="23"/>
      <c r="AB1096" s="23"/>
      <c r="AC1096" s="23"/>
      <c r="AD1096" s="23"/>
      <c r="AE1096" s="23"/>
      <c r="AF1096" s="23"/>
      <c r="AG1096" s="23"/>
      <c r="AH1096" s="23"/>
      <c r="AI1096" s="49"/>
    </row>
    <row r="1097" spans="1:35">
      <c r="A1097" s="23"/>
      <c r="B1097" s="42"/>
      <c r="C1097" s="49"/>
      <c r="E1097" s="49"/>
      <c r="G1097" s="43"/>
      <c r="H1097" s="44"/>
      <c r="L1097" s="42"/>
      <c r="M1097" s="42"/>
      <c r="N1097" s="25"/>
      <c r="O1097" s="54"/>
      <c r="P1097"/>
      <c r="Q1097" s="25"/>
      <c r="R1097" s="54"/>
      <c r="W1097" s="23"/>
      <c r="X1097" s="23"/>
      <c r="Y1097" s="23"/>
      <c r="Z1097" s="43"/>
      <c r="AA1097" s="23"/>
      <c r="AB1097" s="23"/>
      <c r="AC1097" s="23"/>
      <c r="AD1097" s="23"/>
      <c r="AE1097" s="23"/>
      <c r="AF1097" s="23"/>
      <c r="AG1097" s="23"/>
      <c r="AH1097" s="23"/>
      <c r="AI1097" s="49"/>
    </row>
    <row r="1098" spans="1:35">
      <c r="A1098" s="23"/>
      <c r="B1098" s="42"/>
      <c r="C1098" s="49"/>
      <c r="E1098" s="49"/>
      <c r="G1098" s="43"/>
      <c r="H1098" s="44"/>
      <c r="L1098" s="42"/>
      <c r="M1098" s="42"/>
      <c r="N1098" s="25"/>
      <c r="O1098" s="54"/>
      <c r="P1098"/>
      <c r="Q1098" s="25"/>
      <c r="R1098" s="54"/>
      <c r="W1098" s="23"/>
      <c r="X1098" s="23"/>
      <c r="Y1098" s="23"/>
      <c r="Z1098" s="43"/>
      <c r="AA1098" s="23"/>
      <c r="AB1098" s="23"/>
      <c r="AC1098" s="23"/>
      <c r="AD1098" s="23"/>
      <c r="AE1098" s="23"/>
      <c r="AF1098" s="23"/>
      <c r="AG1098" s="23"/>
      <c r="AH1098" s="23"/>
      <c r="AI1098" s="49"/>
    </row>
    <row r="1099" spans="1:35">
      <c r="A1099" s="23"/>
      <c r="B1099" s="42"/>
      <c r="C1099" s="49"/>
      <c r="E1099" s="49"/>
      <c r="G1099" s="43"/>
      <c r="H1099" s="44"/>
      <c r="L1099" s="42"/>
      <c r="M1099" s="42"/>
      <c r="N1099" s="25"/>
      <c r="O1099" s="54"/>
      <c r="P1099"/>
      <c r="Q1099" s="25"/>
      <c r="R1099" s="54"/>
      <c r="W1099" s="23"/>
      <c r="X1099" s="23"/>
      <c r="Y1099" s="23"/>
      <c r="Z1099" s="43"/>
      <c r="AA1099" s="23"/>
      <c r="AB1099" s="23"/>
      <c r="AC1099" s="23"/>
      <c r="AD1099" s="23"/>
      <c r="AE1099" s="23"/>
      <c r="AF1099" s="23"/>
      <c r="AG1099" s="23"/>
      <c r="AH1099" s="23"/>
      <c r="AI1099" s="49"/>
    </row>
    <row r="1100" spans="1:35">
      <c r="A1100" s="23"/>
      <c r="B1100" s="42"/>
      <c r="C1100" s="49"/>
      <c r="E1100" s="49"/>
      <c r="G1100" s="43"/>
      <c r="H1100" s="44"/>
      <c r="L1100" s="42"/>
      <c r="M1100" s="42"/>
      <c r="N1100" s="25"/>
      <c r="O1100" s="54"/>
      <c r="P1100"/>
      <c r="Q1100" s="25"/>
      <c r="R1100" s="54"/>
      <c r="W1100" s="23"/>
      <c r="X1100" s="23"/>
      <c r="Y1100" s="23"/>
      <c r="Z1100" s="43"/>
      <c r="AA1100" s="23"/>
      <c r="AB1100" s="23"/>
      <c r="AC1100" s="23"/>
      <c r="AD1100" s="23"/>
      <c r="AE1100" s="23"/>
      <c r="AF1100" s="23"/>
      <c r="AG1100" s="23"/>
      <c r="AH1100" s="23"/>
      <c r="AI1100" s="49"/>
    </row>
    <row r="1101" spans="1:35">
      <c r="A1101" s="23"/>
      <c r="B1101" s="42"/>
      <c r="C1101" s="49"/>
      <c r="E1101" s="49"/>
      <c r="G1101" s="43"/>
      <c r="H1101" s="44"/>
      <c r="L1101" s="42"/>
      <c r="M1101" s="42"/>
      <c r="N1101" s="25"/>
      <c r="O1101" s="54"/>
      <c r="P1101"/>
      <c r="Q1101" s="25"/>
      <c r="R1101" s="54"/>
      <c r="W1101" s="23"/>
      <c r="X1101" s="23"/>
      <c r="Y1101" s="23"/>
      <c r="Z1101" s="43"/>
      <c r="AA1101" s="23"/>
      <c r="AB1101" s="23"/>
      <c r="AC1101" s="23"/>
      <c r="AD1101" s="23"/>
      <c r="AE1101" s="23"/>
      <c r="AF1101" s="23"/>
      <c r="AG1101" s="23"/>
      <c r="AH1101" s="23"/>
      <c r="AI1101" s="49"/>
    </row>
    <row r="1102" spans="1:35">
      <c r="A1102" s="23"/>
      <c r="B1102" s="42"/>
      <c r="C1102" s="49"/>
      <c r="E1102" s="49"/>
      <c r="G1102" s="43"/>
      <c r="H1102" s="44"/>
      <c r="L1102" s="42"/>
      <c r="M1102" s="42"/>
      <c r="N1102" s="25"/>
      <c r="O1102" s="54"/>
      <c r="P1102"/>
      <c r="Q1102" s="25"/>
      <c r="R1102" s="54"/>
      <c r="W1102" s="23"/>
      <c r="X1102" s="23"/>
      <c r="Y1102" s="23"/>
      <c r="Z1102" s="43"/>
      <c r="AA1102" s="23"/>
      <c r="AB1102" s="23"/>
      <c r="AC1102" s="23"/>
      <c r="AD1102" s="23"/>
      <c r="AE1102" s="23"/>
      <c r="AF1102" s="23"/>
      <c r="AG1102" s="23"/>
      <c r="AH1102" s="23"/>
      <c r="AI1102" s="49"/>
    </row>
    <row r="1103" spans="1:35">
      <c r="A1103" s="23"/>
      <c r="B1103" s="42"/>
      <c r="C1103" s="49"/>
      <c r="E1103" s="49"/>
      <c r="G1103" s="43"/>
      <c r="H1103" s="44"/>
      <c r="L1103" s="42"/>
      <c r="M1103" s="42"/>
      <c r="N1103" s="25"/>
      <c r="O1103" s="54"/>
      <c r="P1103"/>
      <c r="Q1103" s="25"/>
      <c r="R1103" s="54"/>
      <c r="W1103" s="23"/>
      <c r="X1103" s="23"/>
      <c r="Y1103" s="23"/>
      <c r="Z1103" s="43"/>
      <c r="AA1103" s="23"/>
      <c r="AB1103" s="23"/>
      <c r="AC1103" s="23"/>
      <c r="AD1103" s="23"/>
      <c r="AE1103" s="23"/>
      <c r="AF1103" s="23"/>
      <c r="AG1103" s="23"/>
      <c r="AH1103" s="23"/>
      <c r="AI1103" s="49"/>
    </row>
    <row r="1104" spans="1:35">
      <c r="A1104" s="23"/>
      <c r="B1104" s="42"/>
      <c r="C1104" s="49"/>
      <c r="E1104" s="49"/>
      <c r="G1104" s="43"/>
      <c r="H1104" s="44"/>
      <c r="L1104" s="42"/>
      <c r="M1104" s="42"/>
      <c r="N1104" s="25"/>
      <c r="O1104" s="54"/>
      <c r="P1104"/>
      <c r="Q1104" s="25"/>
      <c r="R1104" s="54"/>
      <c r="W1104" s="23"/>
      <c r="X1104" s="23"/>
      <c r="Y1104" s="23"/>
      <c r="Z1104" s="43"/>
      <c r="AA1104" s="23"/>
      <c r="AB1104" s="23"/>
      <c r="AC1104" s="23"/>
      <c r="AD1104" s="23"/>
      <c r="AE1104" s="23"/>
      <c r="AF1104" s="23"/>
      <c r="AG1104" s="23"/>
      <c r="AH1104" s="23"/>
      <c r="AI1104" s="49"/>
    </row>
    <row r="1105" spans="1:35">
      <c r="A1105" s="23"/>
      <c r="B1105" s="42"/>
      <c r="C1105" s="49"/>
      <c r="E1105" s="49"/>
      <c r="G1105" s="43"/>
      <c r="H1105" s="44"/>
      <c r="L1105" s="42"/>
      <c r="M1105" s="42"/>
      <c r="N1105" s="25"/>
      <c r="O1105" s="54"/>
      <c r="P1105"/>
      <c r="Q1105" s="25"/>
      <c r="R1105" s="54"/>
      <c r="W1105" s="23"/>
      <c r="X1105" s="23"/>
      <c r="Y1105" s="23"/>
      <c r="Z1105" s="43"/>
      <c r="AA1105" s="23"/>
      <c r="AB1105" s="23"/>
      <c r="AC1105" s="23"/>
      <c r="AD1105" s="23"/>
      <c r="AE1105" s="23"/>
      <c r="AF1105" s="23"/>
      <c r="AG1105" s="23"/>
      <c r="AH1105" s="23"/>
      <c r="AI1105" s="49"/>
    </row>
    <row r="1106" spans="1:35">
      <c r="A1106" s="23"/>
      <c r="B1106" s="42"/>
      <c r="C1106" s="49"/>
      <c r="E1106" s="49"/>
      <c r="G1106" s="43"/>
      <c r="H1106" s="44"/>
      <c r="L1106" s="42"/>
      <c r="M1106" s="42"/>
      <c r="N1106" s="25"/>
      <c r="O1106" s="54"/>
      <c r="P1106"/>
      <c r="Q1106" s="25"/>
      <c r="R1106" s="54"/>
      <c r="W1106" s="23"/>
      <c r="X1106" s="23"/>
      <c r="Y1106" s="23"/>
      <c r="Z1106" s="43"/>
      <c r="AA1106" s="23"/>
      <c r="AB1106" s="23"/>
      <c r="AC1106" s="23"/>
      <c r="AD1106" s="23"/>
      <c r="AE1106" s="23"/>
      <c r="AF1106" s="23"/>
      <c r="AG1106" s="23"/>
      <c r="AH1106" s="23"/>
      <c r="AI1106" s="49"/>
    </row>
    <row r="1107" spans="1:35">
      <c r="A1107" s="23"/>
      <c r="B1107" s="42"/>
      <c r="C1107" s="49"/>
      <c r="E1107" s="49"/>
      <c r="G1107" s="43"/>
      <c r="H1107" s="44"/>
      <c r="L1107" s="42"/>
      <c r="M1107" s="42"/>
      <c r="N1107" s="25"/>
      <c r="O1107" s="54"/>
      <c r="P1107"/>
      <c r="Q1107" s="25"/>
      <c r="R1107" s="54"/>
      <c r="W1107" s="23"/>
      <c r="X1107" s="23"/>
      <c r="Y1107" s="23"/>
      <c r="Z1107" s="43"/>
      <c r="AA1107" s="23"/>
      <c r="AB1107" s="23"/>
      <c r="AC1107" s="23"/>
      <c r="AD1107" s="23"/>
      <c r="AE1107" s="23"/>
      <c r="AF1107" s="23"/>
      <c r="AG1107" s="23"/>
      <c r="AH1107" s="23"/>
      <c r="AI1107" s="49"/>
    </row>
    <row r="1108" spans="1:35">
      <c r="A1108" s="23"/>
      <c r="B1108" s="42"/>
      <c r="C1108" s="49"/>
      <c r="E1108" s="49"/>
      <c r="G1108" s="43"/>
      <c r="H1108" s="44"/>
      <c r="L1108" s="42"/>
      <c r="M1108" s="42"/>
      <c r="N1108" s="25"/>
      <c r="O1108" s="54"/>
      <c r="P1108"/>
      <c r="Q1108" s="25"/>
      <c r="R1108" s="54"/>
      <c r="W1108" s="23"/>
      <c r="X1108" s="23"/>
      <c r="Y1108" s="23"/>
      <c r="Z1108" s="43"/>
      <c r="AA1108" s="23"/>
      <c r="AB1108" s="23"/>
      <c r="AC1108" s="23"/>
      <c r="AD1108" s="23"/>
      <c r="AE1108" s="23"/>
      <c r="AF1108" s="23"/>
      <c r="AG1108" s="23"/>
      <c r="AH1108" s="23"/>
      <c r="AI1108" s="49"/>
    </row>
    <row r="1109" spans="1:35">
      <c r="A1109" s="23"/>
      <c r="B1109" s="42"/>
      <c r="C1109" s="49"/>
      <c r="E1109" s="49"/>
      <c r="G1109" s="43"/>
      <c r="H1109" s="44"/>
      <c r="L1109" s="42"/>
      <c r="M1109" s="42"/>
      <c r="N1109" s="25"/>
      <c r="O1109" s="54"/>
      <c r="P1109"/>
      <c r="Q1109" s="25"/>
      <c r="R1109" s="54"/>
      <c r="W1109" s="23"/>
      <c r="X1109" s="23"/>
      <c r="Y1109" s="23"/>
      <c r="Z1109" s="43"/>
      <c r="AA1109" s="23"/>
      <c r="AB1109" s="23"/>
      <c r="AC1109" s="23"/>
      <c r="AD1109" s="23"/>
      <c r="AE1109" s="23"/>
      <c r="AF1109" s="23"/>
      <c r="AG1109" s="23"/>
      <c r="AH1109" s="23"/>
      <c r="AI1109" s="49"/>
    </row>
    <row r="1110" spans="1:35">
      <c r="A1110" s="23"/>
      <c r="B1110" s="42"/>
      <c r="C1110" s="49"/>
      <c r="E1110" s="49"/>
      <c r="G1110" s="43"/>
      <c r="H1110" s="44"/>
      <c r="L1110" s="42"/>
      <c r="M1110" s="42"/>
      <c r="N1110" s="25"/>
      <c r="O1110" s="54"/>
      <c r="P1110"/>
      <c r="Q1110" s="25"/>
      <c r="R1110" s="54"/>
      <c r="W1110" s="23"/>
      <c r="X1110" s="23"/>
      <c r="Y1110" s="23"/>
      <c r="Z1110" s="43"/>
      <c r="AA1110" s="23"/>
      <c r="AB1110" s="23"/>
      <c r="AC1110" s="23"/>
      <c r="AD1110" s="23"/>
      <c r="AE1110" s="23"/>
      <c r="AF1110" s="23"/>
      <c r="AG1110" s="23"/>
      <c r="AH1110" s="23"/>
      <c r="AI1110" s="49"/>
    </row>
    <row r="1111" spans="1:35">
      <c r="A1111" s="23"/>
      <c r="B1111" s="42"/>
      <c r="C1111" s="49"/>
      <c r="E1111" s="49"/>
      <c r="G1111" s="43"/>
      <c r="H1111" s="44"/>
      <c r="L1111" s="42"/>
      <c r="M1111" s="42"/>
      <c r="N1111" s="25"/>
      <c r="O1111" s="54"/>
      <c r="P1111"/>
      <c r="Q1111" s="25"/>
      <c r="R1111" s="54"/>
      <c r="W1111" s="23"/>
      <c r="X1111" s="23"/>
      <c r="Y1111" s="23"/>
      <c r="Z1111" s="43"/>
      <c r="AA1111" s="23"/>
      <c r="AB1111" s="23"/>
      <c r="AC1111" s="23"/>
      <c r="AD1111" s="23"/>
      <c r="AE1111" s="23"/>
      <c r="AF1111" s="23"/>
      <c r="AG1111" s="23"/>
      <c r="AH1111" s="23"/>
      <c r="AI1111" s="49"/>
    </row>
    <row r="1112" spans="1:35">
      <c r="A1112" s="23"/>
      <c r="B1112" s="42"/>
      <c r="C1112" s="49"/>
      <c r="E1112" s="49"/>
      <c r="G1112" s="43"/>
      <c r="H1112" s="44"/>
      <c r="L1112" s="42"/>
      <c r="M1112" s="42"/>
      <c r="N1112" s="25"/>
      <c r="O1112" s="54"/>
      <c r="P1112"/>
      <c r="Q1112" s="25"/>
      <c r="R1112" s="54"/>
      <c r="W1112" s="23"/>
      <c r="X1112" s="23"/>
      <c r="Y1112" s="23"/>
      <c r="Z1112" s="43"/>
      <c r="AA1112" s="23"/>
      <c r="AB1112" s="23"/>
      <c r="AC1112" s="23"/>
      <c r="AD1112" s="23"/>
      <c r="AE1112" s="23"/>
      <c r="AF1112" s="23"/>
      <c r="AG1112" s="23"/>
      <c r="AH1112" s="23"/>
      <c r="AI1112" s="49"/>
    </row>
    <row r="1113" spans="1:35">
      <c r="A1113" s="23"/>
      <c r="B1113" s="42"/>
      <c r="C1113" s="49"/>
      <c r="E1113" s="49"/>
      <c r="G1113" s="43"/>
      <c r="H1113" s="44"/>
      <c r="L1113" s="42"/>
      <c r="M1113" s="42"/>
      <c r="N1113" s="25"/>
      <c r="O1113" s="54"/>
      <c r="P1113"/>
      <c r="Q1113" s="25"/>
      <c r="R1113" s="54"/>
      <c r="W1113" s="23"/>
      <c r="X1113" s="23"/>
      <c r="Y1113" s="23"/>
      <c r="Z1113" s="43"/>
      <c r="AA1113" s="23"/>
      <c r="AB1113" s="23"/>
      <c r="AC1113" s="23"/>
      <c r="AD1113" s="23"/>
      <c r="AE1113" s="23"/>
      <c r="AF1113" s="23"/>
      <c r="AG1113" s="23"/>
      <c r="AH1113" s="23"/>
      <c r="AI1113" s="49"/>
    </row>
    <row r="1114" spans="1:35">
      <c r="A1114" s="23"/>
      <c r="B1114" s="42"/>
      <c r="C1114" s="49"/>
      <c r="E1114" s="49"/>
      <c r="G1114" s="43"/>
      <c r="H1114" s="44"/>
      <c r="L1114" s="42"/>
      <c r="M1114" s="42"/>
      <c r="N1114" s="25"/>
      <c r="O1114" s="54"/>
      <c r="P1114"/>
      <c r="Q1114" s="25"/>
      <c r="R1114" s="54"/>
      <c r="W1114" s="23"/>
      <c r="X1114" s="23"/>
      <c r="Y1114" s="23"/>
      <c r="Z1114" s="43"/>
      <c r="AA1114" s="23"/>
      <c r="AB1114" s="23"/>
      <c r="AC1114" s="23"/>
      <c r="AD1114" s="23"/>
      <c r="AE1114" s="23"/>
      <c r="AF1114" s="23"/>
      <c r="AG1114" s="23"/>
      <c r="AH1114" s="23"/>
      <c r="AI1114" s="49"/>
    </row>
    <row r="1115" spans="1:35">
      <c r="A1115" s="23"/>
      <c r="B1115" s="42"/>
      <c r="C1115" s="49"/>
      <c r="E1115" s="49"/>
      <c r="G1115" s="43"/>
      <c r="H1115" s="44"/>
      <c r="L1115" s="42"/>
      <c r="M1115" s="42"/>
      <c r="N1115" s="25"/>
      <c r="O1115" s="54"/>
      <c r="P1115"/>
      <c r="Q1115" s="25"/>
      <c r="R1115" s="54"/>
      <c r="W1115" s="23"/>
      <c r="X1115" s="23"/>
      <c r="Y1115" s="23"/>
      <c r="Z1115" s="43"/>
      <c r="AA1115" s="23"/>
      <c r="AB1115" s="23"/>
      <c r="AC1115" s="23"/>
      <c r="AD1115" s="23"/>
      <c r="AE1115" s="23"/>
      <c r="AF1115" s="23"/>
      <c r="AG1115" s="23"/>
      <c r="AH1115" s="23"/>
      <c r="AI1115" s="49"/>
    </row>
    <row r="1116" spans="1:35">
      <c r="A1116" s="23"/>
      <c r="B1116" s="42"/>
      <c r="C1116" s="49"/>
      <c r="E1116" s="49"/>
      <c r="G1116" s="43"/>
      <c r="H1116" s="44"/>
      <c r="L1116" s="42"/>
      <c r="M1116" s="42"/>
      <c r="N1116" s="25"/>
      <c r="O1116" s="54"/>
      <c r="P1116"/>
      <c r="Q1116" s="25"/>
      <c r="R1116" s="54"/>
      <c r="W1116" s="23"/>
      <c r="X1116" s="23"/>
      <c r="Y1116" s="23"/>
      <c r="Z1116" s="43"/>
      <c r="AA1116" s="23"/>
      <c r="AB1116" s="23"/>
      <c r="AC1116" s="23"/>
      <c r="AD1116" s="23"/>
      <c r="AE1116" s="23"/>
      <c r="AF1116" s="23"/>
      <c r="AG1116" s="23"/>
      <c r="AH1116" s="23"/>
      <c r="AI1116" s="49"/>
    </row>
    <row r="1117" spans="1:35">
      <c r="A1117" s="23"/>
      <c r="B1117" s="42"/>
      <c r="C1117" s="49"/>
      <c r="E1117" s="49"/>
      <c r="G1117" s="43"/>
      <c r="H1117" s="44"/>
      <c r="L1117" s="42"/>
      <c r="M1117" s="42"/>
      <c r="N1117" s="25"/>
      <c r="O1117" s="54"/>
      <c r="P1117"/>
      <c r="Q1117" s="25"/>
      <c r="R1117" s="54"/>
      <c r="W1117" s="23"/>
      <c r="X1117" s="23"/>
      <c r="Y1117" s="23"/>
      <c r="Z1117" s="43"/>
      <c r="AA1117" s="23"/>
      <c r="AB1117" s="23"/>
      <c r="AC1117" s="23"/>
      <c r="AD1117" s="23"/>
      <c r="AE1117" s="23"/>
      <c r="AF1117" s="23"/>
      <c r="AG1117" s="23"/>
      <c r="AH1117" s="23"/>
      <c r="AI1117" s="49"/>
    </row>
    <row r="1118" spans="1:35">
      <c r="A1118" s="23"/>
      <c r="B1118" s="42"/>
      <c r="C1118" s="49"/>
      <c r="E1118" s="49"/>
      <c r="G1118" s="43"/>
      <c r="H1118" s="44"/>
      <c r="L1118" s="42"/>
      <c r="M1118" s="42"/>
      <c r="N1118" s="25"/>
      <c r="O1118" s="54"/>
      <c r="P1118"/>
      <c r="Q1118" s="25"/>
      <c r="R1118" s="54"/>
      <c r="W1118" s="23"/>
      <c r="X1118" s="23"/>
      <c r="Y1118" s="23"/>
      <c r="Z1118" s="43"/>
      <c r="AA1118" s="23"/>
      <c r="AB1118" s="23"/>
      <c r="AC1118" s="23"/>
      <c r="AD1118" s="23"/>
      <c r="AE1118" s="23"/>
      <c r="AF1118" s="23"/>
      <c r="AG1118" s="23"/>
      <c r="AH1118" s="23"/>
      <c r="AI1118" s="49"/>
    </row>
    <row r="1119" spans="1:35">
      <c r="A1119" s="23"/>
      <c r="B1119" s="42"/>
      <c r="C1119" s="49"/>
      <c r="E1119" s="49"/>
      <c r="G1119" s="43"/>
      <c r="H1119" s="44"/>
      <c r="L1119" s="42"/>
      <c r="M1119" s="42"/>
      <c r="N1119" s="25"/>
      <c r="O1119" s="54"/>
      <c r="P1119"/>
      <c r="Q1119" s="25"/>
      <c r="R1119" s="54"/>
      <c r="W1119" s="23"/>
      <c r="X1119" s="23"/>
      <c r="Y1119" s="23"/>
      <c r="Z1119" s="43"/>
      <c r="AA1119" s="23"/>
      <c r="AB1119" s="23"/>
      <c r="AC1119" s="23"/>
      <c r="AD1119" s="23"/>
      <c r="AE1119" s="23"/>
      <c r="AF1119" s="23"/>
      <c r="AG1119" s="23"/>
      <c r="AH1119" s="23"/>
      <c r="AI1119" s="49"/>
    </row>
    <row r="1120" spans="1:35">
      <c r="A1120" s="23"/>
      <c r="B1120" s="42"/>
      <c r="C1120" s="49"/>
      <c r="E1120" s="49"/>
      <c r="G1120" s="43"/>
      <c r="H1120" s="44"/>
      <c r="L1120" s="42"/>
      <c r="M1120" s="42"/>
      <c r="N1120" s="25"/>
      <c r="O1120" s="54"/>
      <c r="P1120"/>
      <c r="Q1120" s="25"/>
      <c r="R1120" s="54"/>
      <c r="W1120" s="23"/>
      <c r="X1120" s="23"/>
      <c r="Y1120" s="23"/>
      <c r="Z1120" s="43"/>
      <c r="AA1120" s="23"/>
      <c r="AB1120" s="23"/>
      <c r="AC1120" s="23"/>
      <c r="AD1120" s="23"/>
      <c r="AE1120" s="23"/>
      <c r="AF1120" s="23"/>
      <c r="AG1120" s="23"/>
      <c r="AH1120" s="23"/>
      <c r="AI1120" s="49"/>
    </row>
    <row r="1121" spans="1:35">
      <c r="A1121" s="23"/>
      <c r="B1121" s="42"/>
      <c r="C1121" s="49"/>
      <c r="E1121" s="49"/>
      <c r="G1121" s="43"/>
      <c r="H1121" s="44"/>
      <c r="L1121" s="42"/>
      <c r="M1121" s="42"/>
      <c r="N1121" s="25"/>
      <c r="O1121" s="54"/>
      <c r="P1121"/>
      <c r="Q1121" s="25"/>
      <c r="R1121" s="54"/>
      <c r="W1121" s="23"/>
      <c r="X1121" s="23"/>
      <c r="Y1121" s="23"/>
      <c r="Z1121" s="43"/>
      <c r="AA1121" s="23"/>
      <c r="AB1121" s="23"/>
      <c r="AC1121" s="23"/>
      <c r="AD1121" s="23"/>
      <c r="AE1121" s="23"/>
      <c r="AF1121" s="23"/>
      <c r="AG1121" s="23"/>
      <c r="AH1121" s="23"/>
      <c r="AI1121" s="49"/>
    </row>
    <row r="1122" spans="1:35">
      <c r="A1122" s="23"/>
      <c r="B1122" s="42"/>
      <c r="C1122" s="49"/>
      <c r="E1122" s="49"/>
      <c r="G1122" s="43"/>
      <c r="H1122" s="44"/>
      <c r="L1122" s="42"/>
      <c r="M1122" s="42"/>
      <c r="N1122" s="25"/>
      <c r="O1122" s="54"/>
      <c r="P1122"/>
      <c r="Q1122" s="25"/>
      <c r="R1122" s="54"/>
      <c r="W1122" s="23"/>
      <c r="X1122" s="23"/>
      <c r="Y1122" s="23"/>
      <c r="Z1122" s="43"/>
      <c r="AA1122" s="23"/>
      <c r="AB1122" s="23"/>
      <c r="AC1122" s="23"/>
      <c r="AD1122" s="23"/>
      <c r="AE1122" s="23"/>
      <c r="AF1122" s="23"/>
      <c r="AG1122" s="23"/>
      <c r="AH1122" s="23"/>
      <c r="AI1122" s="49"/>
    </row>
    <row r="1123" spans="1:35">
      <c r="A1123" s="23"/>
      <c r="B1123" s="42"/>
      <c r="C1123" s="49"/>
      <c r="E1123" s="49"/>
      <c r="G1123" s="43"/>
      <c r="H1123" s="44"/>
      <c r="L1123" s="42"/>
      <c r="M1123" s="42"/>
      <c r="N1123" s="25"/>
      <c r="O1123" s="54"/>
      <c r="P1123"/>
      <c r="Q1123" s="25"/>
      <c r="R1123" s="54"/>
      <c r="W1123" s="23"/>
      <c r="X1123" s="23"/>
      <c r="Y1123" s="23"/>
      <c r="Z1123" s="43"/>
      <c r="AA1123" s="23"/>
      <c r="AB1123" s="23"/>
      <c r="AC1123" s="23"/>
      <c r="AD1123" s="23"/>
      <c r="AE1123" s="23"/>
      <c r="AF1123" s="23"/>
      <c r="AG1123" s="23"/>
      <c r="AH1123" s="23"/>
      <c r="AI1123" s="49"/>
    </row>
    <row r="1124" spans="1:35">
      <c r="A1124" s="23"/>
      <c r="B1124" s="42"/>
      <c r="C1124" s="49"/>
      <c r="E1124" s="49"/>
      <c r="G1124" s="43"/>
      <c r="H1124" s="44"/>
      <c r="L1124" s="42"/>
      <c r="M1124" s="42"/>
      <c r="N1124" s="25"/>
      <c r="O1124" s="54"/>
      <c r="P1124"/>
      <c r="Q1124" s="25"/>
      <c r="R1124" s="54"/>
      <c r="W1124" s="23"/>
      <c r="X1124" s="23"/>
      <c r="Y1124" s="23"/>
      <c r="Z1124" s="43"/>
      <c r="AA1124" s="23"/>
      <c r="AB1124" s="23"/>
      <c r="AC1124" s="23"/>
      <c r="AD1124" s="23"/>
      <c r="AE1124" s="23"/>
      <c r="AF1124" s="23"/>
      <c r="AG1124" s="23"/>
      <c r="AH1124" s="23"/>
      <c r="AI1124" s="49"/>
    </row>
    <row r="1125" spans="1:35">
      <c r="A1125" s="23"/>
      <c r="B1125" s="42"/>
      <c r="C1125" s="49"/>
      <c r="E1125" s="49"/>
      <c r="G1125" s="43"/>
      <c r="H1125" s="44"/>
      <c r="L1125" s="42"/>
      <c r="M1125" s="42"/>
      <c r="N1125" s="25"/>
      <c r="O1125" s="54"/>
      <c r="P1125"/>
      <c r="Q1125" s="25"/>
      <c r="R1125" s="54"/>
      <c r="W1125" s="23"/>
      <c r="X1125" s="23"/>
      <c r="Y1125" s="23"/>
      <c r="Z1125" s="43"/>
      <c r="AA1125" s="23"/>
      <c r="AB1125" s="23"/>
      <c r="AC1125" s="23"/>
      <c r="AD1125" s="23"/>
      <c r="AE1125" s="23"/>
      <c r="AF1125" s="23"/>
      <c r="AG1125" s="23"/>
      <c r="AH1125" s="23"/>
      <c r="AI1125" s="49"/>
    </row>
    <row r="1126" spans="1:35">
      <c r="A1126" s="23"/>
      <c r="B1126" s="42"/>
      <c r="C1126" s="49"/>
      <c r="E1126" s="49"/>
      <c r="G1126" s="43"/>
      <c r="H1126" s="44"/>
      <c r="L1126" s="42"/>
      <c r="M1126" s="42"/>
      <c r="N1126" s="25"/>
      <c r="O1126" s="54"/>
      <c r="P1126"/>
      <c r="Q1126" s="25"/>
      <c r="R1126" s="54"/>
      <c r="W1126" s="23"/>
      <c r="X1126" s="23"/>
      <c r="Y1126" s="23"/>
      <c r="Z1126" s="43"/>
      <c r="AA1126" s="23"/>
      <c r="AB1126" s="23"/>
      <c r="AC1126" s="23"/>
      <c r="AD1126" s="23"/>
      <c r="AE1126" s="23"/>
      <c r="AF1126" s="23"/>
      <c r="AG1126" s="23"/>
      <c r="AH1126" s="23"/>
      <c r="AI1126" s="49"/>
    </row>
    <row r="1127" spans="1:35">
      <c r="A1127" s="23"/>
      <c r="B1127" s="42"/>
      <c r="C1127" s="49"/>
      <c r="E1127" s="49"/>
      <c r="G1127" s="43"/>
      <c r="H1127" s="44"/>
      <c r="L1127" s="42"/>
      <c r="M1127" s="42"/>
      <c r="N1127" s="25"/>
      <c r="O1127" s="54"/>
      <c r="P1127"/>
      <c r="Q1127" s="25"/>
      <c r="R1127" s="54"/>
      <c r="W1127" s="23"/>
      <c r="X1127" s="23"/>
      <c r="Y1127" s="23"/>
      <c r="Z1127" s="43"/>
      <c r="AA1127" s="23"/>
      <c r="AB1127" s="23"/>
      <c r="AC1127" s="23"/>
      <c r="AD1127" s="23"/>
      <c r="AE1127" s="23"/>
      <c r="AF1127" s="23"/>
      <c r="AG1127" s="23"/>
      <c r="AH1127" s="23"/>
      <c r="AI1127" s="49"/>
    </row>
    <row r="1128" spans="1:35">
      <c r="A1128" s="23"/>
      <c r="B1128" s="42"/>
      <c r="C1128" s="49"/>
      <c r="E1128" s="49"/>
      <c r="G1128" s="43"/>
      <c r="H1128" s="44"/>
      <c r="L1128" s="42"/>
      <c r="M1128" s="42"/>
      <c r="N1128" s="25"/>
      <c r="O1128" s="54"/>
      <c r="P1128"/>
      <c r="Q1128" s="25"/>
      <c r="R1128" s="54"/>
      <c r="W1128" s="23"/>
      <c r="X1128" s="23"/>
      <c r="Y1128" s="23"/>
      <c r="Z1128" s="43"/>
      <c r="AA1128" s="23"/>
      <c r="AB1128" s="23"/>
      <c r="AC1128" s="23"/>
      <c r="AD1128" s="23"/>
      <c r="AE1128" s="23"/>
      <c r="AF1128" s="23"/>
      <c r="AG1128" s="23"/>
      <c r="AH1128" s="23"/>
      <c r="AI1128" s="49"/>
    </row>
    <row r="1129" spans="1:35">
      <c r="A1129" s="23"/>
      <c r="B1129" s="42"/>
      <c r="C1129" s="49"/>
      <c r="E1129" s="49"/>
      <c r="G1129" s="43"/>
      <c r="H1129" s="44"/>
      <c r="L1129" s="42"/>
      <c r="M1129" s="42"/>
      <c r="N1129" s="25"/>
      <c r="O1129" s="54"/>
      <c r="P1129"/>
      <c r="Q1129" s="25"/>
      <c r="R1129" s="54"/>
      <c r="W1129" s="23"/>
      <c r="X1129" s="23"/>
      <c r="Y1129" s="23"/>
      <c r="Z1129" s="43"/>
      <c r="AA1129" s="23"/>
      <c r="AB1129" s="23"/>
      <c r="AC1129" s="23"/>
      <c r="AD1129" s="23"/>
      <c r="AE1129" s="23"/>
      <c r="AF1129" s="23"/>
      <c r="AG1129" s="23"/>
      <c r="AH1129" s="23"/>
      <c r="AI1129" s="49"/>
    </row>
    <row r="1130" spans="1:35">
      <c r="A1130" s="23"/>
      <c r="B1130" s="42"/>
      <c r="C1130" s="49"/>
      <c r="E1130" s="49"/>
      <c r="G1130" s="43"/>
      <c r="H1130" s="44"/>
      <c r="L1130" s="42"/>
      <c r="M1130" s="42"/>
      <c r="N1130" s="25"/>
      <c r="O1130" s="54"/>
      <c r="P1130"/>
      <c r="Q1130" s="25"/>
      <c r="R1130" s="54"/>
      <c r="W1130" s="23"/>
      <c r="X1130" s="23"/>
      <c r="Y1130" s="23"/>
      <c r="Z1130" s="43"/>
      <c r="AA1130" s="23"/>
      <c r="AB1130" s="23"/>
      <c r="AC1130" s="23"/>
      <c r="AD1130" s="23"/>
      <c r="AE1130" s="23"/>
      <c r="AF1130" s="23"/>
      <c r="AG1130" s="23"/>
      <c r="AH1130" s="23"/>
      <c r="AI1130" s="49"/>
    </row>
    <row r="1131" spans="1:35">
      <c r="A1131" s="23"/>
      <c r="B1131" s="42"/>
      <c r="C1131" s="49"/>
      <c r="E1131" s="49"/>
      <c r="G1131" s="43"/>
      <c r="H1131" s="44"/>
      <c r="L1131" s="42"/>
      <c r="M1131" s="42"/>
      <c r="N1131" s="25"/>
      <c r="O1131" s="54"/>
      <c r="P1131"/>
      <c r="Q1131" s="25"/>
      <c r="R1131" s="54"/>
      <c r="W1131" s="23"/>
      <c r="X1131" s="23"/>
      <c r="Y1131" s="23"/>
      <c r="Z1131" s="43"/>
      <c r="AA1131" s="23"/>
      <c r="AB1131" s="23"/>
      <c r="AC1131" s="23"/>
      <c r="AD1131" s="23"/>
      <c r="AE1131" s="23"/>
      <c r="AF1131" s="23"/>
      <c r="AG1131" s="23"/>
      <c r="AH1131" s="23"/>
      <c r="AI1131" s="49"/>
    </row>
    <row r="1132" spans="1:35">
      <c r="A1132" s="23"/>
      <c r="B1132" s="42"/>
      <c r="C1132" s="49"/>
      <c r="E1132" s="49"/>
      <c r="G1132" s="43"/>
      <c r="H1132" s="44"/>
      <c r="L1132" s="42"/>
      <c r="M1132" s="42"/>
      <c r="N1132" s="25"/>
      <c r="O1132" s="54"/>
      <c r="P1132"/>
      <c r="Q1132" s="25"/>
      <c r="R1132" s="54"/>
      <c r="W1132" s="23"/>
      <c r="X1132" s="23"/>
      <c r="Y1132" s="23"/>
      <c r="Z1132" s="43"/>
      <c r="AA1132" s="23"/>
      <c r="AB1132" s="23"/>
      <c r="AC1132" s="23"/>
      <c r="AD1132" s="23"/>
      <c r="AE1132" s="23"/>
      <c r="AF1132" s="23"/>
      <c r="AG1132" s="23"/>
      <c r="AH1132" s="23"/>
      <c r="AI1132" s="49"/>
    </row>
    <row r="1133" spans="1:35">
      <c r="A1133" s="23"/>
      <c r="B1133" s="42"/>
      <c r="C1133" s="49"/>
      <c r="E1133" s="49"/>
      <c r="G1133" s="43"/>
      <c r="H1133" s="44"/>
      <c r="L1133" s="42"/>
      <c r="M1133" s="42"/>
      <c r="N1133" s="25"/>
      <c r="O1133" s="54"/>
      <c r="P1133"/>
      <c r="Q1133" s="25"/>
      <c r="R1133" s="54"/>
      <c r="W1133" s="23"/>
      <c r="X1133" s="23"/>
      <c r="Y1133" s="23"/>
      <c r="Z1133" s="43"/>
      <c r="AA1133" s="23"/>
      <c r="AB1133" s="23"/>
      <c r="AC1133" s="23"/>
      <c r="AD1133" s="23"/>
      <c r="AE1133" s="23"/>
      <c r="AF1133" s="23"/>
      <c r="AG1133" s="23"/>
      <c r="AH1133" s="23"/>
      <c r="AI1133" s="49"/>
    </row>
    <row r="1134" spans="1:35">
      <c r="B1134" s="42"/>
      <c r="G1134" s="43"/>
      <c r="H1134" s="44"/>
      <c r="L1134" s="42"/>
      <c r="M1134" s="42"/>
      <c r="N1134" s="25"/>
      <c r="O1134" s="54"/>
      <c r="P1134"/>
      <c r="Q1134" s="25"/>
      <c r="R1134" s="54"/>
      <c r="W1134" s="23"/>
      <c r="X1134" s="23"/>
      <c r="Y1134" s="23"/>
      <c r="Z1134" s="43"/>
      <c r="AA1134" s="23"/>
      <c r="AB1134" s="23"/>
      <c r="AC1134" s="23"/>
      <c r="AD1134" s="23"/>
      <c r="AE1134" s="23"/>
      <c r="AF1134" s="23"/>
      <c r="AG1134" s="23"/>
      <c r="AH1134" s="23"/>
      <c r="AI1134" s="48"/>
    </row>
    <row r="1135" spans="1:35">
      <c r="B1135" s="42"/>
      <c r="G1135" s="43"/>
      <c r="H1135" s="44"/>
      <c r="L1135" s="42"/>
      <c r="M1135" s="42"/>
      <c r="N1135" s="25"/>
      <c r="O1135" s="54"/>
      <c r="P1135"/>
      <c r="Q1135" s="25"/>
      <c r="R1135" s="54"/>
      <c r="W1135" s="23"/>
      <c r="X1135" s="23"/>
      <c r="Y1135" s="23"/>
      <c r="Z1135" s="43"/>
      <c r="AA1135" s="23"/>
      <c r="AB1135" s="23"/>
      <c r="AC1135" s="23"/>
      <c r="AD1135" s="23"/>
      <c r="AE1135" s="23"/>
      <c r="AF1135" s="23"/>
      <c r="AG1135" s="23"/>
      <c r="AH1135" s="23"/>
      <c r="AI1135" s="48"/>
    </row>
    <row r="1136" spans="1:35">
      <c r="B1136" s="42"/>
      <c r="G1136" s="43"/>
      <c r="H1136" s="44"/>
      <c r="L1136" s="42"/>
      <c r="M1136" s="42"/>
      <c r="N1136" s="25"/>
      <c r="O1136" s="54"/>
      <c r="P1136"/>
      <c r="Q1136" s="25"/>
      <c r="R1136" s="54"/>
      <c r="W1136" s="23"/>
      <c r="X1136" s="23"/>
      <c r="Y1136" s="23"/>
      <c r="Z1136" s="43"/>
      <c r="AA1136" s="23"/>
      <c r="AB1136" s="23"/>
      <c r="AC1136" s="23"/>
      <c r="AD1136" s="23"/>
      <c r="AE1136" s="23"/>
      <c r="AF1136" s="23"/>
      <c r="AG1136" s="23"/>
      <c r="AH1136" s="23"/>
      <c r="AI1136" s="48"/>
    </row>
    <row r="1137" spans="2:35">
      <c r="B1137" s="42"/>
      <c r="G1137" s="43"/>
      <c r="H1137" s="44"/>
      <c r="L1137" s="42"/>
      <c r="M1137" s="42"/>
      <c r="N1137" s="25"/>
      <c r="O1137" s="54"/>
      <c r="P1137"/>
      <c r="Q1137" s="25"/>
      <c r="R1137" s="54"/>
      <c r="W1137" s="23"/>
      <c r="X1137" s="23"/>
      <c r="Y1137" s="23"/>
      <c r="Z1137" s="43"/>
      <c r="AA1137" s="23"/>
      <c r="AB1137" s="23"/>
      <c r="AC1137" s="23"/>
      <c r="AD1137" s="23"/>
      <c r="AE1137" s="23"/>
      <c r="AF1137" s="23"/>
      <c r="AG1137" s="23"/>
      <c r="AH1137" s="23"/>
      <c r="AI1137" s="48"/>
    </row>
    <row r="1138" spans="2:35">
      <c r="B1138" s="42"/>
      <c r="G1138" s="43"/>
      <c r="H1138" s="44"/>
      <c r="L1138" s="42"/>
      <c r="M1138" s="42"/>
      <c r="N1138" s="25"/>
      <c r="O1138" s="54"/>
      <c r="P1138"/>
      <c r="Q1138" s="25"/>
      <c r="R1138" s="54"/>
      <c r="W1138" s="23"/>
      <c r="X1138" s="23"/>
      <c r="Y1138" s="23"/>
      <c r="Z1138" s="43"/>
      <c r="AA1138" s="23"/>
      <c r="AB1138" s="23"/>
      <c r="AC1138" s="23"/>
      <c r="AD1138" s="23"/>
      <c r="AE1138" s="23"/>
      <c r="AF1138" s="23"/>
      <c r="AG1138" s="23"/>
      <c r="AH1138" s="23"/>
      <c r="AI1138" s="48"/>
    </row>
    <row r="1139" spans="2:35">
      <c r="B1139" s="42"/>
      <c r="G1139" s="43"/>
      <c r="H1139" s="44"/>
      <c r="L1139" s="42"/>
      <c r="M1139" s="42"/>
      <c r="N1139" s="25"/>
      <c r="O1139" s="54"/>
      <c r="P1139"/>
      <c r="Q1139" s="25"/>
      <c r="R1139" s="54"/>
      <c r="W1139" s="23"/>
      <c r="X1139" s="23"/>
      <c r="Y1139" s="23"/>
      <c r="Z1139" s="43"/>
      <c r="AA1139" s="23"/>
      <c r="AB1139" s="23"/>
      <c r="AC1139" s="23"/>
      <c r="AD1139" s="23"/>
      <c r="AE1139" s="23"/>
      <c r="AF1139" s="23"/>
      <c r="AG1139" s="23"/>
      <c r="AH1139" s="23"/>
      <c r="AI1139" s="48"/>
    </row>
    <row r="1140" spans="2:35">
      <c r="B1140" s="42"/>
      <c r="G1140" s="43"/>
      <c r="H1140" s="44"/>
      <c r="L1140" s="42"/>
      <c r="M1140" s="42"/>
      <c r="N1140" s="25"/>
      <c r="O1140" s="54"/>
      <c r="P1140"/>
      <c r="Q1140" s="25"/>
      <c r="R1140" s="54"/>
      <c r="W1140" s="23"/>
      <c r="X1140" s="23"/>
      <c r="Y1140" s="23"/>
      <c r="Z1140" s="43"/>
      <c r="AA1140" s="23"/>
      <c r="AB1140" s="23"/>
      <c r="AC1140" s="23"/>
      <c r="AD1140" s="23"/>
      <c r="AE1140" s="23"/>
      <c r="AF1140" s="23"/>
      <c r="AG1140" s="23"/>
      <c r="AH1140" s="23"/>
      <c r="AI1140" s="48"/>
    </row>
    <row r="1141" spans="2:35">
      <c r="B1141" s="42"/>
      <c r="G1141" s="43"/>
      <c r="H1141" s="44"/>
      <c r="L1141" s="42"/>
      <c r="M1141" s="42"/>
      <c r="N1141" s="25"/>
      <c r="O1141" s="54"/>
      <c r="P1141"/>
      <c r="Q1141" s="25"/>
      <c r="R1141" s="54"/>
      <c r="W1141" s="23"/>
      <c r="X1141" s="23"/>
      <c r="Y1141" s="23"/>
      <c r="Z1141" s="43"/>
      <c r="AA1141" s="23"/>
      <c r="AB1141" s="23"/>
      <c r="AC1141" s="23"/>
      <c r="AD1141" s="23"/>
      <c r="AE1141" s="23"/>
      <c r="AF1141" s="23"/>
      <c r="AG1141" s="23"/>
      <c r="AH1141" s="23"/>
      <c r="AI1141" s="48"/>
    </row>
    <row r="1142" spans="2:35">
      <c r="B1142" s="42"/>
      <c r="G1142" s="43"/>
      <c r="H1142" s="44"/>
      <c r="L1142" s="42"/>
      <c r="M1142" s="42"/>
      <c r="N1142" s="25"/>
      <c r="O1142" s="54"/>
      <c r="P1142"/>
      <c r="Q1142" s="25"/>
      <c r="R1142" s="54"/>
      <c r="W1142" s="23"/>
      <c r="X1142" s="23"/>
      <c r="Y1142" s="23"/>
      <c r="Z1142" s="43"/>
      <c r="AA1142" s="23"/>
      <c r="AB1142" s="23"/>
      <c r="AC1142" s="23"/>
      <c r="AD1142" s="23"/>
      <c r="AE1142" s="23"/>
      <c r="AF1142" s="23"/>
      <c r="AG1142" s="23"/>
      <c r="AH1142" s="23"/>
      <c r="AI1142" s="48"/>
    </row>
    <row r="1143" spans="2:35">
      <c r="B1143" s="42"/>
      <c r="G1143" s="43"/>
      <c r="H1143" s="44"/>
      <c r="L1143" s="42"/>
      <c r="M1143" s="42"/>
      <c r="N1143" s="25"/>
      <c r="O1143" s="54"/>
      <c r="P1143"/>
      <c r="Q1143" s="25"/>
      <c r="R1143" s="54"/>
      <c r="W1143" s="23"/>
      <c r="X1143" s="23"/>
      <c r="Y1143" s="23"/>
      <c r="Z1143" s="43"/>
      <c r="AA1143" s="23"/>
      <c r="AB1143" s="23"/>
      <c r="AC1143" s="23"/>
      <c r="AD1143" s="23"/>
      <c r="AE1143" s="23"/>
      <c r="AF1143" s="23"/>
      <c r="AG1143" s="23"/>
      <c r="AH1143" s="23"/>
      <c r="AI1143" s="48"/>
    </row>
    <row r="1144" spans="2:35">
      <c r="B1144" s="42"/>
      <c r="G1144" s="43"/>
      <c r="H1144" s="44"/>
      <c r="L1144" s="42"/>
      <c r="M1144" s="42"/>
      <c r="N1144" s="25"/>
      <c r="O1144" s="54"/>
      <c r="P1144"/>
      <c r="Q1144" s="25"/>
      <c r="R1144" s="54"/>
      <c r="W1144" s="23"/>
      <c r="X1144" s="23"/>
      <c r="Y1144" s="23"/>
      <c r="Z1144" s="43"/>
      <c r="AA1144" s="23"/>
      <c r="AB1144" s="23"/>
      <c r="AC1144" s="23"/>
      <c r="AD1144" s="23"/>
      <c r="AE1144" s="23"/>
      <c r="AF1144" s="23"/>
      <c r="AG1144" s="23"/>
      <c r="AH1144" s="23"/>
      <c r="AI1144" s="48"/>
    </row>
    <row r="1145" spans="2:35">
      <c r="B1145" s="42"/>
      <c r="G1145" s="43"/>
      <c r="H1145" s="44"/>
      <c r="L1145" s="42"/>
      <c r="M1145" s="42"/>
      <c r="N1145" s="25"/>
      <c r="O1145" s="54"/>
      <c r="P1145"/>
      <c r="Q1145" s="25"/>
      <c r="R1145" s="54"/>
      <c r="W1145" s="23"/>
      <c r="X1145" s="23"/>
      <c r="Y1145" s="23"/>
      <c r="Z1145" s="43"/>
      <c r="AA1145" s="23"/>
      <c r="AB1145" s="23"/>
      <c r="AC1145" s="23"/>
      <c r="AD1145" s="23"/>
      <c r="AE1145" s="23"/>
      <c r="AF1145" s="23"/>
      <c r="AG1145" s="23"/>
      <c r="AH1145" s="23"/>
      <c r="AI1145" s="48"/>
    </row>
    <row r="1146" spans="2:35">
      <c r="B1146" s="42"/>
      <c r="G1146" s="43"/>
      <c r="H1146" s="44"/>
      <c r="L1146" s="42"/>
      <c r="M1146" s="42"/>
      <c r="N1146" s="25"/>
      <c r="O1146" s="54"/>
      <c r="P1146"/>
      <c r="Q1146" s="25"/>
      <c r="R1146" s="54"/>
      <c r="W1146" s="23"/>
      <c r="X1146" s="23"/>
      <c r="Y1146" s="23"/>
      <c r="Z1146" s="43"/>
      <c r="AA1146" s="23"/>
      <c r="AB1146" s="23"/>
      <c r="AC1146" s="23"/>
      <c r="AD1146" s="23"/>
      <c r="AE1146" s="23"/>
      <c r="AF1146" s="23"/>
      <c r="AG1146" s="23"/>
      <c r="AH1146" s="23"/>
      <c r="AI1146" s="48"/>
    </row>
    <row r="1147" spans="2:35">
      <c r="B1147" s="42"/>
      <c r="G1147" s="43"/>
      <c r="H1147" s="44"/>
      <c r="L1147" s="42"/>
      <c r="M1147" s="42"/>
      <c r="N1147" s="25"/>
      <c r="O1147" s="54"/>
      <c r="P1147"/>
      <c r="Q1147" s="25"/>
      <c r="R1147" s="54"/>
      <c r="W1147" s="23"/>
      <c r="X1147" s="23"/>
      <c r="Y1147" s="23"/>
      <c r="Z1147" s="43"/>
      <c r="AA1147" s="23"/>
      <c r="AB1147" s="23"/>
      <c r="AC1147" s="23"/>
      <c r="AD1147" s="23"/>
      <c r="AE1147" s="23"/>
      <c r="AF1147" s="23"/>
      <c r="AG1147" s="23"/>
      <c r="AH1147" s="23"/>
      <c r="AI1147" s="48"/>
    </row>
    <row r="1148" spans="2:35">
      <c r="B1148" s="42"/>
      <c r="G1148" s="43"/>
      <c r="H1148" s="44"/>
      <c r="L1148" s="42"/>
      <c r="M1148" s="42"/>
      <c r="N1148" s="25"/>
      <c r="O1148" s="54"/>
      <c r="P1148"/>
      <c r="Q1148" s="25"/>
      <c r="R1148" s="54"/>
      <c r="W1148" s="23"/>
      <c r="X1148" s="23"/>
      <c r="Y1148" s="23"/>
      <c r="Z1148" s="43"/>
      <c r="AA1148" s="23"/>
      <c r="AB1148" s="23"/>
      <c r="AC1148" s="23"/>
      <c r="AD1148" s="23"/>
      <c r="AE1148" s="23"/>
      <c r="AF1148" s="23"/>
      <c r="AG1148" s="23"/>
      <c r="AH1148" s="23"/>
      <c r="AI1148" s="48"/>
    </row>
    <row r="1149" spans="2:35">
      <c r="B1149" s="42"/>
      <c r="G1149" s="43"/>
      <c r="H1149" s="44"/>
      <c r="L1149" s="42"/>
      <c r="M1149" s="42"/>
      <c r="N1149" s="25"/>
      <c r="O1149" s="54"/>
      <c r="P1149"/>
      <c r="Q1149" s="25"/>
      <c r="R1149" s="54"/>
      <c r="W1149" s="23"/>
      <c r="X1149" s="23"/>
      <c r="Y1149" s="23"/>
      <c r="Z1149" s="43"/>
      <c r="AA1149" s="23"/>
      <c r="AB1149" s="23"/>
      <c r="AC1149" s="23"/>
      <c r="AD1149" s="23"/>
      <c r="AE1149" s="23"/>
      <c r="AF1149" s="23"/>
      <c r="AG1149" s="23"/>
      <c r="AH1149" s="23"/>
      <c r="AI1149" s="48"/>
    </row>
    <row r="1150" spans="2:35">
      <c r="B1150" s="42"/>
      <c r="G1150" s="43"/>
      <c r="H1150" s="44"/>
      <c r="L1150" s="42"/>
      <c r="M1150" s="42"/>
      <c r="N1150" s="25"/>
      <c r="O1150" s="54"/>
      <c r="P1150"/>
      <c r="Q1150" s="25"/>
      <c r="R1150" s="54"/>
      <c r="W1150" s="23"/>
      <c r="X1150" s="23"/>
      <c r="Y1150" s="23"/>
      <c r="Z1150" s="43"/>
      <c r="AA1150" s="23"/>
      <c r="AB1150" s="23"/>
      <c r="AC1150" s="23"/>
      <c r="AD1150" s="23"/>
      <c r="AE1150" s="23"/>
      <c r="AF1150" s="23"/>
      <c r="AG1150" s="23"/>
      <c r="AH1150" s="23"/>
      <c r="AI1150" s="48"/>
    </row>
    <row r="1151" spans="2:35">
      <c r="B1151" s="42"/>
      <c r="G1151" s="43"/>
      <c r="H1151" s="44"/>
      <c r="L1151" s="42"/>
      <c r="M1151" s="42"/>
      <c r="N1151" s="25"/>
      <c r="O1151" s="54"/>
      <c r="P1151"/>
      <c r="Q1151" s="25"/>
      <c r="R1151" s="54"/>
      <c r="W1151" s="23"/>
      <c r="X1151" s="23"/>
      <c r="Y1151" s="23"/>
      <c r="Z1151" s="43"/>
      <c r="AA1151" s="23"/>
      <c r="AB1151" s="23"/>
      <c r="AC1151" s="23"/>
      <c r="AD1151" s="23"/>
      <c r="AE1151" s="23"/>
      <c r="AF1151" s="23"/>
      <c r="AG1151" s="23"/>
      <c r="AH1151" s="23"/>
      <c r="AI1151" s="48"/>
    </row>
    <row r="1152" spans="2:35">
      <c r="B1152" s="42"/>
      <c r="G1152" s="43"/>
      <c r="H1152" s="44"/>
      <c r="L1152" s="42"/>
      <c r="M1152" s="42"/>
      <c r="N1152" s="25"/>
      <c r="O1152" s="54"/>
      <c r="P1152"/>
      <c r="Q1152" s="25"/>
      <c r="R1152" s="54"/>
      <c r="W1152" s="23"/>
      <c r="X1152" s="23"/>
      <c r="Y1152" s="23"/>
      <c r="Z1152" s="43"/>
      <c r="AA1152" s="23"/>
      <c r="AB1152" s="23"/>
      <c r="AC1152" s="23"/>
      <c r="AD1152" s="23"/>
      <c r="AE1152" s="23"/>
      <c r="AF1152" s="23"/>
      <c r="AG1152" s="23"/>
      <c r="AH1152" s="23"/>
      <c r="AI1152" s="48"/>
    </row>
    <row r="1153" spans="1:35">
      <c r="B1153" s="42"/>
      <c r="G1153" s="43"/>
      <c r="H1153" s="44"/>
      <c r="L1153" s="42"/>
      <c r="M1153" s="42"/>
      <c r="N1153" s="25"/>
      <c r="O1153" s="54"/>
      <c r="P1153"/>
      <c r="Q1153" s="25"/>
      <c r="R1153" s="54"/>
      <c r="W1153" s="23"/>
      <c r="X1153" s="23"/>
      <c r="Y1153" s="23"/>
      <c r="Z1153" s="43"/>
      <c r="AA1153" s="23"/>
      <c r="AB1153" s="23"/>
      <c r="AC1153" s="23"/>
      <c r="AD1153" s="23"/>
      <c r="AE1153" s="23"/>
      <c r="AF1153" s="23"/>
      <c r="AG1153" s="23"/>
      <c r="AH1153" s="23"/>
      <c r="AI1153" s="48"/>
    </row>
    <row r="1154" spans="1:35">
      <c r="B1154" s="42"/>
      <c r="G1154" s="43"/>
      <c r="H1154" s="44"/>
      <c r="L1154" s="42"/>
      <c r="M1154" s="42"/>
      <c r="N1154" s="25"/>
      <c r="O1154" s="54"/>
      <c r="P1154"/>
      <c r="Q1154" s="25"/>
      <c r="R1154" s="54"/>
      <c r="W1154" s="23"/>
      <c r="X1154" s="23"/>
      <c r="Y1154" s="23"/>
      <c r="Z1154" s="43"/>
      <c r="AA1154" s="23"/>
      <c r="AB1154" s="23"/>
      <c r="AC1154" s="23"/>
      <c r="AD1154" s="23"/>
      <c r="AE1154" s="23"/>
      <c r="AF1154" s="23"/>
      <c r="AG1154" s="23"/>
      <c r="AH1154" s="23"/>
      <c r="AI1154" s="48"/>
    </row>
    <row r="1155" spans="1:35">
      <c r="B1155" s="42"/>
      <c r="G1155" s="43"/>
      <c r="H1155" s="44"/>
      <c r="L1155" s="42"/>
      <c r="M1155" s="42"/>
      <c r="N1155" s="25"/>
      <c r="O1155" s="54"/>
      <c r="P1155"/>
      <c r="Q1155" s="25"/>
      <c r="R1155" s="54"/>
      <c r="W1155" s="23"/>
      <c r="X1155" s="23"/>
      <c r="Y1155" s="23"/>
      <c r="Z1155" s="43"/>
      <c r="AA1155" s="23"/>
      <c r="AB1155" s="23"/>
      <c r="AC1155" s="23"/>
      <c r="AD1155" s="23"/>
      <c r="AE1155" s="23"/>
      <c r="AF1155" s="23"/>
      <c r="AG1155" s="23"/>
      <c r="AH1155" s="23"/>
      <c r="AI1155" s="48"/>
    </row>
    <row r="1156" spans="1:35">
      <c r="B1156" s="42"/>
      <c r="G1156" s="43"/>
      <c r="H1156" s="44"/>
      <c r="L1156" s="42"/>
      <c r="M1156" s="42"/>
      <c r="N1156" s="25"/>
      <c r="O1156" s="54"/>
      <c r="P1156"/>
      <c r="Q1156" s="25"/>
      <c r="R1156" s="54"/>
      <c r="W1156" s="23"/>
      <c r="X1156" s="23"/>
      <c r="Y1156" s="23"/>
      <c r="Z1156" s="43"/>
      <c r="AA1156" s="23"/>
      <c r="AB1156" s="23"/>
      <c r="AC1156" s="23"/>
      <c r="AD1156" s="23"/>
      <c r="AE1156" s="23"/>
      <c r="AF1156" s="23"/>
      <c r="AG1156" s="23"/>
      <c r="AH1156" s="23"/>
      <c r="AI1156" s="48"/>
    </row>
    <row r="1157" spans="1:35">
      <c r="B1157" s="42"/>
      <c r="G1157" s="43"/>
      <c r="H1157" s="44"/>
      <c r="L1157" s="42"/>
      <c r="M1157" s="42"/>
      <c r="N1157" s="25"/>
      <c r="O1157" s="54"/>
      <c r="P1157"/>
      <c r="Q1157" s="25"/>
      <c r="R1157" s="54"/>
      <c r="W1157" s="23"/>
      <c r="X1157" s="23"/>
      <c r="Y1157" s="23"/>
      <c r="Z1157" s="43"/>
      <c r="AA1157" s="23"/>
      <c r="AB1157" s="23"/>
      <c r="AC1157" s="23"/>
      <c r="AD1157" s="23"/>
      <c r="AE1157" s="23"/>
      <c r="AF1157" s="23"/>
      <c r="AG1157" s="23"/>
      <c r="AH1157" s="23"/>
      <c r="AI1157" s="48"/>
    </row>
    <row r="1158" spans="1:35">
      <c r="B1158" s="42"/>
      <c r="G1158" s="43"/>
      <c r="H1158" s="44"/>
      <c r="L1158" s="42"/>
      <c r="M1158" s="42"/>
      <c r="N1158" s="25"/>
      <c r="O1158" s="54"/>
      <c r="P1158"/>
      <c r="Q1158" s="25"/>
      <c r="R1158" s="54"/>
      <c r="W1158" s="23"/>
      <c r="X1158" s="23"/>
      <c r="Y1158" s="23"/>
      <c r="Z1158" s="43"/>
      <c r="AA1158" s="23"/>
      <c r="AB1158" s="23"/>
      <c r="AC1158" s="23"/>
      <c r="AD1158" s="23"/>
      <c r="AE1158" s="23"/>
      <c r="AF1158" s="23"/>
      <c r="AG1158" s="23"/>
      <c r="AH1158" s="23"/>
      <c r="AI1158" s="48"/>
    </row>
    <row r="1159" spans="1:35">
      <c r="B1159" s="42"/>
      <c r="G1159" s="43"/>
      <c r="H1159" s="44"/>
      <c r="L1159" s="42"/>
      <c r="M1159" s="42"/>
      <c r="N1159" s="25"/>
      <c r="O1159" s="54"/>
      <c r="P1159"/>
      <c r="Q1159" s="25"/>
      <c r="R1159" s="54"/>
      <c r="W1159" s="23"/>
      <c r="X1159" s="23"/>
      <c r="Y1159" s="23"/>
      <c r="Z1159" s="43"/>
      <c r="AA1159" s="23"/>
      <c r="AB1159" s="23"/>
      <c r="AC1159" s="23"/>
      <c r="AD1159" s="23"/>
      <c r="AE1159" s="23"/>
      <c r="AF1159" s="23"/>
      <c r="AG1159" s="23"/>
      <c r="AH1159" s="23"/>
      <c r="AI1159" s="48"/>
    </row>
    <row r="1160" spans="1:35">
      <c r="B1160" s="42"/>
      <c r="G1160" s="43"/>
      <c r="H1160" s="44"/>
      <c r="L1160" s="42"/>
      <c r="M1160" s="42"/>
      <c r="N1160" s="25"/>
      <c r="O1160" s="54"/>
      <c r="P1160"/>
      <c r="Q1160" s="25"/>
      <c r="R1160" s="54"/>
      <c r="W1160" s="23"/>
      <c r="X1160" s="23"/>
      <c r="Y1160" s="23"/>
      <c r="Z1160" s="43"/>
      <c r="AA1160" s="23"/>
      <c r="AB1160" s="23"/>
      <c r="AC1160" s="23"/>
      <c r="AD1160" s="23"/>
      <c r="AE1160" s="23"/>
      <c r="AF1160" s="23"/>
      <c r="AG1160" s="23"/>
      <c r="AH1160" s="23"/>
      <c r="AI1160" s="48"/>
    </row>
    <row r="1161" spans="1:35">
      <c r="B1161" s="42"/>
      <c r="G1161" s="43"/>
      <c r="H1161" s="44"/>
      <c r="L1161" s="42"/>
      <c r="M1161" s="42"/>
      <c r="N1161" s="25"/>
      <c r="O1161" s="54"/>
      <c r="P1161"/>
      <c r="Q1161" s="25"/>
      <c r="R1161" s="54"/>
      <c r="W1161" s="23"/>
      <c r="X1161" s="23"/>
      <c r="Y1161" s="23"/>
      <c r="Z1161" s="43"/>
      <c r="AA1161" s="23"/>
      <c r="AB1161" s="23"/>
      <c r="AC1161" s="23"/>
      <c r="AD1161" s="23"/>
      <c r="AE1161" s="23"/>
      <c r="AF1161" s="23"/>
      <c r="AG1161" s="23"/>
      <c r="AH1161" s="23"/>
      <c r="AI1161" s="48"/>
    </row>
    <row r="1162" spans="1:35">
      <c r="B1162" s="42"/>
      <c r="G1162" s="43"/>
      <c r="H1162" s="44"/>
      <c r="L1162" s="42"/>
      <c r="M1162" s="42"/>
      <c r="N1162" s="25"/>
      <c r="O1162" s="54"/>
      <c r="P1162"/>
      <c r="Q1162" s="25"/>
      <c r="R1162" s="54"/>
      <c r="W1162" s="23"/>
      <c r="X1162" s="23"/>
      <c r="Y1162" s="23"/>
      <c r="Z1162" s="43"/>
      <c r="AA1162" s="23"/>
      <c r="AB1162" s="23"/>
      <c r="AC1162" s="23"/>
      <c r="AD1162" s="23"/>
      <c r="AE1162" s="23"/>
      <c r="AF1162" s="23"/>
      <c r="AG1162" s="23"/>
      <c r="AH1162" s="23"/>
      <c r="AI1162" s="48"/>
    </row>
    <row r="1163" spans="1:35">
      <c r="B1163" s="42"/>
      <c r="G1163" s="43"/>
      <c r="H1163" s="44"/>
      <c r="L1163" s="42"/>
      <c r="M1163" s="42"/>
      <c r="N1163" s="25"/>
      <c r="O1163" s="54"/>
      <c r="P1163"/>
      <c r="Q1163" s="25"/>
      <c r="R1163" s="54"/>
      <c r="W1163" s="23"/>
      <c r="X1163" s="23"/>
      <c r="Y1163" s="23"/>
      <c r="Z1163" s="43"/>
      <c r="AA1163" s="23"/>
      <c r="AB1163" s="23"/>
      <c r="AC1163" s="23"/>
      <c r="AD1163" s="23"/>
      <c r="AE1163" s="23"/>
      <c r="AF1163" s="23"/>
      <c r="AG1163" s="23"/>
      <c r="AH1163" s="23"/>
      <c r="AI1163" s="48"/>
    </row>
    <row r="1164" spans="1:35">
      <c r="A1164" s="23"/>
      <c r="B1164" s="42"/>
      <c r="C1164" s="49"/>
      <c r="E1164" s="49"/>
      <c r="G1164" s="43"/>
      <c r="H1164" s="44"/>
      <c r="L1164" s="42"/>
      <c r="M1164" s="42"/>
      <c r="N1164" s="25"/>
      <c r="O1164" s="54"/>
      <c r="P1164"/>
      <c r="Q1164" s="25"/>
      <c r="R1164" s="54"/>
      <c r="W1164" s="23"/>
      <c r="X1164" s="23"/>
      <c r="Y1164" s="23"/>
      <c r="Z1164" s="43"/>
      <c r="AA1164" s="23"/>
      <c r="AB1164" s="23"/>
      <c r="AC1164" s="23"/>
      <c r="AD1164" s="23"/>
      <c r="AE1164" s="23"/>
      <c r="AF1164" s="23"/>
      <c r="AG1164" s="23"/>
      <c r="AH1164" s="23"/>
      <c r="AI1164" s="49"/>
    </row>
    <row r="1165" spans="1:35">
      <c r="A1165" s="23"/>
      <c r="B1165" s="42"/>
      <c r="C1165" s="49"/>
      <c r="E1165" s="49"/>
      <c r="G1165" s="43"/>
      <c r="H1165" s="44"/>
      <c r="L1165" s="42"/>
      <c r="M1165" s="42"/>
      <c r="N1165" s="25"/>
      <c r="O1165" s="54"/>
      <c r="P1165"/>
      <c r="Q1165" s="25"/>
      <c r="R1165" s="54"/>
      <c r="W1165" s="23"/>
      <c r="X1165" s="23"/>
      <c r="Y1165" s="23"/>
      <c r="Z1165" s="43"/>
      <c r="AA1165" s="23"/>
      <c r="AB1165" s="23"/>
      <c r="AC1165" s="23"/>
      <c r="AD1165" s="23"/>
      <c r="AE1165" s="23"/>
      <c r="AF1165" s="23"/>
      <c r="AG1165" s="23"/>
      <c r="AH1165" s="23"/>
      <c r="AI1165" s="49"/>
    </row>
    <row r="1166" spans="1:35">
      <c r="A1166" s="23"/>
      <c r="B1166" s="42"/>
      <c r="C1166" s="49"/>
      <c r="E1166" s="49"/>
      <c r="G1166" s="43"/>
      <c r="H1166" s="44"/>
      <c r="L1166" s="42"/>
      <c r="M1166" s="42"/>
      <c r="N1166" s="25"/>
      <c r="O1166" s="54"/>
      <c r="P1166"/>
      <c r="Q1166" s="25"/>
      <c r="R1166" s="54"/>
      <c r="W1166" s="23"/>
      <c r="X1166" s="23"/>
      <c r="Y1166" s="23"/>
      <c r="Z1166" s="43"/>
      <c r="AA1166" s="23"/>
      <c r="AB1166" s="23"/>
      <c r="AC1166" s="23"/>
      <c r="AD1166" s="23"/>
      <c r="AE1166" s="23"/>
      <c r="AF1166" s="23"/>
      <c r="AG1166" s="23"/>
      <c r="AH1166" s="23"/>
      <c r="AI1166" s="49"/>
    </row>
    <row r="1167" spans="1:35">
      <c r="A1167" s="23"/>
      <c r="B1167" s="42"/>
      <c r="C1167" s="49"/>
      <c r="E1167" s="49"/>
      <c r="G1167" s="43"/>
      <c r="H1167" s="44"/>
      <c r="L1167" s="42"/>
      <c r="M1167" s="42"/>
      <c r="N1167" s="25"/>
      <c r="O1167" s="54"/>
      <c r="P1167"/>
      <c r="Q1167" s="25"/>
      <c r="R1167" s="54"/>
      <c r="W1167" s="23"/>
      <c r="X1167" s="23"/>
      <c r="Y1167" s="23"/>
      <c r="Z1167" s="43"/>
      <c r="AA1167" s="23"/>
      <c r="AB1167" s="23"/>
      <c r="AC1167" s="23"/>
      <c r="AD1167" s="23"/>
      <c r="AE1167" s="23"/>
      <c r="AF1167" s="23"/>
      <c r="AG1167" s="23"/>
      <c r="AH1167" s="23"/>
      <c r="AI1167" s="49"/>
    </row>
    <row r="1168" spans="1:35">
      <c r="A1168" s="23"/>
      <c r="B1168" s="42"/>
      <c r="C1168" s="49"/>
      <c r="E1168" s="49"/>
      <c r="G1168" s="43"/>
      <c r="H1168" s="44"/>
      <c r="L1168" s="42"/>
      <c r="M1168" s="42"/>
      <c r="N1168" s="25"/>
      <c r="O1168" s="54"/>
      <c r="P1168"/>
      <c r="Q1168" s="25"/>
      <c r="R1168" s="54"/>
      <c r="W1168" s="23"/>
      <c r="X1168" s="23"/>
      <c r="Y1168" s="23"/>
      <c r="Z1168" s="43"/>
      <c r="AA1168" s="23"/>
      <c r="AB1168" s="23"/>
      <c r="AC1168" s="23"/>
      <c r="AD1168" s="23"/>
      <c r="AE1168" s="23"/>
      <c r="AF1168" s="23"/>
      <c r="AG1168" s="23"/>
      <c r="AH1168" s="23"/>
      <c r="AI1168" s="49"/>
    </row>
    <row r="1169" spans="1:35">
      <c r="A1169" s="23"/>
      <c r="B1169" s="42"/>
      <c r="C1169" s="49"/>
      <c r="E1169" s="49"/>
      <c r="G1169" s="43"/>
      <c r="H1169" s="44"/>
      <c r="L1169" s="42"/>
      <c r="M1169" s="42"/>
      <c r="N1169" s="25"/>
      <c r="O1169" s="54"/>
      <c r="P1169"/>
      <c r="Q1169" s="25"/>
      <c r="R1169" s="54"/>
      <c r="W1169" s="23"/>
      <c r="X1169" s="23"/>
      <c r="Y1169" s="23"/>
      <c r="Z1169" s="43"/>
      <c r="AA1169" s="23"/>
      <c r="AB1169" s="23"/>
      <c r="AC1169" s="23"/>
      <c r="AD1169" s="23"/>
      <c r="AE1169" s="23"/>
      <c r="AF1169" s="23"/>
      <c r="AG1169" s="23"/>
      <c r="AH1169" s="23"/>
      <c r="AI1169" s="49"/>
    </row>
    <row r="1170" spans="1:35">
      <c r="A1170" s="23"/>
      <c r="B1170" s="42"/>
      <c r="C1170" s="49"/>
      <c r="E1170" s="49"/>
      <c r="G1170" s="43"/>
      <c r="H1170" s="44"/>
      <c r="L1170" s="42"/>
      <c r="M1170" s="42"/>
      <c r="N1170" s="25"/>
      <c r="O1170" s="54"/>
      <c r="P1170"/>
      <c r="Q1170" s="25"/>
      <c r="R1170" s="54"/>
      <c r="W1170" s="23"/>
      <c r="X1170" s="23"/>
      <c r="Y1170" s="23"/>
      <c r="Z1170" s="43"/>
      <c r="AA1170" s="23"/>
      <c r="AB1170" s="23"/>
      <c r="AC1170" s="23"/>
      <c r="AD1170" s="23"/>
      <c r="AE1170" s="23"/>
      <c r="AF1170" s="23"/>
      <c r="AG1170" s="23"/>
      <c r="AH1170" s="23"/>
      <c r="AI1170" s="49"/>
    </row>
    <row r="1171" spans="1:35">
      <c r="A1171" s="23"/>
      <c r="B1171" s="42"/>
      <c r="C1171" s="49"/>
      <c r="E1171" s="49"/>
      <c r="G1171" s="43"/>
      <c r="H1171" s="44"/>
      <c r="L1171" s="42"/>
      <c r="M1171" s="42"/>
      <c r="N1171" s="25"/>
      <c r="O1171" s="54"/>
      <c r="P1171"/>
      <c r="Q1171" s="25"/>
      <c r="R1171" s="54"/>
      <c r="W1171" s="23"/>
      <c r="X1171" s="23"/>
      <c r="Y1171" s="23"/>
      <c r="Z1171" s="43"/>
      <c r="AA1171" s="23"/>
      <c r="AB1171" s="23"/>
      <c r="AC1171" s="23"/>
      <c r="AD1171" s="23"/>
      <c r="AE1171" s="23"/>
      <c r="AF1171" s="23"/>
      <c r="AG1171" s="23"/>
      <c r="AH1171" s="23"/>
      <c r="AI1171" s="49"/>
    </row>
    <row r="1172" spans="1:35">
      <c r="A1172" s="23"/>
      <c r="B1172" s="42"/>
      <c r="C1172" s="49"/>
      <c r="E1172" s="49"/>
      <c r="G1172" s="43"/>
      <c r="H1172" s="44"/>
      <c r="L1172" s="42"/>
      <c r="M1172" s="42"/>
      <c r="N1172" s="25"/>
      <c r="O1172" s="54"/>
      <c r="P1172"/>
      <c r="Q1172" s="25"/>
      <c r="R1172" s="54"/>
      <c r="W1172" s="23"/>
      <c r="X1172" s="23"/>
      <c r="Y1172" s="23"/>
      <c r="Z1172" s="43"/>
      <c r="AA1172" s="23"/>
      <c r="AB1172" s="23"/>
      <c r="AC1172" s="23"/>
      <c r="AD1172" s="23"/>
      <c r="AE1172" s="23"/>
      <c r="AF1172" s="23"/>
      <c r="AG1172" s="23"/>
      <c r="AH1172" s="23"/>
      <c r="AI1172" s="49"/>
    </row>
    <row r="1173" spans="1:35">
      <c r="A1173" s="23"/>
      <c r="B1173" s="42"/>
      <c r="C1173" s="49"/>
      <c r="E1173" s="49"/>
      <c r="G1173" s="43"/>
      <c r="H1173" s="44"/>
      <c r="L1173" s="42"/>
      <c r="M1173" s="42"/>
      <c r="N1173" s="25"/>
      <c r="O1173" s="54"/>
      <c r="P1173"/>
      <c r="Q1173" s="25"/>
      <c r="R1173" s="54"/>
      <c r="W1173" s="23"/>
      <c r="X1173" s="23"/>
      <c r="Y1173" s="23"/>
      <c r="Z1173" s="43"/>
      <c r="AA1173" s="23"/>
      <c r="AB1173" s="23"/>
      <c r="AC1173" s="23"/>
      <c r="AD1173" s="23"/>
      <c r="AE1173" s="23"/>
      <c r="AF1173" s="23"/>
      <c r="AG1173" s="23"/>
      <c r="AH1173" s="23"/>
      <c r="AI1173" s="49"/>
    </row>
    <row r="1174" spans="1:35">
      <c r="A1174" s="23"/>
      <c r="B1174" s="42"/>
      <c r="C1174" s="49"/>
      <c r="E1174" s="49"/>
      <c r="G1174" s="43"/>
      <c r="H1174" s="44"/>
      <c r="L1174" s="42"/>
      <c r="M1174" s="42"/>
      <c r="N1174" s="25"/>
      <c r="O1174" s="54"/>
      <c r="P1174"/>
      <c r="Q1174" s="25"/>
      <c r="R1174" s="54"/>
      <c r="W1174" s="23"/>
      <c r="X1174" s="23"/>
      <c r="Y1174" s="23"/>
      <c r="Z1174" s="43"/>
      <c r="AA1174" s="23"/>
      <c r="AB1174" s="23"/>
      <c r="AC1174" s="23"/>
      <c r="AD1174" s="23"/>
      <c r="AE1174" s="23"/>
      <c r="AF1174" s="23"/>
      <c r="AG1174" s="23"/>
      <c r="AH1174" s="23"/>
      <c r="AI1174" s="49"/>
    </row>
    <row r="1175" spans="1:35">
      <c r="A1175" s="23"/>
      <c r="B1175" s="42"/>
      <c r="C1175" s="49"/>
      <c r="E1175" s="49"/>
      <c r="G1175" s="43"/>
      <c r="H1175" s="44"/>
      <c r="L1175" s="42"/>
      <c r="M1175" s="42"/>
      <c r="N1175" s="25"/>
      <c r="O1175" s="54"/>
      <c r="P1175"/>
      <c r="Q1175" s="25"/>
      <c r="R1175" s="54"/>
      <c r="W1175" s="23"/>
      <c r="X1175" s="23"/>
      <c r="Y1175" s="23"/>
      <c r="Z1175" s="43"/>
      <c r="AA1175" s="23"/>
      <c r="AB1175" s="23"/>
      <c r="AC1175" s="23"/>
      <c r="AD1175" s="23"/>
      <c r="AE1175" s="23"/>
      <c r="AF1175" s="23"/>
      <c r="AG1175" s="23"/>
      <c r="AH1175" s="23"/>
      <c r="AI1175" s="49"/>
    </row>
    <row r="1176" spans="1:35">
      <c r="A1176" s="23"/>
      <c r="B1176" s="42"/>
      <c r="C1176" s="49"/>
      <c r="E1176" s="49"/>
      <c r="G1176" s="43"/>
      <c r="H1176" s="44"/>
      <c r="L1176" s="42"/>
      <c r="M1176" s="42"/>
      <c r="N1176" s="25"/>
      <c r="O1176" s="54"/>
      <c r="P1176"/>
      <c r="Q1176" s="25"/>
      <c r="R1176" s="54"/>
      <c r="W1176" s="23"/>
      <c r="X1176" s="23"/>
      <c r="Y1176" s="23"/>
      <c r="Z1176" s="43"/>
      <c r="AA1176" s="23"/>
      <c r="AB1176" s="23"/>
      <c r="AC1176" s="23"/>
      <c r="AD1176" s="23"/>
      <c r="AE1176" s="23"/>
      <c r="AF1176" s="23"/>
      <c r="AG1176" s="23"/>
      <c r="AH1176" s="23"/>
      <c r="AI1176" s="49"/>
    </row>
    <row r="1177" spans="1:35">
      <c r="A1177" s="23"/>
      <c r="B1177" s="42"/>
      <c r="C1177" s="49"/>
      <c r="E1177" s="49"/>
      <c r="G1177" s="43"/>
      <c r="H1177" s="44"/>
      <c r="L1177" s="42"/>
      <c r="M1177" s="42"/>
      <c r="N1177" s="25"/>
      <c r="O1177" s="54"/>
      <c r="P1177"/>
      <c r="Q1177" s="25"/>
      <c r="R1177" s="54"/>
      <c r="W1177" s="23"/>
      <c r="X1177" s="23"/>
      <c r="Y1177" s="23"/>
      <c r="Z1177" s="43"/>
      <c r="AA1177" s="23"/>
      <c r="AB1177" s="23"/>
      <c r="AC1177" s="23"/>
      <c r="AD1177" s="23"/>
      <c r="AE1177" s="23"/>
      <c r="AF1177" s="23"/>
      <c r="AG1177" s="23"/>
      <c r="AH1177" s="23"/>
      <c r="AI1177" s="49"/>
    </row>
    <row r="1178" spans="1:35">
      <c r="A1178" s="23"/>
      <c r="B1178" s="42"/>
      <c r="C1178" s="49"/>
      <c r="E1178" s="49"/>
      <c r="G1178" s="43"/>
      <c r="H1178" s="44"/>
      <c r="L1178" s="42"/>
      <c r="M1178" s="42"/>
      <c r="N1178" s="25"/>
      <c r="O1178" s="54"/>
      <c r="P1178"/>
      <c r="Q1178" s="25"/>
      <c r="R1178" s="54"/>
      <c r="W1178" s="23"/>
      <c r="X1178" s="23"/>
      <c r="Y1178" s="23"/>
      <c r="Z1178" s="43"/>
      <c r="AA1178" s="23"/>
      <c r="AB1178" s="23"/>
      <c r="AC1178" s="23"/>
      <c r="AD1178" s="23"/>
      <c r="AE1178" s="23"/>
      <c r="AF1178" s="23"/>
      <c r="AG1178" s="23"/>
      <c r="AH1178" s="23"/>
      <c r="AI1178" s="49"/>
    </row>
    <row r="1179" spans="1:35">
      <c r="A1179" s="23"/>
      <c r="B1179" s="42"/>
      <c r="C1179" s="49"/>
      <c r="E1179" s="49"/>
      <c r="G1179" s="43"/>
      <c r="H1179" s="44"/>
      <c r="L1179" s="42"/>
      <c r="M1179" s="42"/>
      <c r="N1179" s="25"/>
      <c r="O1179" s="54"/>
      <c r="P1179"/>
      <c r="Q1179" s="25"/>
      <c r="R1179" s="54"/>
      <c r="W1179" s="23"/>
      <c r="X1179" s="23"/>
      <c r="Y1179" s="23"/>
      <c r="Z1179" s="43"/>
      <c r="AA1179" s="23"/>
      <c r="AB1179" s="23"/>
      <c r="AC1179" s="23"/>
      <c r="AD1179" s="23"/>
      <c r="AE1179" s="23"/>
      <c r="AF1179" s="23"/>
      <c r="AG1179" s="23"/>
      <c r="AH1179" s="23"/>
      <c r="AI1179" s="49"/>
    </row>
    <row r="1180" spans="1:35">
      <c r="A1180" s="23"/>
      <c r="B1180" s="42"/>
      <c r="C1180" s="49"/>
      <c r="E1180" s="49"/>
      <c r="G1180" s="43"/>
      <c r="H1180" s="44"/>
      <c r="L1180" s="42"/>
      <c r="M1180" s="42"/>
      <c r="N1180" s="25"/>
      <c r="O1180" s="54"/>
      <c r="P1180"/>
      <c r="Q1180" s="25"/>
      <c r="R1180" s="54"/>
      <c r="W1180" s="23"/>
      <c r="X1180" s="23"/>
      <c r="Y1180" s="23"/>
      <c r="Z1180" s="43"/>
      <c r="AA1180" s="23"/>
      <c r="AB1180" s="23"/>
      <c r="AC1180" s="23"/>
      <c r="AD1180" s="23"/>
      <c r="AE1180" s="23"/>
      <c r="AF1180" s="23"/>
      <c r="AG1180" s="23"/>
      <c r="AH1180" s="23"/>
      <c r="AI1180" s="49"/>
    </row>
    <row r="1181" spans="1:35">
      <c r="A1181" s="23"/>
      <c r="B1181" s="42"/>
      <c r="C1181" s="49"/>
      <c r="E1181" s="49"/>
      <c r="G1181" s="43"/>
      <c r="H1181" s="44"/>
      <c r="L1181" s="42"/>
      <c r="M1181" s="42"/>
      <c r="N1181" s="25"/>
      <c r="O1181" s="54"/>
      <c r="P1181"/>
      <c r="Q1181" s="25"/>
      <c r="R1181" s="54"/>
      <c r="W1181" s="23"/>
      <c r="X1181" s="23"/>
      <c r="Y1181" s="23"/>
      <c r="Z1181" s="43"/>
      <c r="AA1181" s="23"/>
      <c r="AB1181" s="23"/>
      <c r="AC1181" s="23"/>
      <c r="AD1181" s="23"/>
      <c r="AE1181" s="23"/>
      <c r="AF1181" s="23"/>
      <c r="AG1181" s="23"/>
      <c r="AH1181" s="23"/>
      <c r="AI1181" s="49"/>
    </row>
    <row r="1182" spans="1:35">
      <c r="A1182" s="23"/>
      <c r="B1182" s="42"/>
      <c r="C1182" s="49"/>
      <c r="E1182" s="49"/>
      <c r="G1182" s="43"/>
      <c r="H1182" s="44"/>
      <c r="L1182" s="42"/>
      <c r="M1182" s="42"/>
      <c r="N1182" s="25"/>
      <c r="O1182" s="54"/>
      <c r="P1182"/>
      <c r="Q1182" s="25"/>
      <c r="R1182" s="54"/>
      <c r="W1182" s="23"/>
      <c r="X1182" s="23"/>
      <c r="Y1182" s="23"/>
      <c r="Z1182" s="43"/>
      <c r="AA1182" s="23"/>
      <c r="AB1182" s="23"/>
      <c r="AC1182" s="23"/>
      <c r="AD1182" s="23"/>
      <c r="AE1182" s="23"/>
      <c r="AF1182" s="23"/>
      <c r="AG1182" s="23"/>
      <c r="AH1182" s="23"/>
      <c r="AI1182" s="49"/>
    </row>
    <row r="1183" spans="1:35">
      <c r="A1183" s="23"/>
      <c r="B1183" s="42"/>
      <c r="C1183" s="49"/>
      <c r="E1183" s="49"/>
      <c r="G1183" s="43"/>
      <c r="H1183" s="44"/>
      <c r="L1183" s="42"/>
      <c r="M1183" s="42"/>
      <c r="N1183" s="25"/>
      <c r="O1183" s="54"/>
      <c r="P1183"/>
      <c r="Q1183" s="25"/>
      <c r="R1183" s="54"/>
      <c r="W1183" s="23"/>
      <c r="X1183" s="23"/>
      <c r="Y1183" s="23"/>
      <c r="Z1183" s="43"/>
      <c r="AA1183" s="23"/>
      <c r="AB1183" s="23"/>
      <c r="AC1183" s="23"/>
      <c r="AD1183" s="23"/>
      <c r="AE1183" s="23"/>
      <c r="AF1183" s="23"/>
      <c r="AG1183" s="23"/>
      <c r="AH1183" s="23"/>
      <c r="AI1183" s="49"/>
    </row>
    <row r="1184" spans="1:35">
      <c r="A1184" s="23"/>
      <c r="B1184" s="42"/>
      <c r="C1184" s="49"/>
      <c r="E1184" s="49"/>
      <c r="G1184" s="43"/>
      <c r="H1184" s="44"/>
      <c r="L1184" s="42"/>
      <c r="M1184" s="42"/>
      <c r="N1184" s="25"/>
      <c r="O1184" s="54"/>
      <c r="P1184"/>
      <c r="Q1184" s="25"/>
      <c r="R1184" s="54"/>
      <c r="W1184" s="23"/>
      <c r="X1184" s="23"/>
      <c r="Y1184" s="23"/>
      <c r="Z1184" s="43"/>
      <c r="AA1184" s="23"/>
      <c r="AB1184" s="23"/>
      <c r="AC1184" s="23"/>
      <c r="AD1184" s="23"/>
      <c r="AE1184" s="23"/>
      <c r="AF1184" s="23"/>
      <c r="AG1184" s="23"/>
      <c r="AH1184" s="23"/>
      <c r="AI1184" s="49"/>
    </row>
    <row r="1185" spans="1:35">
      <c r="A1185" s="23"/>
      <c r="B1185" s="42"/>
      <c r="C1185" s="49"/>
      <c r="E1185" s="49"/>
      <c r="G1185" s="43"/>
      <c r="H1185" s="44"/>
      <c r="L1185" s="42"/>
      <c r="M1185" s="42"/>
      <c r="N1185" s="25"/>
      <c r="O1185" s="54"/>
      <c r="P1185"/>
      <c r="Q1185" s="25"/>
      <c r="R1185" s="54"/>
      <c r="W1185" s="23"/>
      <c r="X1185" s="23"/>
      <c r="Y1185" s="23"/>
      <c r="Z1185" s="43"/>
      <c r="AA1185" s="23"/>
      <c r="AB1185" s="23"/>
      <c r="AC1185" s="23"/>
      <c r="AD1185" s="23"/>
      <c r="AE1185" s="23"/>
      <c r="AF1185" s="23"/>
      <c r="AG1185" s="23"/>
      <c r="AH1185" s="23"/>
      <c r="AI1185" s="49"/>
    </row>
    <row r="1186" spans="1:35">
      <c r="A1186" s="23"/>
      <c r="B1186" s="42"/>
      <c r="C1186" s="49"/>
      <c r="E1186" s="49"/>
      <c r="G1186" s="43"/>
      <c r="H1186" s="44"/>
      <c r="L1186" s="42"/>
      <c r="M1186" s="42"/>
      <c r="N1186" s="25"/>
      <c r="O1186" s="54"/>
      <c r="P1186"/>
      <c r="Q1186" s="25"/>
      <c r="R1186" s="54"/>
      <c r="W1186" s="23"/>
      <c r="X1186" s="23"/>
      <c r="Y1186" s="23"/>
      <c r="Z1186" s="43"/>
      <c r="AA1186" s="23"/>
      <c r="AB1186" s="23"/>
      <c r="AC1186" s="23"/>
      <c r="AD1186" s="23"/>
      <c r="AE1186" s="23"/>
      <c r="AF1186" s="23"/>
      <c r="AG1186" s="23"/>
      <c r="AH1186" s="23"/>
      <c r="AI1186" s="49"/>
    </row>
    <row r="1187" spans="1:35">
      <c r="A1187" s="23"/>
      <c r="B1187" s="42"/>
      <c r="C1187" s="49"/>
      <c r="E1187" s="49"/>
      <c r="G1187" s="43"/>
      <c r="H1187" s="44"/>
      <c r="L1187" s="42"/>
      <c r="M1187" s="42"/>
      <c r="N1187" s="25"/>
      <c r="O1187" s="54"/>
      <c r="P1187"/>
      <c r="Q1187" s="25"/>
      <c r="R1187" s="54"/>
      <c r="W1187" s="23"/>
      <c r="X1187" s="23"/>
      <c r="Y1187" s="23"/>
      <c r="Z1187" s="43"/>
      <c r="AA1187" s="23"/>
      <c r="AB1187" s="23"/>
      <c r="AC1187" s="23"/>
      <c r="AD1187" s="23"/>
      <c r="AE1187" s="23"/>
      <c r="AF1187" s="23"/>
      <c r="AG1187" s="23"/>
      <c r="AH1187" s="23"/>
      <c r="AI1187" s="49"/>
    </row>
    <row r="1188" spans="1:35">
      <c r="A1188" s="23"/>
      <c r="B1188" s="42"/>
      <c r="C1188" s="49"/>
      <c r="E1188" s="49"/>
      <c r="G1188" s="43"/>
      <c r="H1188" s="44"/>
      <c r="L1188" s="42"/>
      <c r="M1188" s="42"/>
      <c r="N1188" s="25"/>
      <c r="O1188" s="54"/>
      <c r="P1188"/>
      <c r="Q1188" s="25"/>
      <c r="R1188" s="54"/>
      <c r="W1188" s="23"/>
      <c r="X1188" s="23"/>
      <c r="Y1188" s="23"/>
      <c r="Z1188" s="43"/>
      <c r="AA1188" s="23"/>
      <c r="AB1188" s="23"/>
      <c r="AC1188" s="23"/>
      <c r="AD1188" s="23"/>
      <c r="AE1188" s="23"/>
      <c r="AF1188" s="23"/>
      <c r="AG1188" s="23"/>
      <c r="AH1188" s="23"/>
      <c r="AI1188" s="49"/>
    </row>
    <row r="1189" spans="1:35">
      <c r="A1189" s="23"/>
      <c r="B1189" s="42"/>
      <c r="C1189" s="49"/>
      <c r="E1189" s="49"/>
      <c r="G1189" s="43"/>
      <c r="H1189" s="44"/>
      <c r="L1189" s="42"/>
      <c r="M1189" s="42"/>
      <c r="N1189" s="25"/>
      <c r="O1189" s="54"/>
      <c r="P1189"/>
      <c r="Q1189" s="25"/>
      <c r="R1189" s="54"/>
      <c r="W1189" s="23"/>
      <c r="X1189" s="23"/>
      <c r="Y1189" s="23"/>
      <c r="Z1189" s="43"/>
      <c r="AA1189" s="23"/>
      <c r="AB1189" s="23"/>
      <c r="AC1189" s="23"/>
      <c r="AD1189" s="23"/>
      <c r="AE1189" s="23"/>
      <c r="AF1189" s="23"/>
      <c r="AG1189" s="23"/>
      <c r="AH1189" s="23"/>
      <c r="AI1189" s="49"/>
    </row>
    <row r="1190" spans="1:35">
      <c r="A1190" s="23"/>
      <c r="B1190" s="42"/>
      <c r="C1190" s="49"/>
      <c r="E1190" s="49"/>
      <c r="G1190" s="43"/>
      <c r="H1190" s="44"/>
      <c r="L1190" s="42"/>
      <c r="M1190" s="42"/>
      <c r="N1190" s="25"/>
      <c r="O1190" s="54"/>
      <c r="P1190"/>
      <c r="Q1190" s="25"/>
      <c r="R1190" s="54"/>
      <c r="W1190" s="23"/>
      <c r="X1190" s="23"/>
      <c r="Y1190" s="23"/>
      <c r="Z1190" s="43"/>
      <c r="AA1190" s="23"/>
      <c r="AB1190" s="23"/>
      <c r="AC1190" s="23"/>
      <c r="AD1190" s="23"/>
      <c r="AE1190" s="23"/>
      <c r="AF1190" s="23"/>
      <c r="AG1190" s="23"/>
      <c r="AH1190" s="23"/>
      <c r="AI1190" s="49"/>
    </row>
    <row r="1191" spans="1:35">
      <c r="A1191" s="23"/>
      <c r="B1191" s="42"/>
      <c r="C1191" s="49"/>
      <c r="E1191" s="49"/>
      <c r="G1191" s="43"/>
      <c r="H1191" s="44"/>
      <c r="L1191" s="42"/>
      <c r="M1191" s="42"/>
      <c r="N1191" s="25"/>
      <c r="O1191" s="54"/>
      <c r="P1191"/>
      <c r="Q1191" s="25"/>
      <c r="R1191" s="54"/>
      <c r="W1191" s="23"/>
      <c r="X1191" s="23"/>
      <c r="Y1191" s="23"/>
      <c r="Z1191" s="43"/>
      <c r="AA1191" s="23"/>
      <c r="AB1191" s="23"/>
      <c r="AC1191" s="23"/>
      <c r="AD1191" s="23"/>
      <c r="AE1191" s="23"/>
      <c r="AF1191" s="23"/>
      <c r="AG1191" s="23"/>
      <c r="AH1191" s="23"/>
      <c r="AI1191" s="49"/>
    </row>
    <row r="1192" spans="1:35">
      <c r="A1192" s="23"/>
      <c r="B1192" s="42"/>
      <c r="C1192" s="49"/>
      <c r="E1192" s="49"/>
      <c r="G1192" s="43"/>
      <c r="H1192" s="44"/>
      <c r="L1192" s="42"/>
      <c r="M1192" s="42"/>
      <c r="N1192" s="25"/>
      <c r="O1192" s="54"/>
      <c r="P1192"/>
      <c r="Q1192" s="25"/>
      <c r="R1192" s="54"/>
      <c r="W1192" s="23"/>
      <c r="X1192" s="23"/>
      <c r="Y1192" s="23"/>
      <c r="Z1192" s="43"/>
      <c r="AA1192" s="23"/>
      <c r="AB1192" s="23"/>
      <c r="AC1192" s="23"/>
      <c r="AD1192" s="23"/>
      <c r="AE1192" s="23"/>
      <c r="AF1192" s="23"/>
      <c r="AG1192" s="23"/>
      <c r="AH1192" s="23"/>
      <c r="AI1192" s="49"/>
    </row>
    <row r="1193" spans="1:35">
      <c r="A1193" s="23"/>
      <c r="B1193" s="42"/>
      <c r="C1193" s="49"/>
      <c r="E1193" s="49"/>
      <c r="G1193" s="43"/>
      <c r="H1193" s="44"/>
      <c r="L1193" s="42"/>
      <c r="M1193" s="42"/>
      <c r="N1193" s="25"/>
      <c r="O1193" s="54"/>
      <c r="P1193"/>
      <c r="Q1193" s="25"/>
      <c r="R1193" s="54"/>
      <c r="W1193" s="23"/>
      <c r="X1193" s="23"/>
      <c r="Y1193" s="23"/>
      <c r="Z1193" s="43"/>
      <c r="AA1193" s="23"/>
      <c r="AB1193" s="23"/>
      <c r="AC1193" s="23"/>
      <c r="AD1193" s="23"/>
      <c r="AE1193" s="23"/>
      <c r="AF1193" s="23"/>
      <c r="AG1193" s="23"/>
      <c r="AH1193" s="23"/>
      <c r="AI1193" s="49"/>
    </row>
    <row r="1194" spans="1:35">
      <c r="A1194" s="23"/>
      <c r="B1194" s="42"/>
      <c r="C1194" s="49"/>
      <c r="E1194" s="49"/>
      <c r="G1194" s="43"/>
      <c r="H1194" s="44"/>
      <c r="L1194" s="42"/>
      <c r="M1194" s="42"/>
      <c r="N1194" s="25"/>
      <c r="O1194" s="54"/>
      <c r="P1194"/>
      <c r="Q1194" s="25"/>
      <c r="R1194" s="54"/>
      <c r="W1194" s="23"/>
      <c r="X1194" s="23"/>
      <c r="Y1194" s="23"/>
      <c r="Z1194" s="43"/>
      <c r="AA1194" s="23"/>
      <c r="AB1194" s="23"/>
      <c r="AC1194" s="23"/>
      <c r="AD1194" s="23"/>
      <c r="AE1194" s="23"/>
      <c r="AF1194" s="23"/>
      <c r="AG1194" s="23"/>
      <c r="AH1194" s="23"/>
      <c r="AI1194" s="49"/>
    </row>
    <row r="1195" spans="1:35">
      <c r="A1195" s="23"/>
      <c r="B1195" s="42"/>
      <c r="C1195" s="49"/>
      <c r="E1195" s="49"/>
      <c r="G1195" s="43"/>
      <c r="H1195" s="44"/>
      <c r="L1195" s="42"/>
      <c r="M1195" s="42"/>
      <c r="N1195" s="25"/>
      <c r="O1195" s="54"/>
      <c r="P1195"/>
      <c r="Q1195" s="25"/>
      <c r="R1195" s="54"/>
      <c r="W1195" s="23"/>
      <c r="X1195" s="23"/>
      <c r="Y1195" s="23"/>
      <c r="Z1195" s="43"/>
      <c r="AA1195" s="23"/>
      <c r="AB1195" s="23"/>
      <c r="AC1195" s="23"/>
      <c r="AD1195" s="23"/>
      <c r="AE1195" s="23"/>
      <c r="AF1195" s="23"/>
      <c r="AG1195" s="23"/>
      <c r="AH1195" s="23"/>
      <c r="AI1195" s="49"/>
    </row>
    <row r="1196" spans="1:35">
      <c r="A1196" s="23"/>
      <c r="B1196" s="42"/>
      <c r="C1196" s="49"/>
      <c r="E1196" s="49"/>
      <c r="G1196" s="43"/>
      <c r="H1196" s="44"/>
      <c r="L1196" s="42"/>
      <c r="M1196" s="42"/>
      <c r="N1196" s="25"/>
      <c r="O1196" s="54"/>
      <c r="P1196"/>
      <c r="Q1196" s="25"/>
      <c r="R1196" s="54"/>
      <c r="W1196" s="23"/>
      <c r="X1196" s="23"/>
      <c r="Y1196" s="23"/>
      <c r="Z1196" s="43"/>
      <c r="AA1196" s="23"/>
      <c r="AB1196" s="23"/>
      <c r="AC1196" s="23"/>
      <c r="AD1196" s="23"/>
      <c r="AE1196" s="23"/>
      <c r="AF1196" s="23"/>
      <c r="AG1196" s="23"/>
      <c r="AH1196" s="23"/>
      <c r="AI1196" s="49"/>
    </row>
    <row r="1197" spans="1:35">
      <c r="A1197" s="23"/>
      <c r="B1197" s="42"/>
      <c r="C1197" s="49"/>
      <c r="E1197" s="49"/>
      <c r="G1197" s="43"/>
      <c r="H1197" s="44"/>
      <c r="L1197" s="42"/>
      <c r="M1197" s="42"/>
      <c r="N1197" s="25"/>
      <c r="O1197" s="54"/>
      <c r="P1197"/>
      <c r="Q1197" s="25"/>
      <c r="R1197" s="54"/>
      <c r="W1197" s="23"/>
      <c r="X1197" s="23"/>
      <c r="Y1197" s="23"/>
      <c r="Z1197" s="43"/>
      <c r="AA1197" s="23"/>
      <c r="AB1197" s="23"/>
      <c r="AC1197" s="23"/>
      <c r="AD1197" s="23"/>
      <c r="AE1197" s="23"/>
      <c r="AF1197" s="23"/>
      <c r="AG1197" s="23"/>
      <c r="AH1197" s="23"/>
      <c r="AI1197" s="49"/>
    </row>
    <row r="1198" spans="1:35">
      <c r="A1198" s="23"/>
      <c r="B1198" s="42"/>
      <c r="C1198" s="49"/>
      <c r="E1198" s="49"/>
      <c r="G1198" s="43"/>
      <c r="H1198" s="44"/>
      <c r="L1198" s="42"/>
      <c r="M1198" s="42"/>
      <c r="N1198" s="25"/>
      <c r="O1198" s="54"/>
      <c r="P1198"/>
      <c r="Q1198" s="25"/>
      <c r="R1198" s="54"/>
      <c r="W1198" s="23"/>
      <c r="X1198" s="23"/>
      <c r="Y1198" s="23"/>
      <c r="Z1198" s="43"/>
      <c r="AA1198" s="23"/>
      <c r="AB1198" s="23"/>
      <c r="AC1198" s="23"/>
      <c r="AD1198" s="23"/>
      <c r="AE1198" s="23"/>
      <c r="AF1198" s="23"/>
      <c r="AG1198" s="23"/>
      <c r="AH1198" s="23"/>
      <c r="AI1198" s="49"/>
    </row>
    <row r="1199" spans="1:35">
      <c r="A1199" s="23"/>
      <c r="B1199" s="42"/>
      <c r="C1199" s="49"/>
      <c r="E1199" s="49"/>
      <c r="G1199" s="43"/>
      <c r="H1199" s="44"/>
      <c r="L1199" s="42"/>
      <c r="M1199" s="42"/>
      <c r="N1199" s="25"/>
      <c r="O1199" s="54"/>
      <c r="P1199"/>
      <c r="Q1199" s="25"/>
      <c r="R1199" s="54"/>
      <c r="W1199" s="23"/>
      <c r="X1199" s="23"/>
      <c r="Y1199" s="23"/>
      <c r="Z1199" s="43"/>
      <c r="AA1199" s="23"/>
      <c r="AB1199" s="23"/>
      <c r="AC1199" s="23"/>
      <c r="AD1199" s="23"/>
      <c r="AE1199" s="23"/>
      <c r="AF1199" s="23"/>
      <c r="AG1199" s="23"/>
      <c r="AH1199" s="23"/>
      <c r="AI1199" s="49"/>
    </row>
    <row r="1200" spans="1:35">
      <c r="A1200" s="23"/>
      <c r="B1200" s="42"/>
      <c r="C1200" s="49"/>
      <c r="E1200" s="49"/>
      <c r="G1200" s="43"/>
      <c r="H1200" s="44"/>
      <c r="L1200" s="42"/>
      <c r="M1200" s="42"/>
      <c r="N1200" s="25"/>
      <c r="O1200" s="54"/>
      <c r="P1200"/>
      <c r="Q1200" s="25"/>
      <c r="R1200" s="54"/>
      <c r="W1200" s="23"/>
      <c r="X1200" s="23"/>
      <c r="Y1200" s="23"/>
      <c r="Z1200" s="43"/>
      <c r="AA1200" s="23"/>
      <c r="AB1200" s="23"/>
      <c r="AC1200" s="23"/>
      <c r="AD1200" s="23"/>
      <c r="AE1200" s="23"/>
      <c r="AF1200" s="23"/>
      <c r="AG1200" s="23"/>
      <c r="AH1200" s="23"/>
      <c r="AI1200" s="49"/>
    </row>
    <row r="1201" spans="1:35">
      <c r="A1201" s="23"/>
      <c r="B1201" s="42"/>
      <c r="C1201" s="49"/>
      <c r="E1201" s="49"/>
      <c r="G1201" s="43"/>
      <c r="H1201" s="44"/>
      <c r="L1201" s="42"/>
      <c r="M1201" s="42"/>
      <c r="N1201" s="25"/>
      <c r="O1201" s="54"/>
      <c r="P1201"/>
      <c r="Q1201" s="25"/>
      <c r="R1201" s="54"/>
      <c r="W1201" s="23"/>
      <c r="X1201" s="23"/>
      <c r="Y1201" s="23"/>
      <c r="Z1201" s="43"/>
      <c r="AA1201" s="23"/>
      <c r="AB1201" s="23"/>
      <c r="AC1201" s="23"/>
      <c r="AD1201" s="23"/>
      <c r="AE1201" s="23"/>
      <c r="AF1201" s="23"/>
      <c r="AG1201" s="23"/>
      <c r="AH1201" s="23"/>
      <c r="AI1201" s="49"/>
    </row>
    <row r="1202" spans="1:35">
      <c r="A1202" s="23"/>
      <c r="B1202" s="42"/>
      <c r="C1202" s="49"/>
      <c r="E1202" s="49"/>
      <c r="G1202" s="43"/>
      <c r="H1202" s="44"/>
      <c r="L1202" s="42"/>
      <c r="M1202" s="42"/>
      <c r="N1202" s="25"/>
      <c r="O1202" s="54"/>
      <c r="P1202"/>
      <c r="Q1202" s="25"/>
      <c r="R1202" s="54"/>
      <c r="W1202" s="23"/>
      <c r="X1202" s="23"/>
      <c r="Y1202" s="23"/>
      <c r="Z1202" s="43"/>
      <c r="AA1202" s="23"/>
      <c r="AB1202" s="23"/>
      <c r="AC1202" s="23"/>
      <c r="AD1202" s="23"/>
      <c r="AE1202" s="23"/>
      <c r="AF1202" s="23"/>
      <c r="AG1202" s="23"/>
      <c r="AH1202" s="23"/>
      <c r="AI1202" s="49"/>
    </row>
    <row r="1203" spans="1:35">
      <c r="A1203" s="23"/>
      <c r="B1203" s="42"/>
      <c r="C1203" s="49"/>
      <c r="E1203" s="49"/>
      <c r="G1203" s="43"/>
      <c r="H1203" s="44"/>
      <c r="L1203" s="42"/>
      <c r="M1203" s="42"/>
      <c r="N1203" s="25"/>
      <c r="O1203" s="54"/>
      <c r="P1203"/>
      <c r="Q1203" s="25"/>
      <c r="R1203" s="54"/>
      <c r="W1203" s="23"/>
      <c r="X1203" s="23"/>
      <c r="Y1203" s="23"/>
      <c r="Z1203" s="43"/>
      <c r="AA1203" s="23"/>
      <c r="AB1203" s="23"/>
      <c r="AC1203" s="23"/>
      <c r="AD1203" s="23"/>
      <c r="AE1203" s="23"/>
      <c r="AF1203" s="23"/>
      <c r="AG1203" s="23"/>
      <c r="AH1203" s="23"/>
      <c r="AI1203" s="49"/>
    </row>
    <row r="1204" spans="1:35">
      <c r="A1204" s="23"/>
      <c r="B1204" s="42"/>
      <c r="C1204" s="49"/>
      <c r="E1204" s="49"/>
      <c r="G1204" s="43"/>
      <c r="H1204" s="44"/>
      <c r="L1204" s="42"/>
      <c r="M1204" s="42"/>
      <c r="N1204" s="25"/>
      <c r="O1204" s="54"/>
      <c r="P1204"/>
      <c r="Q1204" s="25"/>
      <c r="R1204" s="54"/>
      <c r="W1204" s="23"/>
      <c r="X1204" s="23"/>
      <c r="Y1204" s="23"/>
      <c r="Z1204" s="43"/>
      <c r="AA1204" s="23"/>
      <c r="AB1204" s="23"/>
      <c r="AC1204" s="23"/>
      <c r="AD1204" s="23"/>
      <c r="AE1204" s="23"/>
      <c r="AF1204" s="23"/>
      <c r="AG1204" s="23"/>
      <c r="AH1204" s="23"/>
      <c r="AI1204" s="49"/>
    </row>
    <row r="1205" spans="1:35">
      <c r="A1205" s="23"/>
      <c r="B1205" s="42"/>
      <c r="C1205" s="49"/>
      <c r="E1205" s="49"/>
      <c r="G1205" s="43"/>
      <c r="H1205" s="44"/>
      <c r="L1205" s="42"/>
      <c r="M1205" s="42"/>
      <c r="N1205" s="25"/>
      <c r="O1205" s="54"/>
      <c r="P1205"/>
      <c r="Q1205" s="25"/>
      <c r="R1205" s="54"/>
      <c r="W1205" s="23"/>
      <c r="X1205" s="23"/>
      <c r="Y1205" s="23"/>
      <c r="Z1205" s="43"/>
      <c r="AA1205" s="23"/>
      <c r="AB1205" s="23"/>
      <c r="AC1205" s="23"/>
      <c r="AD1205" s="23"/>
      <c r="AE1205" s="23"/>
      <c r="AF1205" s="23"/>
      <c r="AG1205" s="23"/>
      <c r="AH1205" s="23"/>
      <c r="AI1205" s="49"/>
    </row>
    <row r="1206" spans="1:35">
      <c r="A1206" s="23"/>
      <c r="B1206" s="42"/>
      <c r="C1206" s="49"/>
      <c r="E1206" s="49"/>
      <c r="G1206" s="43"/>
      <c r="H1206" s="44"/>
      <c r="L1206" s="42"/>
      <c r="M1206" s="42"/>
      <c r="N1206" s="25"/>
      <c r="O1206" s="54"/>
      <c r="P1206"/>
      <c r="Q1206" s="25"/>
      <c r="R1206" s="54"/>
      <c r="W1206" s="23"/>
      <c r="X1206" s="23"/>
      <c r="Y1206" s="23"/>
      <c r="Z1206" s="43"/>
      <c r="AA1206" s="23"/>
      <c r="AB1206" s="23"/>
      <c r="AC1206" s="23"/>
      <c r="AD1206" s="23"/>
      <c r="AE1206" s="23"/>
      <c r="AF1206" s="23"/>
      <c r="AG1206" s="23"/>
      <c r="AH1206" s="23"/>
      <c r="AI1206" s="49"/>
    </row>
    <row r="1207" spans="1:35">
      <c r="A1207" s="23"/>
      <c r="B1207" s="42"/>
      <c r="C1207" s="49"/>
      <c r="E1207" s="49"/>
      <c r="G1207" s="43"/>
      <c r="H1207" s="44"/>
      <c r="L1207" s="42"/>
      <c r="M1207" s="42"/>
      <c r="N1207" s="25"/>
      <c r="O1207" s="54"/>
      <c r="P1207"/>
      <c r="Q1207" s="25"/>
      <c r="R1207" s="54"/>
      <c r="W1207" s="23"/>
      <c r="X1207" s="23"/>
      <c r="Y1207" s="23"/>
      <c r="Z1207" s="43"/>
      <c r="AA1207" s="23"/>
      <c r="AB1207" s="23"/>
      <c r="AC1207" s="23"/>
      <c r="AD1207" s="23"/>
      <c r="AE1207" s="23"/>
      <c r="AF1207" s="23"/>
      <c r="AG1207" s="23"/>
      <c r="AH1207" s="23"/>
      <c r="AI1207" s="49"/>
    </row>
    <row r="1208" spans="1:35">
      <c r="A1208" s="23"/>
      <c r="B1208" s="42"/>
      <c r="C1208" s="49"/>
      <c r="E1208" s="49"/>
      <c r="G1208" s="43"/>
      <c r="H1208" s="44"/>
      <c r="L1208" s="42"/>
      <c r="M1208" s="42"/>
      <c r="N1208" s="25"/>
      <c r="O1208" s="54"/>
      <c r="P1208"/>
      <c r="Q1208" s="25"/>
      <c r="R1208" s="54"/>
      <c r="W1208" s="23"/>
      <c r="X1208" s="23"/>
      <c r="Y1208" s="23"/>
      <c r="Z1208" s="43"/>
      <c r="AA1208" s="23"/>
      <c r="AB1208" s="23"/>
      <c r="AC1208" s="23"/>
      <c r="AD1208" s="23"/>
      <c r="AE1208" s="23"/>
      <c r="AF1208" s="23"/>
      <c r="AG1208" s="23"/>
      <c r="AH1208" s="23"/>
      <c r="AI1208" s="49"/>
    </row>
    <row r="1209" spans="1:35">
      <c r="A1209" s="23"/>
      <c r="B1209" s="42"/>
      <c r="C1209" s="49"/>
      <c r="E1209" s="49"/>
      <c r="G1209" s="43"/>
      <c r="H1209" s="44"/>
      <c r="L1209" s="42"/>
      <c r="M1209" s="42"/>
      <c r="N1209" s="25"/>
      <c r="O1209" s="54"/>
      <c r="P1209"/>
      <c r="Q1209" s="25"/>
      <c r="R1209" s="54"/>
      <c r="W1209" s="23"/>
      <c r="X1209" s="23"/>
      <c r="Y1209" s="23"/>
      <c r="Z1209" s="43"/>
      <c r="AA1209" s="23"/>
      <c r="AB1209" s="23"/>
      <c r="AC1209" s="23"/>
      <c r="AD1209" s="23"/>
      <c r="AE1209" s="23"/>
      <c r="AF1209" s="23"/>
      <c r="AG1209" s="23"/>
      <c r="AH1209" s="23"/>
      <c r="AI1209" s="49"/>
    </row>
    <row r="1210" spans="1:35">
      <c r="A1210" s="23"/>
      <c r="B1210" s="42"/>
      <c r="C1210" s="49"/>
      <c r="E1210" s="49"/>
      <c r="G1210" s="43"/>
      <c r="H1210" s="44"/>
      <c r="L1210" s="42"/>
      <c r="M1210" s="42"/>
      <c r="N1210" s="25"/>
      <c r="O1210" s="54"/>
      <c r="P1210"/>
      <c r="Q1210" s="25"/>
      <c r="R1210" s="54"/>
      <c r="W1210" s="23"/>
      <c r="X1210" s="23"/>
      <c r="Y1210" s="23"/>
      <c r="Z1210" s="43"/>
      <c r="AA1210" s="23"/>
      <c r="AB1210" s="23"/>
      <c r="AC1210" s="23"/>
      <c r="AD1210" s="23"/>
      <c r="AE1210" s="23"/>
      <c r="AF1210" s="23"/>
      <c r="AG1210" s="23"/>
      <c r="AH1210" s="23"/>
      <c r="AI1210" s="49"/>
    </row>
    <row r="1211" spans="1:35">
      <c r="A1211" s="23"/>
      <c r="B1211" s="42"/>
      <c r="C1211" s="49"/>
      <c r="E1211" s="49"/>
      <c r="G1211" s="43"/>
      <c r="H1211" s="44"/>
      <c r="L1211" s="42"/>
      <c r="M1211" s="42"/>
      <c r="N1211" s="25"/>
      <c r="O1211" s="54"/>
      <c r="P1211"/>
      <c r="Q1211" s="25"/>
      <c r="R1211" s="54"/>
      <c r="W1211" s="23"/>
      <c r="X1211" s="23"/>
      <c r="Y1211" s="23"/>
      <c r="Z1211" s="43"/>
      <c r="AA1211" s="23"/>
      <c r="AB1211" s="23"/>
      <c r="AC1211" s="23"/>
      <c r="AD1211" s="23"/>
      <c r="AE1211" s="23"/>
      <c r="AF1211" s="23"/>
      <c r="AG1211" s="23"/>
      <c r="AH1211" s="23"/>
      <c r="AI1211" s="49"/>
    </row>
    <row r="1212" spans="1:35">
      <c r="A1212" s="23"/>
      <c r="B1212" s="42"/>
      <c r="C1212" s="49"/>
      <c r="E1212" s="49"/>
      <c r="G1212" s="43"/>
      <c r="H1212" s="44"/>
      <c r="L1212" s="42"/>
      <c r="M1212" s="42"/>
      <c r="N1212" s="25"/>
      <c r="O1212" s="54"/>
      <c r="P1212"/>
      <c r="Q1212" s="25"/>
      <c r="R1212" s="54"/>
      <c r="W1212" s="23"/>
      <c r="X1212" s="23"/>
      <c r="Y1212" s="23"/>
      <c r="Z1212" s="43"/>
      <c r="AA1212" s="23"/>
      <c r="AB1212" s="23"/>
      <c r="AC1212" s="23"/>
      <c r="AD1212" s="23"/>
      <c r="AE1212" s="23"/>
      <c r="AF1212" s="23"/>
      <c r="AG1212" s="23"/>
      <c r="AH1212" s="23"/>
      <c r="AI1212" s="49"/>
    </row>
    <row r="1213" spans="1:35">
      <c r="A1213" s="23"/>
      <c r="B1213" s="42"/>
      <c r="C1213" s="49"/>
      <c r="E1213" s="49"/>
      <c r="G1213" s="43"/>
      <c r="H1213" s="44"/>
      <c r="L1213" s="42"/>
      <c r="M1213" s="42"/>
      <c r="N1213" s="25"/>
      <c r="O1213" s="54"/>
      <c r="P1213"/>
      <c r="Q1213" s="25"/>
      <c r="R1213" s="54"/>
      <c r="W1213" s="23"/>
      <c r="X1213" s="23"/>
      <c r="Y1213" s="23"/>
      <c r="Z1213" s="43"/>
      <c r="AA1213" s="23"/>
      <c r="AB1213" s="23"/>
      <c r="AC1213" s="23"/>
      <c r="AD1213" s="23"/>
      <c r="AE1213" s="23"/>
      <c r="AF1213" s="23"/>
      <c r="AG1213" s="23"/>
      <c r="AH1213" s="23"/>
      <c r="AI1213" s="49"/>
    </row>
    <row r="1214" spans="1:35">
      <c r="A1214" s="23"/>
      <c r="B1214" s="42"/>
      <c r="C1214" s="49"/>
      <c r="E1214" s="49"/>
      <c r="G1214" s="43"/>
      <c r="H1214" s="44"/>
      <c r="L1214" s="42"/>
      <c r="M1214" s="42"/>
      <c r="N1214" s="25"/>
      <c r="O1214" s="54"/>
      <c r="P1214"/>
      <c r="Q1214" s="25"/>
      <c r="R1214" s="54"/>
      <c r="W1214" s="23"/>
      <c r="X1214" s="23"/>
      <c r="Y1214" s="23"/>
      <c r="Z1214" s="43"/>
      <c r="AA1214" s="23"/>
      <c r="AB1214" s="23"/>
      <c r="AC1214" s="23"/>
      <c r="AD1214" s="23"/>
      <c r="AE1214" s="23"/>
      <c r="AF1214" s="23"/>
      <c r="AG1214" s="23"/>
      <c r="AH1214" s="23"/>
      <c r="AI1214" s="49"/>
    </row>
    <row r="1215" spans="1:35">
      <c r="A1215" s="23"/>
      <c r="B1215" s="42"/>
      <c r="C1215" s="49"/>
      <c r="E1215" s="49"/>
      <c r="G1215" s="43"/>
      <c r="H1215" s="44"/>
      <c r="L1215" s="42"/>
      <c r="M1215" s="42"/>
      <c r="N1215" s="25"/>
      <c r="O1215" s="54"/>
      <c r="P1215"/>
      <c r="Q1215" s="25"/>
      <c r="R1215" s="54"/>
      <c r="W1215" s="23"/>
      <c r="X1215" s="23"/>
      <c r="Y1215" s="23"/>
      <c r="Z1215" s="43"/>
      <c r="AA1215" s="23"/>
      <c r="AB1215" s="23"/>
      <c r="AC1215" s="23"/>
      <c r="AD1215" s="23"/>
      <c r="AE1215" s="23"/>
      <c r="AF1215" s="23"/>
      <c r="AG1215" s="23"/>
      <c r="AH1215" s="23"/>
      <c r="AI1215" s="49"/>
    </row>
    <row r="1216" spans="1:35">
      <c r="A1216" s="23"/>
      <c r="B1216" s="42"/>
      <c r="C1216" s="49"/>
      <c r="E1216" s="49"/>
      <c r="G1216" s="43"/>
      <c r="H1216" s="44"/>
      <c r="L1216" s="42"/>
      <c r="M1216" s="42"/>
      <c r="N1216" s="25"/>
      <c r="O1216" s="54"/>
      <c r="P1216"/>
      <c r="Q1216" s="25"/>
      <c r="R1216" s="54"/>
      <c r="W1216" s="23"/>
      <c r="X1216" s="23"/>
      <c r="Y1216" s="23"/>
      <c r="Z1216" s="43"/>
      <c r="AA1216" s="23"/>
      <c r="AB1216" s="23"/>
      <c r="AC1216" s="23"/>
      <c r="AD1216" s="23"/>
      <c r="AE1216" s="23"/>
      <c r="AF1216" s="23"/>
      <c r="AG1216" s="23"/>
      <c r="AH1216" s="23"/>
      <c r="AI1216" s="49"/>
    </row>
    <row r="1217" spans="1:35">
      <c r="A1217" s="23"/>
      <c r="B1217" s="42"/>
      <c r="C1217" s="49"/>
      <c r="E1217" s="49"/>
      <c r="G1217" s="43"/>
      <c r="H1217" s="44"/>
      <c r="L1217" s="42"/>
      <c r="M1217" s="42"/>
      <c r="N1217" s="25"/>
      <c r="O1217" s="54"/>
      <c r="P1217"/>
      <c r="Q1217" s="25"/>
      <c r="R1217" s="54"/>
      <c r="W1217" s="23"/>
      <c r="X1217" s="23"/>
      <c r="Y1217" s="23"/>
      <c r="Z1217" s="43"/>
      <c r="AA1217" s="23"/>
      <c r="AB1217" s="23"/>
      <c r="AC1217" s="23"/>
      <c r="AD1217" s="23"/>
      <c r="AE1217" s="23"/>
      <c r="AF1217" s="23"/>
      <c r="AG1217" s="23"/>
      <c r="AH1217" s="23"/>
      <c r="AI1217" s="49"/>
    </row>
    <row r="1218" spans="1:35">
      <c r="A1218" s="23"/>
      <c r="B1218" s="42"/>
      <c r="C1218" s="49"/>
      <c r="E1218" s="49"/>
      <c r="G1218" s="43"/>
      <c r="H1218" s="44"/>
      <c r="L1218" s="42"/>
      <c r="M1218" s="42"/>
      <c r="N1218" s="25"/>
      <c r="O1218" s="54"/>
      <c r="P1218"/>
      <c r="Q1218" s="25"/>
      <c r="R1218" s="54"/>
      <c r="W1218" s="23"/>
      <c r="X1218" s="23"/>
      <c r="Y1218" s="23"/>
      <c r="Z1218" s="43"/>
      <c r="AA1218" s="23"/>
      <c r="AB1218" s="23"/>
      <c r="AC1218" s="23"/>
      <c r="AD1218" s="23"/>
      <c r="AE1218" s="23"/>
      <c r="AF1218" s="23"/>
      <c r="AG1218" s="23"/>
      <c r="AH1218" s="23"/>
      <c r="AI1218" s="49"/>
    </row>
    <row r="1219" spans="1:35">
      <c r="A1219" s="23"/>
      <c r="B1219" s="42"/>
      <c r="C1219" s="49"/>
      <c r="E1219" s="49"/>
      <c r="G1219" s="43"/>
      <c r="H1219" s="44"/>
      <c r="L1219" s="42"/>
      <c r="M1219" s="42"/>
      <c r="N1219" s="25"/>
      <c r="O1219" s="54"/>
      <c r="P1219"/>
      <c r="Q1219" s="25"/>
      <c r="R1219" s="54"/>
      <c r="W1219" s="23"/>
      <c r="X1219" s="23"/>
      <c r="Y1219" s="23"/>
      <c r="Z1219" s="43"/>
      <c r="AA1219" s="23"/>
      <c r="AB1219" s="23"/>
      <c r="AC1219" s="23"/>
      <c r="AD1219" s="23"/>
      <c r="AE1219" s="23"/>
      <c r="AF1219" s="23"/>
      <c r="AG1219" s="23"/>
      <c r="AH1219" s="23"/>
      <c r="AI1219" s="49"/>
    </row>
    <row r="1220" spans="1:35">
      <c r="A1220" s="23"/>
      <c r="B1220" s="42"/>
      <c r="C1220" s="49"/>
      <c r="E1220" s="49"/>
      <c r="G1220" s="43"/>
      <c r="H1220" s="44"/>
      <c r="L1220" s="42"/>
      <c r="M1220" s="42"/>
      <c r="N1220" s="25"/>
      <c r="O1220" s="54"/>
      <c r="P1220"/>
      <c r="Q1220" s="25"/>
      <c r="R1220" s="54"/>
      <c r="W1220" s="23"/>
      <c r="X1220" s="23"/>
      <c r="Y1220" s="23"/>
      <c r="Z1220" s="43"/>
      <c r="AA1220" s="23"/>
      <c r="AB1220" s="23"/>
      <c r="AC1220" s="23"/>
      <c r="AD1220" s="23"/>
      <c r="AE1220" s="23"/>
      <c r="AF1220" s="23"/>
      <c r="AG1220" s="23"/>
      <c r="AH1220" s="23"/>
      <c r="AI1220" s="49"/>
    </row>
    <row r="1221" spans="1:35">
      <c r="A1221" s="23"/>
      <c r="B1221" s="42"/>
      <c r="C1221" s="49"/>
      <c r="E1221" s="49"/>
      <c r="G1221" s="43"/>
      <c r="H1221" s="44"/>
      <c r="L1221" s="42"/>
      <c r="M1221" s="42"/>
      <c r="N1221" s="25"/>
      <c r="O1221" s="54"/>
      <c r="P1221"/>
      <c r="Q1221" s="25"/>
      <c r="R1221" s="54"/>
      <c r="W1221" s="23"/>
      <c r="X1221" s="23"/>
      <c r="Y1221" s="23"/>
      <c r="Z1221" s="43"/>
      <c r="AA1221" s="23"/>
      <c r="AB1221" s="23"/>
      <c r="AC1221" s="23"/>
      <c r="AD1221" s="23"/>
      <c r="AE1221" s="23"/>
      <c r="AF1221" s="23"/>
      <c r="AG1221" s="23"/>
      <c r="AH1221" s="23"/>
      <c r="AI1221" s="49"/>
    </row>
    <row r="1222" spans="1:35">
      <c r="A1222" s="23"/>
      <c r="B1222" s="42"/>
      <c r="C1222" s="49"/>
      <c r="E1222" s="49"/>
      <c r="G1222" s="43"/>
      <c r="H1222" s="44"/>
      <c r="L1222" s="42"/>
      <c r="M1222" s="42"/>
      <c r="N1222" s="25"/>
      <c r="O1222" s="54"/>
      <c r="P1222"/>
      <c r="Q1222" s="25"/>
      <c r="R1222" s="54"/>
      <c r="W1222" s="23"/>
      <c r="X1222" s="23"/>
      <c r="Y1222" s="23"/>
      <c r="Z1222" s="43"/>
      <c r="AA1222" s="23"/>
      <c r="AB1222" s="23"/>
      <c r="AC1222" s="23"/>
      <c r="AD1222" s="23"/>
      <c r="AE1222" s="23"/>
      <c r="AF1222" s="23"/>
      <c r="AG1222" s="23"/>
      <c r="AH1222" s="23"/>
      <c r="AI1222" s="49"/>
    </row>
    <row r="1223" spans="1:35">
      <c r="A1223" s="23"/>
      <c r="B1223" s="42"/>
      <c r="C1223" s="49"/>
      <c r="E1223" s="49"/>
      <c r="G1223" s="43"/>
      <c r="H1223" s="44"/>
      <c r="L1223" s="42"/>
      <c r="M1223" s="42"/>
      <c r="N1223" s="25"/>
      <c r="O1223" s="54"/>
      <c r="P1223"/>
      <c r="Q1223" s="25"/>
      <c r="R1223" s="54"/>
      <c r="W1223" s="23"/>
      <c r="X1223" s="23"/>
      <c r="Y1223" s="23"/>
      <c r="Z1223" s="43"/>
      <c r="AA1223" s="23"/>
      <c r="AB1223" s="23"/>
      <c r="AC1223" s="23"/>
      <c r="AD1223" s="23"/>
      <c r="AE1223" s="23"/>
      <c r="AF1223" s="23"/>
      <c r="AG1223" s="23"/>
      <c r="AH1223" s="23"/>
      <c r="AI1223" s="49"/>
    </row>
    <row r="1224" spans="1:35">
      <c r="A1224" s="23"/>
      <c r="B1224" s="42"/>
      <c r="C1224" s="49"/>
      <c r="E1224" s="49"/>
      <c r="G1224" s="43"/>
      <c r="H1224" s="44"/>
      <c r="L1224" s="42"/>
      <c r="M1224" s="42"/>
      <c r="N1224" s="25"/>
      <c r="O1224" s="54"/>
      <c r="P1224"/>
      <c r="Q1224" s="25"/>
      <c r="R1224" s="54"/>
      <c r="W1224" s="23"/>
      <c r="X1224" s="23"/>
      <c r="Y1224" s="23"/>
      <c r="Z1224" s="43"/>
      <c r="AA1224" s="23"/>
      <c r="AB1224" s="23"/>
      <c r="AC1224" s="23"/>
      <c r="AD1224" s="23"/>
      <c r="AE1224" s="23"/>
      <c r="AF1224" s="23"/>
      <c r="AG1224" s="23"/>
      <c r="AH1224" s="23"/>
      <c r="AI1224" s="49"/>
    </row>
    <row r="1225" spans="1:35">
      <c r="A1225" s="23"/>
      <c r="B1225" s="42"/>
      <c r="C1225" s="49"/>
      <c r="E1225" s="49"/>
      <c r="G1225" s="43"/>
      <c r="H1225" s="44"/>
      <c r="L1225" s="42"/>
      <c r="M1225" s="42"/>
      <c r="N1225" s="25"/>
      <c r="O1225" s="54"/>
      <c r="P1225"/>
      <c r="Q1225" s="25"/>
      <c r="R1225" s="54"/>
      <c r="W1225" s="23"/>
      <c r="X1225" s="23"/>
      <c r="Y1225" s="23"/>
      <c r="Z1225" s="43"/>
      <c r="AA1225" s="23"/>
      <c r="AB1225" s="23"/>
      <c r="AC1225" s="23"/>
      <c r="AD1225" s="23"/>
      <c r="AE1225" s="23"/>
      <c r="AF1225" s="23"/>
      <c r="AG1225" s="23"/>
      <c r="AH1225" s="23"/>
      <c r="AI1225" s="49"/>
    </row>
    <row r="1226" spans="1:35">
      <c r="A1226" s="23"/>
      <c r="B1226" s="42"/>
      <c r="C1226" s="49"/>
      <c r="E1226" s="49"/>
      <c r="G1226" s="43"/>
      <c r="H1226" s="44"/>
      <c r="L1226" s="42"/>
      <c r="M1226" s="42"/>
      <c r="N1226" s="25"/>
      <c r="O1226" s="54"/>
      <c r="P1226"/>
      <c r="Q1226" s="25"/>
      <c r="R1226" s="54"/>
      <c r="W1226" s="23"/>
      <c r="X1226" s="23"/>
      <c r="Y1226" s="23"/>
      <c r="Z1226" s="43"/>
      <c r="AA1226" s="23"/>
      <c r="AB1226" s="23"/>
      <c r="AC1226" s="23"/>
      <c r="AD1226" s="23"/>
      <c r="AE1226" s="23"/>
      <c r="AF1226" s="23"/>
      <c r="AG1226" s="23"/>
      <c r="AH1226" s="23"/>
      <c r="AI1226" s="49"/>
    </row>
    <row r="1227" spans="1:35">
      <c r="A1227" s="23"/>
      <c r="B1227" s="42"/>
      <c r="C1227" s="49"/>
      <c r="E1227" s="49"/>
      <c r="G1227" s="43"/>
      <c r="H1227" s="44"/>
      <c r="L1227" s="42"/>
      <c r="M1227" s="42"/>
      <c r="N1227" s="25"/>
      <c r="O1227" s="54"/>
      <c r="P1227"/>
      <c r="Q1227" s="25"/>
      <c r="R1227" s="54"/>
      <c r="W1227" s="23"/>
      <c r="X1227" s="23"/>
      <c r="Y1227" s="23"/>
      <c r="Z1227" s="43"/>
      <c r="AA1227" s="23"/>
      <c r="AB1227" s="23"/>
      <c r="AC1227" s="23"/>
      <c r="AD1227" s="23"/>
      <c r="AE1227" s="23"/>
      <c r="AF1227" s="23"/>
      <c r="AG1227" s="23"/>
      <c r="AH1227" s="23"/>
      <c r="AI1227" s="49"/>
    </row>
    <row r="1228" spans="1:35">
      <c r="A1228" s="23"/>
      <c r="B1228" s="42"/>
      <c r="C1228" s="49"/>
      <c r="E1228" s="49"/>
      <c r="G1228" s="43"/>
      <c r="H1228" s="44"/>
      <c r="L1228" s="42"/>
      <c r="M1228" s="42"/>
      <c r="N1228" s="25"/>
      <c r="O1228" s="54"/>
      <c r="P1228"/>
      <c r="Q1228" s="25"/>
      <c r="R1228" s="54"/>
      <c r="W1228" s="23"/>
      <c r="X1228" s="23"/>
      <c r="Y1228" s="23"/>
      <c r="Z1228" s="43"/>
      <c r="AA1228" s="23"/>
      <c r="AB1228" s="23"/>
      <c r="AC1228" s="23"/>
      <c r="AD1228" s="23"/>
      <c r="AE1228" s="23"/>
      <c r="AF1228" s="23"/>
      <c r="AG1228" s="23"/>
      <c r="AH1228" s="23"/>
      <c r="AI1228" s="49"/>
    </row>
    <row r="1229" spans="1:35">
      <c r="A1229" s="23"/>
      <c r="B1229" s="42"/>
      <c r="C1229" s="49"/>
      <c r="E1229" s="49"/>
      <c r="G1229" s="43"/>
      <c r="H1229" s="44"/>
      <c r="L1229" s="42"/>
      <c r="M1229" s="42"/>
      <c r="N1229" s="25"/>
      <c r="O1229" s="54"/>
      <c r="P1229"/>
      <c r="Q1229" s="25"/>
      <c r="R1229" s="54"/>
      <c r="W1229" s="23"/>
      <c r="X1229" s="23"/>
      <c r="Y1229" s="23"/>
      <c r="Z1229" s="43"/>
      <c r="AA1229" s="23"/>
      <c r="AB1229" s="23"/>
      <c r="AC1229" s="23"/>
      <c r="AD1229" s="23"/>
      <c r="AE1229" s="23"/>
      <c r="AF1229" s="23"/>
      <c r="AG1229" s="23"/>
      <c r="AH1229" s="23"/>
      <c r="AI1229" s="49"/>
    </row>
    <row r="1230" spans="1:35">
      <c r="A1230" s="23"/>
      <c r="B1230" s="42"/>
      <c r="C1230" s="49"/>
      <c r="E1230" s="49"/>
      <c r="G1230" s="43"/>
      <c r="H1230" s="44"/>
      <c r="L1230" s="42"/>
      <c r="M1230" s="42"/>
      <c r="N1230" s="25"/>
      <c r="O1230" s="54"/>
      <c r="P1230"/>
      <c r="Q1230" s="25"/>
      <c r="R1230" s="54"/>
      <c r="W1230" s="23"/>
      <c r="X1230" s="23"/>
      <c r="Y1230" s="23"/>
      <c r="Z1230" s="43"/>
      <c r="AA1230" s="23"/>
      <c r="AB1230" s="23"/>
      <c r="AC1230" s="23"/>
      <c r="AD1230" s="23"/>
      <c r="AE1230" s="23"/>
      <c r="AF1230" s="23"/>
      <c r="AG1230" s="23"/>
      <c r="AH1230" s="23"/>
      <c r="AI1230" s="49"/>
    </row>
    <row r="1231" spans="1:35">
      <c r="A1231" s="23"/>
      <c r="B1231" s="42"/>
      <c r="C1231" s="49"/>
      <c r="E1231" s="49"/>
      <c r="G1231" s="43"/>
      <c r="H1231" s="44"/>
      <c r="L1231" s="42"/>
      <c r="M1231" s="42"/>
      <c r="N1231" s="25"/>
      <c r="O1231" s="54"/>
      <c r="P1231"/>
      <c r="Q1231" s="25"/>
      <c r="R1231" s="54"/>
      <c r="W1231" s="23"/>
      <c r="X1231" s="23"/>
      <c r="Y1231" s="23"/>
      <c r="Z1231" s="43"/>
      <c r="AA1231" s="23"/>
      <c r="AB1231" s="23"/>
      <c r="AC1231" s="23"/>
      <c r="AD1231" s="23"/>
      <c r="AE1231" s="23"/>
      <c r="AF1231" s="23"/>
      <c r="AG1231" s="23"/>
      <c r="AH1231" s="23"/>
      <c r="AI1231" s="49"/>
    </row>
    <row r="1232" spans="1:35">
      <c r="A1232" s="23"/>
      <c r="B1232" s="42"/>
      <c r="C1232" s="49"/>
      <c r="E1232" s="49"/>
      <c r="G1232" s="43"/>
      <c r="H1232" s="44"/>
      <c r="L1232" s="42"/>
      <c r="M1232" s="42"/>
      <c r="N1232" s="25"/>
      <c r="O1232" s="54"/>
      <c r="P1232"/>
      <c r="Q1232" s="25"/>
      <c r="R1232" s="54"/>
      <c r="W1232" s="23"/>
      <c r="X1232" s="23"/>
      <c r="Y1232" s="23"/>
      <c r="Z1232" s="43"/>
      <c r="AA1232" s="23"/>
      <c r="AB1232" s="23"/>
      <c r="AC1232" s="23"/>
      <c r="AD1232" s="23"/>
      <c r="AE1232" s="23"/>
      <c r="AF1232" s="23"/>
      <c r="AG1232" s="23"/>
      <c r="AH1232" s="23"/>
      <c r="AI1232" s="49"/>
    </row>
    <row r="1233" spans="1:35">
      <c r="A1233" s="23"/>
      <c r="B1233" s="42"/>
      <c r="C1233" s="49"/>
      <c r="E1233" s="49"/>
      <c r="G1233" s="43"/>
      <c r="H1233" s="44"/>
      <c r="L1233" s="42"/>
      <c r="M1233" s="42"/>
      <c r="N1233" s="25"/>
      <c r="O1233" s="54"/>
      <c r="P1233"/>
      <c r="Q1233" s="25"/>
      <c r="R1233" s="54"/>
      <c r="W1233" s="23"/>
      <c r="X1233" s="23"/>
      <c r="Y1233" s="23"/>
      <c r="Z1233" s="43"/>
      <c r="AA1233" s="23"/>
      <c r="AB1233" s="23"/>
      <c r="AC1233" s="23"/>
      <c r="AD1233" s="23"/>
      <c r="AE1233" s="23"/>
      <c r="AF1233" s="23"/>
      <c r="AG1233" s="23"/>
      <c r="AH1233" s="23"/>
      <c r="AI1233" s="49"/>
    </row>
    <row r="1234" spans="1:35">
      <c r="A1234" s="23"/>
      <c r="B1234" s="42"/>
      <c r="C1234" s="49"/>
      <c r="E1234" s="49"/>
      <c r="G1234" s="43"/>
      <c r="H1234" s="44"/>
      <c r="L1234" s="42"/>
      <c r="M1234" s="42"/>
      <c r="N1234" s="25"/>
      <c r="O1234" s="54"/>
      <c r="P1234"/>
      <c r="Q1234" s="25"/>
      <c r="R1234" s="54"/>
      <c r="W1234" s="23"/>
      <c r="X1234" s="23"/>
      <c r="Y1234" s="23"/>
      <c r="Z1234" s="43"/>
      <c r="AA1234" s="23"/>
      <c r="AB1234" s="23"/>
      <c r="AC1234" s="23"/>
      <c r="AD1234" s="23"/>
      <c r="AE1234" s="23"/>
      <c r="AF1234" s="23"/>
      <c r="AG1234" s="23"/>
      <c r="AH1234" s="23"/>
      <c r="AI1234" s="49"/>
    </row>
    <row r="1235" spans="1:35">
      <c r="A1235" s="23"/>
      <c r="B1235" s="42"/>
      <c r="C1235" s="49"/>
      <c r="E1235" s="49"/>
      <c r="G1235" s="43"/>
      <c r="H1235" s="44"/>
      <c r="L1235" s="42"/>
      <c r="M1235" s="42"/>
      <c r="N1235" s="25"/>
      <c r="O1235" s="54"/>
      <c r="P1235"/>
      <c r="Q1235" s="25"/>
      <c r="R1235" s="54"/>
      <c r="W1235" s="23"/>
      <c r="X1235" s="23"/>
      <c r="Y1235" s="23"/>
      <c r="Z1235" s="43"/>
      <c r="AA1235" s="23"/>
      <c r="AB1235" s="23"/>
      <c r="AC1235" s="23"/>
      <c r="AD1235" s="23"/>
      <c r="AE1235" s="23"/>
      <c r="AF1235" s="23"/>
      <c r="AG1235" s="23"/>
      <c r="AH1235" s="23"/>
      <c r="AI1235" s="49"/>
    </row>
    <row r="1236" spans="1:35">
      <c r="A1236" s="23"/>
      <c r="B1236" s="42"/>
      <c r="C1236" s="49"/>
      <c r="E1236" s="49"/>
      <c r="G1236" s="43"/>
      <c r="H1236" s="44"/>
      <c r="L1236" s="42"/>
      <c r="M1236" s="42"/>
      <c r="N1236" s="25"/>
      <c r="O1236" s="54"/>
      <c r="P1236"/>
      <c r="Q1236" s="25"/>
      <c r="R1236" s="54"/>
      <c r="W1236" s="23"/>
      <c r="X1236" s="23"/>
      <c r="Y1236" s="23"/>
      <c r="Z1236" s="43"/>
      <c r="AA1236" s="23"/>
      <c r="AB1236" s="23"/>
      <c r="AC1236" s="23"/>
      <c r="AD1236" s="23"/>
      <c r="AE1236" s="23"/>
      <c r="AF1236" s="23"/>
      <c r="AG1236" s="23"/>
      <c r="AH1236" s="23"/>
      <c r="AI1236" s="49"/>
    </row>
    <row r="1237" spans="1:35">
      <c r="A1237" s="23"/>
      <c r="B1237" s="42"/>
      <c r="C1237" s="49"/>
      <c r="E1237" s="49"/>
      <c r="G1237" s="43"/>
      <c r="H1237" s="44"/>
      <c r="L1237" s="42"/>
      <c r="M1237" s="42"/>
      <c r="N1237" s="25"/>
      <c r="O1237" s="54"/>
      <c r="P1237"/>
      <c r="Q1237" s="25"/>
      <c r="R1237" s="54"/>
      <c r="W1237" s="23"/>
      <c r="X1237" s="23"/>
      <c r="Y1237" s="23"/>
      <c r="Z1237" s="43"/>
      <c r="AA1237" s="23"/>
      <c r="AB1237" s="23"/>
      <c r="AC1237" s="23"/>
      <c r="AD1237" s="23"/>
      <c r="AE1237" s="23"/>
      <c r="AF1237" s="23"/>
      <c r="AG1237" s="23"/>
      <c r="AH1237" s="23"/>
      <c r="AI1237" s="49"/>
    </row>
    <row r="1238" spans="1:35">
      <c r="A1238" s="23"/>
      <c r="B1238" s="42"/>
      <c r="C1238" s="49"/>
      <c r="E1238" s="49"/>
      <c r="G1238" s="43"/>
      <c r="H1238" s="44"/>
      <c r="L1238" s="42"/>
      <c r="M1238" s="42"/>
      <c r="N1238" s="25"/>
      <c r="O1238" s="54"/>
      <c r="P1238"/>
      <c r="Q1238" s="25"/>
      <c r="R1238" s="54"/>
      <c r="W1238" s="23"/>
      <c r="X1238" s="23"/>
      <c r="Y1238" s="23"/>
      <c r="Z1238" s="43"/>
      <c r="AA1238" s="23"/>
      <c r="AB1238" s="23"/>
      <c r="AC1238" s="23"/>
      <c r="AD1238" s="23"/>
      <c r="AE1238" s="23"/>
      <c r="AF1238" s="23"/>
      <c r="AG1238" s="23"/>
      <c r="AH1238" s="23"/>
      <c r="AI1238" s="49"/>
    </row>
    <row r="1239" spans="1:35">
      <c r="A1239" s="23"/>
      <c r="B1239" s="42"/>
      <c r="C1239" s="49"/>
      <c r="E1239" s="49"/>
      <c r="G1239" s="43"/>
      <c r="H1239" s="44"/>
      <c r="L1239" s="42"/>
      <c r="M1239" s="42"/>
      <c r="N1239" s="25"/>
      <c r="O1239" s="54"/>
      <c r="P1239"/>
      <c r="Q1239" s="25"/>
      <c r="R1239" s="54"/>
      <c r="W1239" s="23"/>
      <c r="X1239" s="23"/>
      <c r="Y1239" s="23"/>
      <c r="Z1239" s="43"/>
      <c r="AA1239" s="23"/>
      <c r="AB1239" s="23"/>
      <c r="AC1239" s="23"/>
      <c r="AD1239" s="23"/>
      <c r="AE1239" s="23"/>
      <c r="AF1239" s="23"/>
      <c r="AG1239" s="23"/>
      <c r="AH1239" s="23"/>
      <c r="AI1239" s="49"/>
    </row>
    <row r="1240" spans="1:35">
      <c r="A1240" s="23"/>
      <c r="B1240" s="42"/>
      <c r="C1240" s="49"/>
      <c r="E1240" s="49"/>
      <c r="G1240" s="43"/>
      <c r="H1240" s="44"/>
      <c r="L1240" s="42"/>
      <c r="M1240" s="42"/>
      <c r="N1240" s="25"/>
      <c r="O1240" s="54"/>
      <c r="P1240"/>
      <c r="Q1240" s="25"/>
      <c r="R1240" s="54"/>
      <c r="W1240" s="23"/>
      <c r="X1240" s="23"/>
      <c r="Y1240" s="23"/>
      <c r="Z1240" s="43"/>
      <c r="AA1240" s="23"/>
      <c r="AB1240" s="23"/>
      <c r="AC1240" s="23"/>
      <c r="AD1240" s="23"/>
      <c r="AE1240" s="23"/>
      <c r="AF1240" s="23"/>
      <c r="AG1240" s="23"/>
      <c r="AH1240" s="23"/>
      <c r="AI1240" s="49"/>
    </row>
    <row r="1241" spans="1:35">
      <c r="A1241" s="23"/>
      <c r="B1241" s="42"/>
      <c r="C1241" s="49"/>
      <c r="E1241" s="49"/>
      <c r="G1241" s="43"/>
      <c r="H1241" s="44"/>
      <c r="L1241" s="42"/>
      <c r="M1241" s="42"/>
      <c r="N1241" s="25"/>
      <c r="O1241" s="54"/>
      <c r="P1241"/>
      <c r="Q1241" s="25"/>
      <c r="R1241" s="54"/>
      <c r="W1241" s="23"/>
      <c r="X1241" s="23"/>
      <c r="Y1241" s="23"/>
      <c r="Z1241" s="43"/>
      <c r="AA1241" s="23"/>
      <c r="AB1241" s="23"/>
      <c r="AC1241" s="23"/>
      <c r="AD1241" s="23"/>
      <c r="AE1241" s="23"/>
      <c r="AF1241" s="23"/>
      <c r="AG1241" s="23"/>
      <c r="AH1241" s="23"/>
      <c r="AI1241" s="49"/>
    </row>
    <row r="1242" spans="1:35">
      <c r="A1242" s="23"/>
      <c r="B1242" s="42"/>
      <c r="C1242" s="49"/>
      <c r="E1242" s="49"/>
      <c r="G1242" s="43"/>
      <c r="H1242" s="44"/>
      <c r="L1242" s="42"/>
      <c r="M1242" s="42"/>
      <c r="N1242" s="25"/>
      <c r="O1242" s="54"/>
      <c r="P1242"/>
      <c r="Q1242" s="25"/>
      <c r="R1242" s="54"/>
      <c r="W1242" s="23"/>
      <c r="X1242" s="23"/>
      <c r="Y1242" s="23"/>
      <c r="Z1242" s="43"/>
      <c r="AA1242" s="23"/>
      <c r="AB1242" s="23"/>
      <c r="AC1242" s="23"/>
      <c r="AD1242" s="23"/>
      <c r="AE1242" s="23"/>
      <c r="AF1242" s="23"/>
      <c r="AG1242" s="23"/>
      <c r="AH1242" s="23"/>
      <c r="AI1242" s="49"/>
    </row>
    <row r="1243" spans="1:35">
      <c r="A1243" s="23"/>
      <c r="B1243" s="42"/>
      <c r="C1243" s="49"/>
      <c r="E1243" s="49"/>
      <c r="G1243" s="43"/>
      <c r="H1243" s="44"/>
      <c r="L1243" s="42"/>
      <c r="M1243" s="42"/>
      <c r="N1243" s="25"/>
      <c r="O1243" s="54"/>
      <c r="P1243"/>
      <c r="Q1243" s="25"/>
      <c r="R1243" s="54"/>
      <c r="W1243" s="23"/>
      <c r="X1243" s="23"/>
      <c r="Y1243" s="23"/>
      <c r="Z1243" s="43"/>
      <c r="AA1243" s="23"/>
      <c r="AB1243" s="23"/>
      <c r="AC1243" s="23"/>
      <c r="AD1243" s="23"/>
      <c r="AE1243" s="23"/>
      <c r="AF1243" s="23"/>
      <c r="AG1243" s="23"/>
      <c r="AH1243" s="23"/>
      <c r="AI1243" s="49"/>
    </row>
    <row r="1244" spans="1:35">
      <c r="A1244" s="23"/>
      <c r="B1244" s="42"/>
      <c r="C1244" s="49"/>
      <c r="E1244" s="49"/>
      <c r="G1244" s="43"/>
      <c r="H1244" s="44"/>
      <c r="L1244" s="42"/>
      <c r="M1244" s="42"/>
      <c r="N1244" s="25"/>
      <c r="O1244" s="54"/>
      <c r="P1244"/>
      <c r="Q1244" s="25"/>
      <c r="R1244" s="54"/>
      <c r="W1244" s="23"/>
      <c r="X1244" s="23"/>
      <c r="Y1244" s="23"/>
      <c r="Z1244" s="43"/>
      <c r="AA1244" s="23"/>
      <c r="AB1244" s="23"/>
      <c r="AC1244" s="23"/>
      <c r="AD1244" s="23"/>
      <c r="AE1244" s="23"/>
      <c r="AF1244" s="23"/>
      <c r="AG1244" s="23"/>
      <c r="AH1244" s="23"/>
      <c r="AI1244" s="49"/>
    </row>
    <row r="1245" spans="1:35">
      <c r="A1245" s="23"/>
      <c r="B1245" s="42"/>
      <c r="C1245" s="49"/>
      <c r="E1245" s="49"/>
      <c r="G1245" s="43"/>
      <c r="H1245" s="44"/>
      <c r="L1245" s="42"/>
      <c r="M1245" s="42"/>
      <c r="N1245" s="25"/>
      <c r="O1245" s="54"/>
      <c r="P1245"/>
      <c r="Q1245" s="25"/>
      <c r="R1245" s="54"/>
      <c r="W1245" s="23"/>
      <c r="X1245" s="23"/>
      <c r="Y1245" s="23"/>
      <c r="Z1245" s="43"/>
      <c r="AA1245" s="23"/>
      <c r="AB1245" s="23"/>
      <c r="AC1245" s="23"/>
      <c r="AD1245" s="23"/>
      <c r="AE1245" s="23"/>
      <c r="AF1245" s="23"/>
      <c r="AG1245" s="23"/>
      <c r="AH1245" s="23"/>
      <c r="AI1245" s="49"/>
    </row>
    <row r="1246" spans="1:35">
      <c r="A1246" s="23"/>
      <c r="B1246" s="42"/>
      <c r="C1246" s="49"/>
      <c r="E1246" s="49"/>
      <c r="G1246" s="43"/>
      <c r="H1246" s="44"/>
      <c r="L1246" s="42"/>
      <c r="M1246" s="42"/>
      <c r="N1246" s="25"/>
      <c r="O1246" s="54"/>
      <c r="P1246"/>
      <c r="Q1246" s="25"/>
      <c r="R1246" s="54"/>
      <c r="W1246" s="23"/>
      <c r="X1246" s="23"/>
      <c r="Y1246" s="23"/>
      <c r="Z1246" s="43"/>
      <c r="AA1246" s="23"/>
      <c r="AB1246" s="23"/>
      <c r="AC1246" s="23"/>
      <c r="AD1246" s="23"/>
      <c r="AE1246" s="23"/>
      <c r="AF1246" s="23"/>
      <c r="AG1246" s="23"/>
      <c r="AH1246" s="23"/>
      <c r="AI1246" s="49"/>
    </row>
    <row r="1247" spans="1:35">
      <c r="A1247" s="23"/>
      <c r="B1247" s="42"/>
      <c r="C1247" s="49"/>
      <c r="E1247" s="49"/>
      <c r="G1247" s="43"/>
      <c r="H1247" s="44"/>
      <c r="L1247" s="42"/>
      <c r="M1247" s="42"/>
      <c r="N1247" s="25"/>
      <c r="O1247" s="54"/>
      <c r="P1247"/>
      <c r="Q1247" s="25"/>
      <c r="R1247" s="54"/>
      <c r="W1247" s="23"/>
      <c r="X1247" s="23"/>
      <c r="Y1247" s="23"/>
      <c r="Z1247" s="43"/>
      <c r="AA1247" s="23"/>
      <c r="AB1247" s="23"/>
      <c r="AC1247" s="23"/>
      <c r="AD1247" s="23"/>
      <c r="AE1247" s="23"/>
      <c r="AF1247" s="23"/>
      <c r="AG1247" s="23"/>
      <c r="AH1247" s="23"/>
      <c r="AI1247" s="49"/>
    </row>
    <row r="1248" spans="1:35">
      <c r="A1248" s="23"/>
      <c r="B1248" s="42"/>
      <c r="C1248" s="49"/>
      <c r="E1248" s="49"/>
      <c r="G1248" s="43"/>
      <c r="H1248" s="44"/>
      <c r="L1248" s="42"/>
      <c r="M1248" s="42"/>
      <c r="N1248" s="25"/>
      <c r="O1248" s="54"/>
      <c r="P1248"/>
      <c r="Q1248" s="25"/>
      <c r="R1248" s="54"/>
      <c r="W1248" s="23"/>
      <c r="X1248" s="23"/>
      <c r="Y1248" s="23"/>
      <c r="Z1248" s="43"/>
      <c r="AA1248" s="23"/>
      <c r="AB1248" s="23"/>
      <c r="AC1248" s="23"/>
      <c r="AD1248" s="23"/>
      <c r="AE1248" s="23"/>
      <c r="AF1248" s="23"/>
      <c r="AG1248" s="23"/>
      <c r="AH1248" s="23"/>
      <c r="AI1248" s="49"/>
    </row>
    <row r="1249" spans="1:35">
      <c r="A1249" s="23"/>
      <c r="B1249" s="42"/>
      <c r="C1249" s="49"/>
      <c r="E1249" s="49"/>
      <c r="G1249" s="43"/>
      <c r="H1249" s="44"/>
      <c r="L1249" s="42"/>
      <c r="M1249" s="42"/>
      <c r="N1249" s="25"/>
      <c r="O1249" s="54"/>
      <c r="P1249"/>
      <c r="Q1249" s="25"/>
      <c r="R1249" s="54"/>
      <c r="W1249" s="23"/>
      <c r="X1249" s="23"/>
      <c r="Y1249" s="23"/>
      <c r="Z1249" s="43"/>
      <c r="AA1249" s="23"/>
      <c r="AB1249" s="23"/>
      <c r="AC1249" s="23"/>
      <c r="AD1249" s="23"/>
      <c r="AE1249" s="23"/>
      <c r="AF1249" s="23"/>
      <c r="AG1249" s="23"/>
      <c r="AH1249" s="23"/>
      <c r="AI1249" s="49"/>
    </row>
    <row r="1250" spans="1:35">
      <c r="A1250" s="23"/>
      <c r="B1250" s="42"/>
      <c r="C1250" s="49"/>
      <c r="E1250" s="49"/>
      <c r="G1250" s="43"/>
      <c r="H1250" s="44"/>
      <c r="L1250" s="42"/>
      <c r="M1250" s="42"/>
      <c r="N1250" s="25"/>
      <c r="O1250" s="54"/>
      <c r="P1250"/>
      <c r="Q1250" s="25"/>
      <c r="R1250" s="54"/>
      <c r="W1250" s="23"/>
      <c r="X1250" s="23"/>
      <c r="Y1250" s="23"/>
      <c r="Z1250" s="43"/>
      <c r="AA1250" s="23"/>
      <c r="AB1250" s="23"/>
      <c r="AC1250" s="23"/>
      <c r="AD1250" s="23"/>
      <c r="AE1250" s="23"/>
      <c r="AF1250" s="23"/>
      <c r="AG1250" s="23"/>
      <c r="AH1250" s="23"/>
      <c r="AI1250" s="49"/>
    </row>
    <row r="1251" spans="1:35">
      <c r="A1251" s="23"/>
      <c r="B1251" s="42"/>
      <c r="C1251" s="49"/>
      <c r="E1251" s="49"/>
      <c r="G1251" s="43"/>
      <c r="H1251" s="44"/>
      <c r="L1251" s="42"/>
      <c r="M1251" s="42"/>
      <c r="N1251" s="25"/>
      <c r="O1251" s="54"/>
      <c r="P1251"/>
      <c r="Q1251" s="25"/>
      <c r="R1251" s="54"/>
      <c r="W1251" s="23"/>
      <c r="X1251" s="23"/>
      <c r="Y1251" s="23"/>
      <c r="Z1251" s="43"/>
      <c r="AA1251" s="23"/>
      <c r="AB1251" s="23"/>
      <c r="AC1251" s="23"/>
      <c r="AD1251" s="23"/>
      <c r="AE1251" s="23"/>
      <c r="AF1251" s="23"/>
      <c r="AG1251" s="23"/>
      <c r="AH1251" s="23"/>
      <c r="AI1251" s="49"/>
    </row>
    <row r="1252" spans="1:35">
      <c r="A1252" s="23"/>
      <c r="B1252" s="42"/>
      <c r="C1252" s="49"/>
      <c r="E1252" s="49"/>
      <c r="G1252" s="43"/>
      <c r="H1252" s="44"/>
      <c r="L1252" s="42"/>
      <c r="M1252" s="42"/>
      <c r="N1252" s="25"/>
      <c r="O1252" s="54"/>
      <c r="P1252"/>
      <c r="Q1252" s="25"/>
      <c r="R1252" s="54"/>
      <c r="W1252" s="23"/>
      <c r="X1252" s="23"/>
      <c r="Y1252" s="23"/>
      <c r="Z1252" s="43"/>
      <c r="AA1252" s="23"/>
      <c r="AB1252" s="23"/>
      <c r="AC1252" s="23"/>
      <c r="AD1252" s="23"/>
      <c r="AE1252" s="23"/>
      <c r="AF1252" s="23"/>
      <c r="AG1252" s="23"/>
      <c r="AH1252" s="23"/>
      <c r="AI1252" s="49"/>
    </row>
    <row r="1253" spans="1:35">
      <c r="A1253" s="23"/>
      <c r="B1253" s="42"/>
      <c r="C1253" s="49"/>
      <c r="E1253" s="49"/>
      <c r="G1253" s="43"/>
      <c r="H1253" s="44"/>
      <c r="L1253" s="42"/>
      <c r="M1253" s="42"/>
      <c r="N1253" s="25"/>
      <c r="O1253" s="54"/>
      <c r="P1253"/>
      <c r="Q1253" s="25"/>
      <c r="R1253" s="54"/>
      <c r="W1253" s="23"/>
      <c r="X1253" s="23"/>
      <c r="Y1253" s="23"/>
      <c r="Z1253" s="43"/>
      <c r="AA1253" s="23"/>
      <c r="AB1253" s="23"/>
      <c r="AC1253" s="23"/>
      <c r="AD1253" s="23"/>
      <c r="AE1253" s="23"/>
      <c r="AF1253" s="23"/>
      <c r="AG1253" s="23"/>
      <c r="AH1253" s="23"/>
      <c r="AI1253" s="49"/>
    </row>
    <row r="1254" spans="1:35">
      <c r="A1254" s="23"/>
      <c r="B1254" s="42"/>
      <c r="C1254" s="49"/>
      <c r="E1254" s="49"/>
      <c r="G1254" s="43"/>
      <c r="H1254" s="44"/>
      <c r="L1254" s="42"/>
      <c r="M1254" s="42"/>
      <c r="N1254" s="25"/>
      <c r="O1254" s="54"/>
      <c r="P1254"/>
      <c r="Q1254" s="25"/>
      <c r="R1254" s="54"/>
      <c r="W1254" s="23"/>
      <c r="X1254" s="23"/>
      <c r="Y1254" s="23"/>
      <c r="Z1254" s="43"/>
      <c r="AA1254" s="23"/>
      <c r="AB1254" s="23"/>
      <c r="AC1254" s="23"/>
      <c r="AD1254" s="23"/>
      <c r="AE1254" s="23"/>
      <c r="AF1254" s="23"/>
      <c r="AG1254" s="23"/>
      <c r="AH1254" s="23"/>
      <c r="AI1254" s="49"/>
    </row>
    <row r="1255" spans="1:35">
      <c r="A1255" s="23"/>
      <c r="B1255" s="42"/>
      <c r="C1255" s="49"/>
      <c r="E1255" s="49"/>
      <c r="G1255" s="43"/>
      <c r="H1255" s="44"/>
      <c r="L1255" s="42"/>
      <c r="M1255" s="42"/>
      <c r="N1255" s="25"/>
      <c r="O1255" s="54"/>
      <c r="P1255"/>
      <c r="Q1255" s="25"/>
      <c r="R1255" s="54"/>
      <c r="W1255" s="23"/>
      <c r="X1255" s="23"/>
      <c r="Y1255" s="23"/>
      <c r="Z1255" s="43"/>
      <c r="AA1255" s="23"/>
      <c r="AB1255" s="23"/>
      <c r="AC1255" s="23"/>
      <c r="AD1255" s="23"/>
      <c r="AE1255" s="23"/>
      <c r="AF1255" s="23"/>
      <c r="AG1255" s="23"/>
      <c r="AH1255" s="23"/>
      <c r="AI1255" s="49"/>
    </row>
    <row r="1256" spans="1:35">
      <c r="A1256" s="23"/>
      <c r="B1256" s="42"/>
      <c r="C1256" s="49"/>
      <c r="E1256" s="49"/>
      <c r="G1256" s="43"/>
      <c r="H1256" s="44"/>
      <c r="L1256" s="42"/>
      <c r="M1256" s="42"/>
      <c r="N1256" s="25"/>
      <c r="O1256" s="54"/>
      <c r="P1256"/>
      <c r="Q1256" s="25"/>
      <c r="R1256" s="54"/>
      <c r="W1256" s="23"/>
      <c r="X1256" s="23"/>
      <c r="Y1256" s="23"/>
      <c r="Z1256" s="43"/>
      <c r="AA1256" s="23"/>
      <c r="AB1256" s="23"/>
      <c r="AC1256" s="23"/>
      <c r="AD1256" s="23"/>
      <c r="AE1256" s="23"/>
      <c r="AF1256" s="23"/>
      <c r="AG1256" s="23"/>
      <c r="AH1256" s="23"/>
      <c r="AI1256" s="49"/>
    </row>
    <row r="1257" spans="1:35">
      <c r="A1257" s="23"/>
      <c r="B1257" s="42"/>
      <c r="C1257" s="49"/>
      <c r="E1257" s="49"/>
      <c r="G1257" s="43"/>
      <c r="H1257" s="44"/>
      <c r="L1257" s="42"/>
      <c r="M1257" s="42"/>
      <c r="N1257" s="25"/>
      <c r="O1257" s="54"/>
      <c r="P1257"/>
      <c r="Q1257" s="25"/>
      <c r="R1257" s="54"/>
      <c r="W1257" s="23"/>
      <c r="X1257" s="23"/>
      <c r="Y1257" s="23"/>
      <c r="Z1257" s="43"/>
      <c r="AA1257" s="23"/>
      <c r="AB1257" s="23"/>
      <c r="AC1257" s="23"/>
      <c r="AD1257" s="23"/>
      <c r="AE1257" s="23"/>
      <c r="AF1257" s="23"/>
      <c r="AG1257" s="23"/>
      <c r="AH1257" s="23"/>
      <c r="AI1257" s="49"/>
    </row>
    <row r="1258" spans="1:35">
      <c r="A1258" s="23"/>
      <c r="B1258" s="42"/>
      <c r="C1258" s="49"/>
      <c r="E1258" s="49"/>
      <c r="G1258" s="43"/>
      <c r="H1258" s="44"/>
      <c r="L1258" s="42"/>
      <c r="M1258" s="42"/>
      <c r="N1258" s="25"/>
      <c r="O1258" s="54"/>
      <c r="P1258"/>
      <c r="Q1258" s="25"/>
      <c r="R1258" s="54"/>
      <c r="W1258" s="23"/>
      <c r="X1258" s="23"/>
      <c r="Y1258" s="23"/>
      <c r="Z1258" s="43"/>
      <c r="AA1258" s="23"/>
      <c r="AB1258" s="23"/>
      <c r="AC1258" s="23"/>
      <c r="AD1258" s="23"/>
      <c r="AE1258" s="23"/>
      <c r="AF1258" s="23"/>
      <c r="AG1258" s="23"/>
      <c r="AH1258" s="23"/>
      <c r="AI1258" s="49"/>
    </row>
    <row r="1259" spans="1:35">
      <c r="A1259" s="23"/>
      <c r="B1259" s="42"/>
      <c r="C1259" s="49"/>
      <c r="E1259" s="49"/>
      <c r="G1259" s="43"/>
      <c r="H1259" s="44"/>
      <c r="L1259" s="42"/>
      <c r="M1259" s="42"/>
      <c r="N1259" s="25"/>
      <c r="O1259" s="54"/>
      <c r="P1259"/>
      <c r="Q1259" s="25"/>
      <c r="R1259" s="54"/>
      <c r="W1259" s="23"/>
      <c r="X1259" s="23"/>
      <c r="Y1259" s="23"/>
      <c r="Z1259" s="43"/>
      <c r="AA1259" s="23"/>
      <c r="AB1259" s="23"/>
      <c r="AC1259" s="23"/>
      <c r="AD1259" s="23"/>
      <c r="AE1259" s="23"/>
      <c r="AF1259" s="23"/>
      <c r="AG1259" s="23"/>
      <c r="AH1259" s="23"/>
      <c r="AI1259" s="49"/>
    </row>
    <row r="1260" spans="1:35">
      <c r="A1260" s="23"/>
      <c r="B1260" s="42"/>
      <c r="C1260" s="49"/>
      <c r="E1260" s="49"/>
      <c r="G1260" s="43"/>
      <c r="H1260" s="44"/>
      <c r="L1260" s="42"/>
      <c r="M1260" s="42"/>
      <c r="N1260" s="25"/>
      <c r="O1260" s="54"/>
      <c r="P1260"/>
      <c r="Q1260" s="25"/>
      <c r="R1260" s="54"/>
      <c r="W1260" s="23"/>
      <c r="X1260" s="23"/>
      <c r="Y1260" s="23"/>
      <c r="Z1260" s="43"/>
      <c r="AA1260" s="23"/>
      <c r="AB1260" s="23"/>
      <c r="AC1260" s="23"/>
      <c r="AD1260" s="23"/>
      <c r="AE1260" s="23"/>
      <c r="AF1260" s="23"/>
      <c r="AG1260" s="23"/>
      <c r="AH1260" s="23"/>
      <c r="AI1260" s="49"/>
    </row>
    <row r="1261" spans="1:35">
      <c r="A1261" s="23"/>
      <c r="B1261" s="42"/>
      <c r="C1261" s="49"/>
      <c r="E1261" s="49"/>
      <c r="G1261" s="43"/>
      <c r="H1261" s="44"/>
      <c r="L1261" s="42"/>
      <c r="M1261" s="42"/>
      <c r="N1261" s="25"/>
      <c r="O1261" s="54"/>
      <c r="P1261"/>
      <c r="Q1261" s="25"/>
      <c r="R1261" s="54"/>
      <c r="W1261" s="23"/>
      <c r="X1261" s="23"/>
      <c r="Y1261" s="23"/>
      <c r="Z1261" s="43"/>
      <c r="AA1261" s="23"/>
      <c r="AB1261" s="23"/>
      <c r="AC1261" s="23"/>
      <c r="AD1261" s="23"/>
      <c r="AE1261" s="23"/>
      <c r="AF1261" s="23"/>
      <c r="AG1261" s="23"/>
      <c r="AH1261" s="23"/>
      <c r="AI1261" s="49"/>
    </row>
    <row r="1262" spans="1:35">
      <c r="A1262" s="23"/>
      <c r="B1262" s="42"/>
      <c r="C1262" s="49"/>
      <c r="E1262" s="49"/>
      <c r="G1262" s="43"/>
      <c r="H1262" s="44"/>
      <c r="L1262" s="42"/>
      <c r="M1262" s="42"/>
      <c r="N1262" s="25"/>
      <c r="O1262" s="54"/>
      <c r="P1262"/>
      <c r="Q1262" s="25"/>
      <c r="R1262" s="54"/>
      <c r="W1262" s="23"/>
      <c r="X1262" s="23"/>
      <c r="Y1262" s="23"/>
      <c r="Z1262" s="43"/>
      <c r="AA1262" s="23"/>
      <c r="AB1262" s="23"/>
      <c r="AC1262" s="23"/>
      <c r="AD1262" s="23"/>
      <c r="AE1262" s="23"/>
      <c r="AF1262" s="23"/>
      <c r="AG1262" s="23"/>
      <c r="AH1262" s="23"/>
      <c r="AI1262" s="49"/>
    </row>
    <row r="1263" spans="1:35">
      <c r="A1263" s="23"/>
      <c r="B1263" s="42"/>
      <c r="C1263" s="49"/>
      <c r="E1263" s="49"/>
      <c r="G1263" s="43"/>
      <c r="H1263" s="44"/>
      <c r="L1263" s="42"/>
      <c r="M1263" s="42"/>
      <c r="N1263" s="25"/>
      <c r="O1263" s="54"/>
      <c r="P1263"/>
      <c r="Q1263" s="25"/>
      <c r="R1263" s="54"/>
      <c r="W1263" s="23"/>
      <c r="X1263" s="23"/>
      <c r="Y1263" s="23"/>
      <c r="Z1263" s="43"/>
      <c r="AA1263" s="23"/>
      <c r="AB1263" s="23"/>
      <c r="AC1263" s="23"/>
      <c r="AD1263" s="23"/>
      <c r="AE1263" s="23"/>
      <c r="AF1263" s="23"/>
      <c r="AG1263" s="23"/>
      <c r="AH1263" s="23"/>
      <c r="AI1263" s="49"/>
    </row>
    <row r="1264" spans="1:35">
      <c r="A1264" s="23"/>
      <c r="B1264" s="42"/>
      <c r="C1264" s="49"/>
      <c r="E1264" s="49"/>
      <c r="G1264" s="43"/>
      <c r="H1264" s="44"/>
      <c r="L1264" s="42"/>
      <c r="M1264" s="42"/>
      <c r="N1264" s="25"/>
      <c r="O1264" s="54"/>
      <c r="P1264"/>
      <c r="Q1264" s="25"/>
      <c r="R1264" s="54"/>
      <c r="W1264" s="23"/>
      <c r="X1264" s="23"/>
      <c r="Y1264" s="23"/>
      <c r="Z1264" s="43"/>
      <c r="AA1264" s="23"/>
      <c r="AB1264" s="23"/>
      <c r="AC1264" s="23"/>
      <c r="AD1264" s="23"/>
      <c r="AE1264" s="23"/>
      <c r="AF1264" s="23"/>
      <c r="AG1264" s="23"/>
      <c r="AH1264" s="23"/>
      <c r="AI1264" s="49"/>
    </row>
    <row r="1265" spans="1:35">
      <c r="A1265" s="23"/>
      <c r="B1265" s="42"/>
      <c r="C1265" s="49"/>
      <c r="E1265" s="49"/>
      <c r="G1265" s="43"/>
      <c r="H1265" s="44"/>
      <c r="L1265" s="42"/>
      <c r="M1265" s="42"/>
      <c r="N1265" s="25"/>
      <c r="O1265" s="54"/>
      <c r="P1265"/>
      <c r="Q1265" s="25"/>
      <c r="R1265" s="54"/>
      <c r="W1265" s="23"/>
      <c r="X1265" s="23"/>
      <c r="Y1265" s="23"/>
      <c r="Z1265" s="43"/>
      <c r="AA1265" s="23"/>
      <c r="AB1265" s="23"/>
      <c r="AC1265" s="23"/>
      <c r="AD1265" s="23"/>
      <c r="AE1265" s="23"/>
      <c r="AF1265" s="23"/>
      <c r="AG1265" s="23"/>
      <c r="AH1265" s="23"/>
      <c r="AI1265" s="49"/>
    </row>
    <row r="1266" spans="1:35">
      <c r="A1266" s="45"/>
      <c r="B1266" s="42"/>
      <c r="C1266" s="45"/>
      <c r="E1266" s="45"/>
      <c r="G1266" s="43"/>
      <c r="H1266" s="44"/>
      <c r="L1266" s="42"/>
      <c r="M1266" s="42"/>
      <c r="N1266" s="25"/>
      <c r="O1266" s="54"/>
      <c r="P1266"/>
      <c r="Q1266" s="25"/>
      <c r="R1266" s="54"/>
      <c r="W1266" s="23"/>
      <c r="X1266" s="23"/>
      <c r="Y1266" s="23"/>
      <c r="Z1266" s="43"/>
      <c r="AA1266" s="23"/>
      <c r="AB1266" s="23"/>
      <c r="AC1266" s="23"/>
      <c r="AD1266" s="23"/>
      <c r="AE1266" s="23"/>
      <c r="AF1266" s="23"/>
      <c r="AG1266" s="23"/>
      <c r="AH1266" s="23"/>
      <c r="AI1266" s="48"/>
    </row>
    <row r="1267" spans="1:35">
      <c r="A1267" s="45"/>
      <c r="B1267" s="42"/>
      <c r="C1267" s="45"/>
      <c r="E1267" s="45"/>
      <c r="G1267" s="43"/>
      <c r="H1267" s="44"/>
      <c r="L1267" s="42"/>
      <c r="M1267" s="42"/>
      <c r="N1267" s="25"/>
      <c r="O1267" s="54"/>
      <c r="P1267"/>
      <c r="Q1267" s="25"/>
      <c r="R1267" s="54"/>
      <c r="W1267" s="23"/>
      <c r="X1267" s="23"/>
      <c r="Y1267" s="23"/>
      <c r="Z1267" s="43"/>
      <c r="AA1267" s="23"/>
      <c r="AB1267" s="23"/>
      <c r="AC1267" s="23"/>
      <c r="AD1267" s="23"/>
      <c r="AE1267" s="23"/>
      <c r="AF1267" s="23"/>
      <c r="AG1267" s="23"/>
      <c r="AH1267" s="23"/>
      <c r="AI1267" s="48"/>
    </row>
    <row r="1268" spans="1:35">
      <c r="A1268" s="45"/>
      <c r="B1268" s="42"/>
      <c r="C1268" s="45"/>
      <c r="E1268" s="45"/>
      <c r="G1268" s="43"/>
      <c r="H1268" s="44"/>
      <c r="L1268" s="42"/>
      <c r="M1268" s="42"/>
      <c r="N1268" s="25"/>
      <c r="O1268" s="54"/>
      <c r="P1268"/>
      <c r="Q1268" s="25"/>
      <c r="R1268" s="54"/>
      <c r="W1268" s="23"/>
      <c r="X1268" s="23"/>
      <c r="Y1268" s="23"/>
      <c r="Z1268" s="43"/>
      <c r="AA1268" s="23"/>
      <c r="AB1268" s="23"/>
      <c r="AC1268" s="23"/>
      <c r="AD1268" s="23"/>
      <c r="AE1268" s="23"/>
      <c r="AF1268" s="23"/>
      <c r="AG1268" s="23"/>
      <c r="AH1268" s="23"/>
      <c r="AI1268" s="48"/>
    </row>
    <row r="1269" spans="1:35">
      <c r="A1269" s="45"/>
      <c r="B1269" s="42"/>
      <c r="C1269" s="45"/>
      <c r="E1269" s="45"/>
      <c r="G1269" s="43"/>
      <c r="H1269" s="44"/>
      <c r="L1269" s="42"/>
      <c r="M1269" s="42"/>
      <c r="N1269" s="25"/>
      <c r="O1269" s="54"/>
      <c r="P1269"/>
      <c r="Q1269" s="25"/>
      <c r="R1269" s="54"/>
      <c r="W1269" s="23"/>
      <c r="X1269" s="23"/>
      <c r="Y1269" s="23"/>
      <c r="Z1269" s="43"/>
      <c r="AA1269" s="23"/>
      <c r="AB1269" s="23"/>
      <c r="AC1269" s="23"/>
      <c r="AD1269" s="23"/>
      <c r="AE1269" s="23"/>
      <c r="AF1269" s="23"/>
      <c r="AG1269" s="23"/>
      <c r="AH1269" s="23"/>
      <c r="AI1269" s="48"/>
    </row>
    <row r="1270" spans="1:35">
      <c r="A1270" s="45"/>
      <c r="B1270" s="42"/>
      <c r="C1270" s="45"/>
      <c r="E1270" s="45"/>
      <c r="G1270" s="43"/>
      <c r="H1270" s="44"/>
      <c r="L1270" s="42"/>
      <c r="M1270" s="42"/>
      <c r="N1270" s="25"/>
      <c r="O1270" s="54"/>
      <c r="P1270"/>
      <c r="Q1270" s="25"/>
      <c r="R1270" s="54"/>
      <c r="W1270" s="23"/>
      <c r="X1270" s="23"/>
      <c r="Y1270" s="23"/>
      <c r="Z1270" s="43"/>
      <c r="AA1270" s="23"/>
      <c r="AB1270" s="23"/>
      <c r="AC1270" s="23"/>
      <c r="AD1270" s="23"/>
      <c r="AE1270" s="23"/>
      <c r="AF1270" s="23"/>
      <c r="AG1270" s="23"/>
      <c r="AH1270" s="23"/>
      <c r="AI1270" s="48"/>
    </row>
    <row r="1271" spans="1:35">
      <c r="A1271" s="45"/>
      <c r="B1271" s="42"/>
      <c r="C1271" s="45"/>
      <c r="E1271" s="45"/>
      <c r="G1271" s="43"/>
      <c r="H1271" s="44"/>
      <c r="L1271" s="42"/>
      <c r="M1271" s="42"/>
      <c r="N1271" s="25"/>
      <c r="O1271" s="54"/>
      <c r="P1271"/>
      <c r="Q1271" s="25"/>
      <c r="R1271" s="54"/>
      <c r="W1271" s="23"/>
      <c r="X1271" s="23"/>
      <c r="Y1271" s="23"/>
      <c r="Z1271" s="43"/>
      <c r="AA1271" s="23"/>
      <c r="AB1271" s="23"/>
      <c r="AC1271" s="23"/>
      <c r="AD1271" s="23"/>
      <c r="AE1271" s="23"/>
      <c r="AF1271" s="23"/>
      <c r="AG1271" s="23"/>
      <c r="AH1271" s="23"/>
      <c r="AI1271" s="48"/>
    </row>
    <row r="1272" spans="1:35">
      <c r="A1272" s="45"/>
      <c r="B1272" s="42"/>
      <c r="C1272" s="45"/>
      <c r="E1272" s="45"/>
      <c r="G1272" s="43"/>
      <c r="H1272" s="44"/>
      <c r="L1272" s="42"/>
      <c r="M1272" s="42"/>
      <c r="N1272" s="25"/>
      <c r="O1272" s="54"/>
      <c r="P1272"/>
      <c r="Q1272" s="25"/>
      <c r="R1272" s="54"/>
      <c r="W1272" s="23"/>
      <c r="X1272" s="23"/>
      <c r="Y1272" s="23"/>
      <c r="Z1272" s="43"/>
      <c r="AA1272" s="23"/>
      <c r="AB1272" s="23"/>
      <c r="AC1272" s="23"/>
      <c r="AD1272" s="23"/>
      <c r="AE1272" s="23"/>
      <c r="AF1272" s="23"/>
      <c r="AG1272" s="23"/>
      <c r="AH1272" s="23"/>
      <c r="AI1272" s="48"/>
    </row>
    <row r="1273" spans="1:35">
      <c r="A1273" s="45"/>
      <c r="B1273" s="42"/>
      <c r="C1273" s="45"/>
      <c r="E1273" s="45"/>
      <c r="G1273" s="43"/>
      <c r="H1273" s="44"/>
      <c r="L1273" s="42"/>
      <c r="M1273" s="42"/>
      <c r="N1273" s="25"/>
      <c r="O1273" s="54"/>
      <c r="P1273"/>
      <c r="Q1273" s="25"/>
      <c r="R1273" s="54"/>
      <c r="W1273" s="23"/>
      <c r="X1273" s="23"/>
      <c r="Y1273" s="23"/>
      <c r="Z1273" s="43"/>
      <c r="AA1273" s="23"/>
      <c r="AB1273" s="23"/>
      <c r="AC1273" s="23"/>
      <c r="AD1273" s="23"/>
      <c r="AE1273" s="23"/>
      <c r="AF1273" s="23"/>
      <c r="AG1273" s="23"/>
      <c r="AH1273" s="23"/>
      <c r="AI1273" s="48"/>
    </row>
    <row r="1274" spans="1:35">
      <c r="A1274" s="45"/>
      <c r="B1274" s="42"/>
      <c r="C1274" s="45"/>
      <c r="E1274" s="45"/>
      <c r="G1274" s="43"/>
      <c r="H1274" s="44"/>
      <c r="L1274" s="42"/>
      <c r="M1274" s="42"/>
      <c r="N1274" s="25"/>
      <c r="O1274" s="54"/>
      <c r="P1274"/>
      <c r="Q1274" s="25"/>
      <c r="R1274" s="54"/>
      <c r="W1274" s="23"/>
      <c r="X1274" s="23"/>
      <c r="Y1274" s="23"/>
      <c r="Z1274" s="43"/>
      <c r="AA1274" s="23"/>
      <c r="AB1274" s="23"/>
      <c r="AC1274" s="23"/>
      <c r="AD1274" s="23"/>
      <c r="AE1274" s="23"/>
      <c r="AF1274" s="23"/>
      <c r="AG1274" s="23"/>
      <c r="AH1274" s="23"/>
      <c r="AI1274" s="48"/>
    </row>
    <row r="1275" spans="1:35">
      <c r="A1275" s="45"/>
      <c r="B1275" s="42"/>
      <c r="C1275" s="45"/>
      <c r="E1275" s="45"/>
      <c r="G1275" s="43"/>
      <c r="H1275" s="44"/>
      <c r="L1275" s="42"/>
      <c r="M1275" s="42"/>
      <c r="N1275" s="25"/>
      <c r="O1275" s="54"/>
      <c r="P1275"/>
      <c r="Q1275" s="25"/>
      <c r="R1275" s="54"/>
      <c r="W1275" s="23"/>
      <c r="X1275" s="23"/>
      <c r="Y1275" s="23"/>
      <c r="Z1275" s="43"/>
      <c r="AA1275" s="23"/>
      <c r="AB1275" s="23"/>
      <c r="AC1275" s="23"/>
      <c r="AD1275" s="23"/>
      <c r="AE1275" s="23"/>
      <c r="AF1275" s="23"/>
      <c r="AG1275" s="23"/>
      <c r="AH1275" s="23"/>
      <c r="AI1275" s="48"/>
    </row>
    <row r="1276" spans="1:35">
      <c r="A1276" s="45"/>
      <c r="B1276" s="42"/>
      <c r="C1276" s="45"/>
      <c r="E1276" s="45"/>
      <c r="G1276" s="43"/>
      <c r="H1276" s="44"/>
      <c r="L1276" s="42"/>
      <c r="M1276" s="42"/>
      <c r="N1276" s="25"/>
      <c r="O1276" s="54"/>
      <c r="P1276"/>
      <c r="Q1276" s="25"/>
      <c r="R1276" s="54"/>
      <c r="W1276" s="23"/>
      <c r="X1276" s="23"/>
      <c r="Y1276" s="23"/>
      <c r="Z1276" s="43"/>
      <c r="AA1276" s="23"/>
      <c r="AB1276" s="23"/>
      <c r="AC1276" s="23"/>
      <c r="AD1276" s="23"/>
      <c r="AE1276" s="23"/>
      <c r="AF1276" s="23"/>
      <c r="AG1276" s="23"/>
      <c r="AH1276" s="23"/>
      <c r="AI1276" s="48"/>
    </row>
    <row r="1277" spans="1:35">
      <c r="A1277" s="45"/>
      <c r="B1277" s="42"/>
      <c r="C1277" s="45"/>
      <c r="E1277" s="45"/>
      <c r="G1277" s="43"/>
      <c r="H1277" s="44"/>
      <c r="L1277" s="42"/>
      <c r="M1277" s="42"/>
      <c r="N1277" s="25"/>
      <c r="O1277" s="54"/>
      <c r="P1277"/>
      <c r="Q1277" s="25"/>
      <c r="R1277" s="54"/>
      <c r="W1277" s="23"/>
      <c r="X1277" s="23"/>
      <c r="Y1277" s="23"/>
      <c r="Z1277" s="43"/>
      <c r="AA1277" s="23"/>
      <c r="AB1277" s="23"/>
      <c r="AC1277" s="23"/>
      <c r="AD1277" s="23"/>
      <c r="AE1277" s="23"/>
      <c r="AF1277" s="23"/>
      <c r="AG1277" s="23"/>
      <c r="AH1277" s="23"/>
      <c r="AI1277" s="48"/>
    </row>
    <row r="1278" spans="1:35">
      <c r="A1278" s="45"/>
      <c r="B1278" s="42"/>
      <c r="C1278" s="45"/>
      <c r="E1278" s="45"/>
      <c r="G1278" s="43"/>
      <c r="H1278" s="44"/>
      <c r="L1278" s="42"/>
      <c r="M1278" s="42"/>
      <c r="N1278" s="25"/>
      <c r="O1278" s="54"/>
      <c r="P1278"/>
      <c r="Q1278" s="25"/>
      <c r="R1278" s="54"/>
      <c r="W1278" s="23"/>
      <c r="X1278" s="23"/>
      <c r="Y1278" s="23"/>
      <c r="Z1278" s="43"/>
      <c r="AA1278" s="23"/>
      <c r="AB1278" s="23"/>
      <c r="AC1278" s="23"/>
      <c r="AD1278" s="23"/>
      <c r="AE1278" s="23"/>
      <c r="AF1278" s="23"/>
      <c r="AG1278" s="23"/>
      <c r="AH1278" s="23"/>
      <c r="AI1278" s="48"/>
    </row>
    <row r="1279" spans="1:35">
      <c r="A1279" s="45"/>
      <c r="B1279" s="42"/>
      <c r="C1279" s="45"/>
      <c r="E1279" s="45"/>
      <c r="G1279" s="43"/>
      <c r="H1279" s="44"/>
      <c r="L1279" s="42"/>
      <c r="M1279" s="42"/>
      <c r="N1279" s="25"/>
      <c r="O1279" s="54"/>
      <c r="P1279"/>
      <c r="Q1279" s="25"/>
      <c r="R1279" s="54"/>
      <c r="W1279" s="23"/>
      <c r="X1279" s="23"/>
      <c r="Y1279" s="23"/>
      <c r="Z1279" s="43"/>
      <c r="AA1279" s="23"/>
      <c r="AB1279" s="23"/>
      <c r="AC1279" s="23"/>
      <c r="AD1279" s="23"/>
      <c r="AE1279" s="23"/>
      <c r="AF1279" s="23"/>
      <c r="AG1279" s="23"/>
      <c r="AH1279" s="23"/>
      <c r="AI1279" s="48"/>
    </row>
    <row r="1280" spans="1:35">
      <c r="A1280" s="45"/>
      <c r="B1280" s="42"/>
      <c r="C1280" s="45"/>
      <c r="E1280" s="45"/>
      <c r="G1280" s="43"/>
      <c r="H1280" s="44"/>
      <c r="L1280" s="42"/>
      <c r="M1280" s="42"/>
      <c r="N1280" s="25"/>
      <c r="O1280" s="54"/>
      <c r="P1280"/>
      <c r="Q1280" s="25"/>
      <c r="R1280" s="54"/>
      <c r="W1280" s="23"/>
      <c r="X1280" s="23"/>
      <c r="Y1280" s="23"/>
      <c r="Z1280" s="43"/>
      <c r="AA1280" s="23"/>
      <c r="AB1280" s="23"/>
      <c r="AC1280" s="23"/>
      <c r="AD1280" s="23"/>
      <c r="AE1280" s="23"/>
      <c r="AF1280" s="23"/>
      <c r="AG1280" s="23"/>
      <c r="AH1280" s="23"/>
      <c r="AI1280" s="48"/>
    </row>
    <row r="1281" spans="1:35">
      <c r="A1281" s="45"/>
      <c r="B1281" s="42"/>
      <c r="C1281" s="45"/>
      <c r="E1281" s="45"/>
      <c r="G1281" s="43"/>
      <c r="H1281" s="44"/>
      <c r="L1281" s="42"/>
      <c r="M1281" s="42"/>
      <c r="N1281" s="25"/>
      <c r="O1281" s="54"/>
      <c r="P1281"/>
      <c r="Q1281" s="25"/>
      <c r="R1281" s="54"/>
      <c r="W1281" s="23"/>
      <c r="X1281" s="23"/>
      <c r="Y1281" s="23"/>
      <c r="Z1281" s="43"/>
      <c r="AA1281" s="23"/>
      <c r="AB1281" s="23"/>
      <c r="AC1281" s="23"/>
      <c r="AD1281" s="23"/>
      <c r="AE1281" s="23"/>
      <c r="AF1281" s="23"/>
      <c r="AG1281" s="23"/>
      <c r="AH1281" s="23"/>
      <c r="AI1281" s="48"/>
    </row>
    <row r="1282" spans="1:35">
      <c r="A1282" s="45"/>
      <c r="B1282" s="42"/>
      <c r="C1282" s="45"/>
      <c r="E1282" s="45"/>
      <c r="G1282" s="43"/>
      <c r="H1282" s="44"/>
      <c r="L1282" s="42"/>
      <c r="M1282" s="42"/>
      <c r="N1282" s="25"/>
      <c r="O1282" s="54"/>
      <c r="P1282"/>
      <c r="Q1282" s="25"/>
      <c r="R1282" s="54"/>
      <c r="W1282" s="23"/>
      <c r="X1282" s="23"/>
      <c r="Y1282" s="23"/>
      <c r="Z1282" s="43"/>
      <c r="AA1282" s="23"/>
      <c r="AB1282" s="23"/>
      <c r="AC1282" s="23"/>
      <c r="AD1282" s="23"/>
      <c r="AE1282" s="23"/>
      <c r="AF1282" s="23"/>
      <c r="AG1282" s="23"/>
      <c r="AH1282" s="23"/>
      <c r="AI1282" s="48"/>
    </row>
    <row r="1283" spans="1:35">
      <c r="A1283" s="45"/>
      <c r="B1283" s="42"/>
      <c r="C1283" s="45"/>
      <c r="E1283" s="45"/>
      <c r="G1283" s="43"/>
      <c r="H1283" s="44"/>
      <c r="L1283" s="42"/>
      <c r="M1283" s="42"/>
      <c r="N1283" s="25"/>
      <c r="O1283" s="54"/>
      <c r="P1283"/>
      <c r="Q1283" s="25"/>
      <c r="R1283" s="54"/>
      <c r="W1283" s="23"/>
      <c r="X1283" s="23"/>
      <c r="Y1283" s="23"/>
      <c r="Z1283" s="43"/>
      <c r="AA1283" s="23"/>
      <c r="AB1283" s="23"/>
      <c r="AC1283" s="23"/>
      <c r="AD1283" s="23"/>
      <c r="AE1283" s="23"/>
      <c r="AF1283" s="23"/>
      <c r="AG1283" s="23"/>
      <c r="AH1283" s="23"/>
      <c r="AI1283" s="48"/>
    </row>
    <row r="1284" spans="1:35">
      <c r="A1284" s="45"/>
      <c r="B1284" s="42"/>
      <c r="C1284" s="45"/>
      <c r="E1284" s="45"/>
      <c r="G1284" s="43"/>
      <c r="H1284" s="44"/>
      <c r="L1284" s="42"/>
      <c r="M1284" s="42"/>
      <c r="N1284" s="25"/>
      <c r="O1284" s="54"/>
      <c r="P1284"/>
      <c r="Q1284" s="25"/>
      <c r="R1284" s="54"/>
      <c r="W1284" s="23"/>
      <c r="X1284" s="23"/>
      <c r="Y1284" s="23"/>
      <c r="Z1284" s="43"/>
      <c r="AA1284" s="23"/>
      <c r="AB1284" s="23"/>
      <c r="AC1284" s="23"/>
      <c r="AD1284" s="23"/>
      <c r="AE1284" s="23"/>
      <c r="AF1284" s="23"/>
      <c r="AG1284" s="23"/>
      <c r="AH1284" s="23"/>
      <c r="AI1284" s="48"/>
    </row>
    <row r="1285" spans="1:35">
      <c r="A1285" s="45"/>
      <c r="B1285" s="42"/>
      <c r="C1285" s="45"/>
      <c r="E1285" s="45"/>
      <c r="G1285" s="43"/>
      <c r="H1285" s="44"/>
      <c r="L1285" s="42"/>
      <c r="M1285" s="42"/>
      <c r="N1285" s="25"/>
      <c r="O1285" s="54"/>
      <c r="P1285"/>
      <c r="Q1285" s="25"/>
      <c r="R1285" s="54"/>
      <c r="W1285" s="23"/>
      <c r="X1285" s="23"/>
      <c r="Y1285" s="23"/>
      <c r="Z1285" s="43"/>
      <c r="AA1285" s="23"/>
      <c r="AB1285" s="23"/>
      <c r="AC1285" s="23"/>
      <c r="AD1285" s="23"/>
      <c r="AE1285" s="23"/>
      <c r="AF1285" s="23"/>
      <c r="AG1285" s="23"/>
      <c r="AH1285" s="23"/>
      <c r="AI1285" s="48"/>
    </row>
    <row r="1286" spans="1:35">
      <c r="A1286" s="45"/>
      <c r="B1286" s="42"/>
      <c r="C1286" s="45"/>
      <c r="E1286" s="45"/>
      <c r="G1286" s="43"/>
      <c r="H1286" s="44"/>
      <c r="L1286" s="42"/>
      <c r="M1286" s="42"/>
      <c r="N1286" s="25"/>
      <c r="O1286" s="54"/>
      <c r="P1286"/>
      <c r="Q1286" s="25"/>
      <c r="R1286" s="54"/>
      <c r="W1286" s="23"/>
      <c r="X1286" s="23"/>
      <c r="Y1286" s="23"/>
      <c r="Z1286" s="43"/>
      <c r="AA1286" s="23"/>
      <c r="AB1286" s="23"/>
      <c r="AC1286" s="23"/>
      <c r="AD1286" s="23"/>
      <c r="AE1286" s="23"/>
      <c r="AF1286" s="23"/>
      <c r="AG1286" s="23"/>
      <c r="AH1286" s="23"/>
      <c r="AI1286" s="48"/>
    </row>
    <row r="1287" spans="1:35">
      <c r="A1287" s="45"/>
      <c r="B1287" s="42"/>
      <c r="C1287" s="45"/>
      <c r="E1287" s="45"/>
      <c r="G1287" s="43"/>
      <c r="H1287" s="44"/>
      <c r="L1287" s="42"/>
      <c r="M1287" s="42"/>
      <c r="N1287" s="25"/>
      <c r="O1287" s="54"/>
      <c r="P1287"/>
      <c r="Q1287" s="25"/>
      <c r="R1287" s="54"/>
      <c r="W1287" s="23"/>
      <c r="X1287" s="23"/>
      <c r="Y1287" s="23"/>
      <c r="Z1287" s="43"/>
      <c r="AA1287" s="23"/>
      <c r="AB1287" s="23"/>
      <c r="AC1287" s="23"/>
      <c r="AD1287" s="23"/>
      <c r="AE1287" s="23"/>
      <c r="AF1287" s="23"/>
      <c r="AG1287" s="23"/>
      <c r="AH1287" s="23"/>
      <c r="AI1287" s="48"/>
    </row>
    <row r="1288" spans="1:35">
      <c r="A1288" s="45"/>
      <c r="B1288" s="42"/>
      <c r="C1288" s="45"/>
      <c r="E1288" s="45"/>
      <c r="G1288" s="43"/>
      <c r="H1288" s="44"/>
      <c r="L1288" s="42"/>
      <c r="M1288" s="42"/>
      <c r="N1288" s="25"/>
      <c r="O1288" s="54"/>
      <c r="P1288"/>
      <c r="Q1288" s="25"/>
      <c r="R1288" s="54"/>
      <c r="W1288" s="23"/>
      <c r="X1288" s="23"/>
      <c r="Y1288" s="23"/>
      <c r="Z1288" s="43"/>
      <c r="AA1288" s="23"/>
      <c r="AB1288" s="23"/>
      <c r="AC1288" s="23"/>
      <c r="AD1288" s="23"/>
      <c r="AE1288" s="23"/>
      <c r="AF1288" s="23"/>
      <c r="AG1288" s="23"/>
      <c r="AH1288" s="23"/>
      <c r="AI1288" s="48"/>
    </row>
    <row r="1289" spans="1:35">
      <c r="A1289" s="45"/>
      <c r="B1289" s="42"/>
      <c r="C1289" s="45"/>
      <c r="E1289" s="45"/>
      <c r="G1289" s="43"/>
      <c r="H1289" s="44"/>
      <c r="L1289" s="42"/>
      <c r="M1289" s="42"/>
      <c r="N1289" s="25"/>
      <c r="O1289" s="54"/>
      <c r="P1289"/>
      <c r="Q1289" s="25"/>
      <c r="R1289" s="54"/>
      <c r="W1289" s="23"/>
      <c r="X1289" s="23"/>
      <c r="Y1289" s="23"/>
      <c r="Z1289" s="43"/>
      <c r="AA1289" s="23"/>
      <c r="AB1289" s="23"/>
      <c r="AC1289" s="23"/>
      <c r="AD1289" s="23"/>
      <c r="AE1289" s="23"/>
      <c r="AF1289" s="23"/>
      <c r="AG1289" s="23"/>
      <c r="AH1289" s="23"/>
      <c r="AI1289" s="48"/>
    </row>
    <row r="1290" spans="1:35">
      <c r="A1290" s="45"/>
      <c r="B1290" s="42"/>
      <c r="C1290" s="45"/>
      <c r="E1290" s="45"/>
      <c r="G1290" s="43"/>
      <c r="H1290" s="44"/>
      <c r="L1290" s="42"/>
      <c r="M1290" s="42"/>
      <c r="N1290" s="25"/>
      <c r="O1290" s="54"/>
      <c r="P1290"/>
      <c r="Q1290" s="25"/>
      <c r="R1290" s="54"/>
      <c r="W1290" s="23"/>
      <c r="X1290" s="23"/>
      <c r="Y1290" s="23"/>
      <c r="Z1290" s="43"/>
      <c r="AA1290" s="23"/>
      <c r="AB1290" s="23"/>
      <c r="AC1290" s="23"/>
      <c r="AD1290" s="23"/>
      <c r="AE1290" s="23"/>
      <c r="AF1290" s="23"/>
      <c r="AG1290" s="23"/>
      <c r="AH1290" s="23"/>
      <c r="AI1290" s="48"/>
    </row>
    <row r="1291" spans="1:35">
      <c r="A1291" s="45"/>
      <c r="B1291" s="42"/>
      <c r="C1291" s="45"/>
      <c r="E1291" s="45"/>
      <c r="G1291" s="43"/>
      <c r="H1291" s="44"/>
      <c r="L1291" s="42"/>
      <c r="M1291" s="42"/>
      <c r="N1291" s="25"/>
      <c r="O1291" s="54"/>
      <c r="P1291"/>
      <c r="Q1291" s="25"/>
      <c r="R1291" s="54"/>
      <c r="W1291" s="23"/>
      <c r="X1291" s="23"/>
      <c r="Y1291" s="23"/>
      <c r="Z1291" s="43"/>
      <c r="AA1291" s="23"/>
      <c r="AB1291" s="23"/>
      <c r="AC1291" s="23"/>
      <c r="AD1291" s="23"/>
      <c r="AE1291" s="23"/>
      <c r="AF1291" s="23"/>
      <c r="AG1291" s="23"/>
      <c r="AH1291" s="23"/>
      <c r="AI1291" s="48"/>
    </row>
    <row r="1292" spans="1:35">
      <c r="A1292" s="45"/>
      <c r="B1292" s="42"/>
      <c r="C1292" s="45"/>
      <c r="E1292" s="45"/>
      <c r="G1292" s="43"/>
      <c r="H1292" s="44"/>
      <c r="L1292" s="42"/>
      <c r="M1292" s="42"/>
      <c r="N1292" s="25"/>
      <c r="O1292" s="54"/>
      <c r="P1292"/>
      <c r="Q1292" s="25"/>
      <c r="R1292" s="54"/>
      <c r="W1292" s="23"/>
      <c r="X1292" s="23"/>
      <c r="Y1292" s="23"/>
      <c r="Z1292" s="43"/>
      <c r="AA1292" s="23"/>
      <c r="AB1292" s="23"/>
      <c r="AC1292" s="23"/>
      <c r="AD1292" s="23"/>
      <c r="AE1292" s="23"/>
      <c r="AF1292" s="23"/>
      <c r="AG1292" s="23"/>
      <c r="AH1292" s="23"/>
      <c r="AI1292" s="48"/>
    </row>
    <row r="1293" spans="1:35">
      <c r="A1293" s="45"/>
      <c r="B1293" s="42"/>
      <c r="C1293" s="45"/>
      <c r="E1293" s="45"/>
      <c r="G1293" s="43"/>
      <c r="H1293" s="44"/>
      <c r="L1293" s="42"/>
      <c r="M1293" s="42"/>
      <c r="N1293" s="25"/>
      <c r="O1293" s="54"/>
      <c r="P1293"/>
      <c r="Q1293" s="25"/>
      <c r="R1293" s="54"/>
      <c r="W1293" s="23"/>
      <c r="X1293" s="23"/>
      <c r="Y1293" s="23"/>
      <c r="Z1293" s="43"/>
      <c r="AA1293" s="23"/>
      <c r="AB1293" s="23"/>
      <c r="AC1293" s="23"/>
      <c r="AD1293" s="23"/>
      <c r="AE1293" s="23"/>
      <c r="AF1293" s="23"/>
      <c r="AG1293" s="23"/>
      <c r="AH1293" s="23"/>
      <c r="AI1293" s="48"/>
    </row>
    <row r="1294" spans="1:35">
      <c r="A1294" s="45"/>
      <c r="B1294" s="42"/>
      <c r="C1294" s="45"/>
      <c r="E1294" s="45"/>
      <c r="G1294" s="43"/>
      <c r="H1294" s="44"/>
      <c r="L1294" s="42"/>
      <c r="M1294" s="42"/>
      <c r="N1294" s="25"/>
      <c r="O1294" s="54"/>
      <c r="P1294"/>
      <c r="Q1294" s="25"/>
      <c r="R1294" s="54"/>
      <c r="W1294" s="23"/>
      <c r="X1294" s="23"/>
      <c r="Y1294" s="23"/>
      <c r="Z1294" s="43"/>
      <c r="AA1294" s="23"/>
      <c r="AB1294" s="23"/>
      <c r="AC1294" s="23"/>
      <c r="AD1294" s="23"/>
      <c r="AE1294" s="23"/>
      <c r="AF1294" s="23"/>
      <c r="AG1294" s="23"/>
      <c r="AH1294" s="23"/>
      <c r="AI1294" s="48"/>
    </row>
    <row r="1295" spans="1:35">
      <c r="A1295" s="45"/>
      <c r="B1295" s="42"/>
      <c r="C1295" s="45"/>
      <c r="E1295" s="45"/>
      <c r="G1295" s="43"/>
      <c r="H1295" s="44"/>
      <c r="L1295" s="42"/>
      <c r="M1295" s="42"/>
      <c r="N1295" s="25"/>
      <c r="O1295" s="54"/>
      <c r="P1295"/>
      <c r="Q1295" s="25"/>
      <c r="R1295" s="54"/>
      <c r="W1295" s="23"/>
      <c r="X1295" s="23"/>
      <c r="Y1295" s="23"/>
      <c r="Z1295" s="43"/>
      <c r="AA1295" s="23"/>
      <c r="AB1295" s="23"/>
      <c r="AC1295" s="23"/>
      <c r="AD1295" s="23"/>
      <c r="AE1295" s="23"/>
      <c r="AF1295" s="23"/>
      <c r="AG1295" s="23"/>
      <c r="AH1295" s="23"/>
      <c r="AI1295" s="48"/>
    </row>
    <row r="1296" spans="1:35">
      <c r="A1296" s="45"/>
      <c r="B1296" s="42"/>
      <c r="C1296" s="45"/>
      <c r="E1296" s="45"/>
      <c r="G1296" s="43"/>
      <c r="H1296" s="44"/>
      <c r="L1296" s="42"/>
      <c r="M1296" s="42"/>
      <c r="N1296" s="25"/>
      <c r="O1296" s="54"/>
      <c r="P1296"/>
      <c r="Q1296" s="25"/>
      <c r="R1296" s="54"/>
      <c r="W1296" s="23"/>
      <c r="X1296" s="23"/>
      <c r="Y1296" s="23"/>
      <c r="Z1296" s="43"/>
      <c r="AA1296" s="23"/>
      <c r="AB1296" s="23"/>
      <c r="AC1296" s="23"/>
      <c r="AD1296" s="23"/>
      <c r="AE1296" s="23"/>
      <c r="AF1296" s="23"/>
      <c r="AG1296" s="23"/>
      <c r="AH1296" s="23"/>
      <c r="AI1296" s="48"/>
    </row>
    <row r="1297" spans="1:35">
      <c r="A1297" s="45"/>
      <c r="B1297" s="42"/>
      <c r="C1297" s="45"/>
      <c r="E1297" s="45"/>
      <c r="G1297" s="43"/>
      <c r="H1297" s="44"/>
      <c r="L1297" s="42"/>
      <c r="M1297" s="42"/>
      <c r="N1297" s="25"/>
      <c r="O1297" s="54"/>
      <c r="P1297"/>
      <c r="Q1297" s="25"/>
      <c r="R1297" s="54"/>
      <c r="W1297" s="23"/>
      <c r="X1297" s="23"/>
      <c r="Y1297" s="23"/>
      <c r="Z1297" s="43"/>
      <c r="AA1297" s="23"/>
      <c r="AB1297" s="23"/>
      <c r="AC1297" s="23"/>
      <c r="AD1297" s="23"/>
      <c r="AE1297" s="23"/>
      <c r="AF1297" s="23"/>
      <c r="AG1297" s="23"/>
      <c r="AH1297" s="23"/>
      <c r="AI1297" s="48"/>
    </row>
    <row r="1298" spans="1:35">
      <c r="A1298" s="45"/>
      <c r="B1298" s="42"/>
      <c r="C1298" s="45"/>
      <c r="E1298" s="45"/>
      <c r="G1298" s="43"/>
      <c r="H1298" s="44"/>
      <c r="L1298" s="42"/>
      <c r="M1298" s="42"/>
      <c r="N1298" s="25"/>
      <c r="O1298" s="54"/>
      <c r="P1298"/>
      <c r="Q1298" s="25"/>
      <c r="R1298" s="54"/>
      <c r="W1298" s="23"/>
      <c r="X1298" s="23"/>
      <c r="Y1298" s="23"/>
      <c r="Z1298" s="43"/>
      <c r="AA1298" s="23"/>
      <c r="AB1298" s="23"/>
      <c r="AC1298" s="23"/>
      <c r="AD1298" s="23"/>
      <c r="AE1298" s="23"/>
      <c r="AF1298" s="23"/>
      <c r="AG1298" s="23"/>
      <c r="AH1298" s="23"/>
      <c r="AI1298" s="48"/>
    </row>
    <row r="1299" spans="1:35">
      <c r="A1299" s="45"/>
      <c r="B1299" s="42"/>
      <c r="C1299" s="45"/>
      <c r="E1299" s="45"/>
      <c r="G1299" s="43"/>
      <c r="H1299" s="44"/>
      <c r="L1299" s="42"/>
      <c r="M1299" s="42"/>
      <c r="N1299" s="25"/>
      <c r="O1299" s="54"/>
      <c r="P1299"/>
      <c r="Q1299" s="25"/>
      <c r="R1299" s="54"/>
      <c r="W1299" s="23"/>
      <c r="X1299" s="23"/>
      <c r="Y1299" s="23"/>
      <c r="Z1299" s="43"/>
      <c r="AA1299" s="23"/>
      <c r="AB1299" s="23"/>
      <c r="AC1299" s="23"/>
      <c r="AD1299" s="23"/>
      <c r="AE1299" s="23"/>
      <c r="AF1299" s="23"/>
      <c r="AG1299" s="23"/>
      <c r="AH1299" s="23"/>
      <c r="AI1299" s="48"/>
    </row>
    <row r="1300" spans="1:35">
      <c r="A1300" s="45"/>
      <c r="B1300" s="42"/>
      <c r="C1300" s="45"/>
      <c r="E1300" s="45"/>
      <c r="G1300" s="43"/>
      <c r="H1300" s="44"/>
      <c r="L1300" s="42"/>
      <c r="M1300" s="42"/>
      <c r="N1300" s="25"/>
      <c r="O1300" s="54"/>
      <c r="P1300"/>
      <c r="Q1300" s="25"/>
      <c r="R1300" s="54"/>
      <c r="W1300" s="23"/>
      <c r="X1300" s="23"/>
      <c r="Y1300" s="23"/>
      <c r="Z1300" s="43"/>
      <c r="AA1300" s="23"/>
      <c r="AB1300" s="23"/>
      <c r="AC1300" s="23"/>
      <c r="AD1300" s="23"/>
      <c r="AE1300" s="23"/>
      <c r="AF1300" s="23"/>
      <c r="AG1300" s="23"/>
      <c r="AH1300" s="23"/>
      <c r="AI1300" s="48"/>
    </row>
    <row r="1301" spans="1:35">
      <c r="A1301" s="45"/>
      <c r="B1301" s="42"/>
      <c r="C1301" s="45"/>
      <c r="E1301" s="45"/>
      <c r="G1301" s="43"/>
      <c r="H1301" s="44"/>
      <c r="L1301" s="42"/>
      <c r="M1301" s="42"/>
      <c r="N1301" s="25"/>
      <c r="O1301" s="54"/>
      <c r="P1301"/>
      <c r="Q1301" s="25"/>
      <c r="R1301" s="54"/>
      <c r="W1301" s="23"/>
      <c r="X1301" s="23"/>
      <c r="Y1301" s="23"/>
      <c r="Z1301" s="43"/>
      <c r="AA1301" s="23"/>
      <c r="AB1301" s="23"/>
      <c r="AC1301" s="23"/>
      <c r="AD1301" s="23"/>
      <c r="AE1301" s="23"/>
      <c r="AF1301" s="23"/>
      <c r="AG1301" s="23"/>
      <c r="AH1301" s="23"/>
      <c r="AI1301" s="48"/>
    </row>
    <row r="1302" spans="1:35">
      <c r="A1302" s="45"/>
      <c r="B1302" s="42"/>
      <c r="C1302" s="45"/>
      <c r="E1302" s="45"/>
      <c r="G1302" s="43"/>
      <c r="H1302" s="44"/>
      <c r="L1302" s="42"/>
      <c r="M1302" s="42"/>
      <c r="N1302" s="25"/>
      <c r="O1302" s="54"/>
      <c r="P1302"/>
      <c r="Q1302" s="25"/>
      <c r="R1302" s="54"/>
      <c r="W1302" s="23"/>
      <c r="X1302" s="23"/>
      <c r="Y1302" s="23"/>
      <c r="Z1302" s="43"/>
      <c r="AA1302" s="23"/>
      <c r="AB1302" s="23"/>
      <c r="AC1302" s="23"/>
      <c r="AD1302" s="23"/>
      <c r="AE1302" s="23"/>
      <c r="AF1302" s="23"/>
      <c r="AG1302" s="23"/>
      <c r="AH1302" s="23"/>
      <c r="AI1302" s="48"/>
    </row>
    <row r="1303" spans="1:35">
      <c r="A1303" s="45"/>
      <c r="B1303" s="42"/>
      <c r="C1303" s="45"/>
      <c r="E1303" s="45"/>
      <c r="G1303" s="43"/>
      <c r="H1303" s="44"/>
      <c r="L1303" s="42"/>
      <c r="M1303" s="42"/>
      <c r="N1303" s="25"/>
      <c r="O1303" s="54"/>
      <c r="P1303"/>
      <c r="Q1303" s="25"/>
      <c r="R1303" s="54"/>
      <c r="W1303" s="23"/>
      <c r="X1303" s="23"/>
      <c r="Y1303" s="23"/>
      <c r="Z1303" s="43"/>
      <c r="AA1303" s="23"/>
      <c r="AB1303" s="23"/>
      <c r="AC1303" s="23"/>
      <c r="AD1303" s="23"/>
      <c r="AE1303" s="23"/>
      <c r="AF1303" s="23"/>
      <c r="AG1303" s="23"/>
      <c r="AH1303" s="23"/>
      <c r="AI1303" s="48"/>
    </row>
    <row r="1304" spans="1:35">
      <c r="A1304" s="45"/>
      <c r="B1304" s="42"/>
      <c r="C1304" s="45"/>
      <c r="E1304" s="45"/>
      <c r="G1304" s="43"/>
      <c r="H1304" s="44"/>
      <c r="L1304" s="42"/>
      <c r="M1304" s="42"/>
      <c r="N1304" s="25"/>
      <c r="O1304" s="54"/>
      <c r="P1304"/>
      <c r="Q1304" s="25"/>
      <c r="R1304" s="54"/>
      <c r="W1304" s="23"/>
      <c r="X1304" s="23"/>
      <c r="Y1304" s="23"/>
      <c r="Z1304" s="43"/>
      <c r="AA1304" s="23"/>
      <c r="AB1304" s="23"/>
      <c r="AC1304" s="23"/>
      <c r="AD1304" s="23"/>
      <c r="AE1304" s="23"/>
      <c r="AF1304" s="23"/>
      <c r="AG1304" s="23"/>
      <c r="AH1304" s="23"/>
      <c r="AI1304" s="48"/>
    </row>
    <row r="1305" spans="1:35">
      <c r="A1305" s="45"/>
      <c r="B1305" s="42"/>
      <c r="C1305" s="45"/>
      <c r="E1305" s="45"/>
      <c r="G1305" s="43"/>
      <c r="H1305" s="44"/>
      <c r="L1305" s="42"/>
      <c r="M1305" s="42"/>
      <c r="N1305" s="25"/>
      <c r="O1305" s="54"/>
      <c r="P1305"/>
      <c r="Q1305" s="25"/>
      <c r="R1305" s="54"/>
      <c r="W1305" s="23"/>
      <c r="X1305" s="23"/>
      <c r="Y1305" s="23"/>
      <c r="Z1305" s="43"/>
      <c r="AA1305" s="23"/>
      <c r="AB1305" s="23"/>
      <c r="AC1305" s="23"/>
      <c r="AD1305" s="23"/>
      <c r="AE1305" s="23"/>
      <c r="AF1305" s="23"/>
      <c r="AG1305" s="23"/>
      <c r="AH1305" s="23"/>
      <c r="AI1305" s="48"/>
    </row>
    <row r="1306" spans="1:35">
      <c r="A1306" s="45"/>
      <c r="B1306" s="42"/>
      <c r="C1306" s="45"/>
      <c r="E1306" s="45"/>
      <c r="G1306" s="43"/>
      <c r="H1306" s="44"/>
      <c r="L1306" s="42"/>
      <c r="M1306" s="42"/>
      <c r="N1306" s="25"/>
      <c r="O1306" s="54"/>
      <c r="P1306"/>
      <c r="Q1306" s="25"/>
      <c r="R1306" s="54"/>
      <c r="W1306" s="23"/>
      <c r="X1306" s="23"/>
      <c r="Y1306" s="23"/>
      <c r="Z1306" s="43"/>
      <c r="AA1306" s="23"/>
      <c r="AB1306" s="23"/>
      <c r="AC1306" s="23"/>
      <c r="AD1306" s="23"/>
      <c r="AE1306" s="23"/>
      <c r="AF1306" s="23"/>
      <c r="AG1306" s="23"/>
      <c r="AH1306" s="23"/>
      <c r="AI1306" s="48"/>
    </row>
    <row r="1307" spans="1:35">
      <c r="A1307" s="45"/>
      <c r="B1307" s="42"/>
      <c r="C1307" s="45"/>
      <c r="E1307" s="45"/>
      <c r="G1307" s="43"/>
      <c r="H1307" s="44"/>
      <c r="L1307" s="42"/>
      <c r="M1307" s="42"/>
      <c r="N1307" s="25"/>
      <c r="O1307" s="54"/>
      <c r="P1307"/>
      <c r="Q1307" s="25"/>
      <c r="R1307" s="54"/>
      <c r="W1307" s="23"/>
      <c r="X1307" s="23"/>
      <c r="Y1307" s="23"/>
      <c r="Z1307" s="43"/>
      <c r="AA1307" s="23"/>
      <c r="AB1307" s="23"/>
      <c r="AC1307" s="23"/>
      <c r="AD1307" s="23"/>
      <c r="AE1307" s="23"/>
      <c r="AF1307" s="23"/>
      <c r="AG1307" s="23"/>
      <c r="AH1307" s="23"/>
      <c r="AI1307" s="48"/>
    </row>
    <row r="1308" spans="1:35">
      <c r="A1308" s="45"/>
      <c r="B1308" s="42"/>
      <c r="C1308" s="45"/>
      <c r="E1308" s="45"/>
      <c r="G1308" s="43"/>
      <c r="H1308" s="44"/>
      <c r="L1308" s="42"/>
      <c r="M1308" s="42"/>
      <c r="N1308" s="25"/>
      <c r="O1308" s="54"/>
      <c r="P1308"/>
      <c r="Q1308" s="25"/>
      <c r="R1308" s="54"/>
      <c r="W1308" s="23"/>
      <c r="X1308" s="23"/>
      <c r="Y1308" s="23"/>
      <c r="Z1308" s="43"/>
      <c r="AA1308" s="23"/>
      <c r="AB1308" s="23"/>
      <c r="AC1308" s="23"/>
      <c r="AD1308" s="23"/>
      <c r="AE1308" s="23"/>
      <c r="AF1308" s="23"/>
      <c r="AG1308" s="23"/>
      <c r="AH1308" s="23"/>
      <c r="AI1308" s="48"/>
    </row>
    <row r="1309" spans="1:35">
      <c r="A1309" s="45"/>
      <c r="B1309" s="42"/>
      <c r="C1309" s="45"/>
      <c r="E1309" s="45"/>
      <c r="G1309" s="43"/>
      <c r="H1309" s="44"/>
      <c r="L1309" s="42"/>
      <c r="M1309" s="42"/>
      <c r="N1309" s="25"/>
      <c r="O1309" s="54"/>
      <c r="P1309"/>
      <c r="Q1309" s="25"/>
      <c r="R1309" s="54"/>
      <c r="W1309" s="23"/>
      <c r="X1309" s="23"/>
      <c r="Y1309" s="23"/>
      <c r="Z1309" s="43"/>
      <c r="AA1309" s="23"/>
      <c r="AB1309" s="23"/>
      <c r="AC1309" s="23"/>
      <c r="AD1309" s="23"/>
      <c r="AE1309" s="23"/>
      <c r="AF1309" s="23"/>
      <c r="AG1309" s="23"/>
      <c r="AH1309" s="23"/>
      <c r="AI1309" s="48"/>
    </row>
    <row r="1310" spans="1:35">
      <c r="A1310" s="45"/>
      <c r="B1310" s="42"/>
      <c r="C1310" s="45"/>
      <c r="E1310" s="45"/>
      <c r="G1310" s="43"/>
      <c r="H1310" s="44"/>
      <c r="L1310" s="42"/>
      <c r="M1310" s="42"/>
      <c r="N1310" s="25"/>
      <c r="O1310" s="54"/>
      <c r="P1310"/>
      <c r="Q1310" s="25"/>
      <c r="R1310" s="54"/>
      <c r="W1310" s="23"/>
      <c r="X1310" s="23"/>
      <c r="Y1310" s="23"/>
      <c r="Z1310" s="43"/>
      <c r="AA1310" s="23"/>
      <c r="AB1310" s="23"/>
      <c r="AC1310" s="23"/>
      <c r="AD1310" s="23"/>
      <c r="AE1310" s="23"/>
      <c r="AF1310" s="23"/>
      <c r="AG1310" s="23"/>
      <c r="AH1310" s="23"/>
      <c r="AI1310" s="48"/>
    </row>
    <row r="1311" spans="1:35">
      <c r="A1311" s="45"/>
      <c r="B1311" s="42"/>
      <c r="C1311" s="45"/>
      <c r="E1311" s="45"/>
      <c r="G1311" s="43"/>
      <c r="H1311" s="44"/>
      <c r="L1311" s="42"/>
      <c r="M1311" s="42"/>
      <c r="N1311" s="25"/>
      <c r="O1311" s="54"/>
      <c r="P1311"/>
      <c r="Q1311" s="25"/>
      <c r="R1311" s="54"/>
      <c r="W1311" s="23"/>
      <c r="X1311" s="23"/>
      <c r="Y1311" s="23"/>
      <c r="Z1311" s="43"/>
      <c r="AA1311" s="23"/>
      <c r="AB1311" s="23"/>
      <c r="AC1311" s="23"/>
      <c r="AD1311" s="23"/>
      <c r="AE1311" s="23"/>
      <c r="AF1311" s="23"/>
      <c r="AG1311" s="23"/>
      <c r="AH1311" s="23"/>
      <c r="AI1311" s="48"/>
    </row>
    <row r="1312" spans="1:35">
      <c r="A1312" s="45"/>
      <c r="B1312" s="42"/>
      <c r="C1312" s="45"/>
      <c r="E1312" s="45"/>
      <c r="G1312" s="43"/>
      <c r="H1312" s="44"/>
      <c r="L1312" s="42"/>
      <c r="M1312" s="42"/>
      <c r="N1312" s="25"/>
      <c r="O1312" s="54"/>
      <c r="P1312"/>
      <c r="Q1312" s="25"/>
      <c r="R1312" s="54"/>
      <c r="W1312" s="23"/>
      <c r="X1312" s="23"/>
      <c r="Y1312" s="23"/>
      <c r="Z1312" s="43"/>
      <c r="AA1312" s="23"/>
      <c r="AB1312" s="23"/>
      <c r="AC1312" s="23"/>
      <c r="AD1312" s="23"/>
      <c r="AE1312" s="23"/>
      <c r="AF1312" s="23"/>
      <c r="AG1312" s="23"/>
      <c r="AH1312" s="23"/>
      <c r="AI1312" s="48"/>
    </row>
    <row r="1313" spans="1:35">
      <c r="A1313" s="45"/>
      <c r="B1313" s="42"/>
      <c r="C1313" s="45"/>
      <c r="E1313" s="45"/>
      <c r="G1313" s="43"/>
      <c r="H1313" s="44"/>
      <c r="L1313" s="42"/>
      <c r="M1313" s="42"/>
      <c r="N1313" s="25"/>
      <c r="O1313" s="54"/>
      <c r="P1313"/>
      <c r="Q1313" s="25"/>
      <c r="R1313" s="54"/>
      <c r="W1313" s="23"/>
      <c r="X1313" s="23"/>
      <c r="Y1313" s="23"/>
      <c r="Z1313" s="43"/>
      <c r="AA1313" s="23"/>
      <c r="AB1313" s="23"/>
      <c r="AC1313" s="23"/>
      <c r="AD1313" s="23"/>
      <c r="AE1313" s="23"/>
      <c r="AF1313" s="23"/>
      <c r="AG1313" s="23"/>
      <c r="AH1313" s="23"/>
      <c r="AI1313" s="48"/>
    </row>
    <row r="1314" spans="1:35">
      <c r="A1314" s="45"/>
      <c r="B1314" s="42"/>
      <c r="C1314" s="45"/>
      <c r="E1314" s="45"/>
      <c r="G1314" s="43"/>
      <c r="H1314" s="44"/>
      <c r="L1314" s="42"/>
      <c r="M1314" s="42"/>
      <c r="N1314" s="25"/>
      <c r="O1314" s="54"/>
      <c r="P1314"/>
      <c r="Q1314" s="25"/>
      <c r="R1314" s="54"/>
      <c r="W1314" s="23"/>
      <c r="X1314" s="23"/>
      <c r="Y1314" s="23"/>
      <c r="Z1314" s="43"/>
      <c r="AA1314" s="23"/>
      <c r="AB1314" s="23"/>
      <c r="AC1314" s="23"/>
      <c r="AD1314" s="23"/>
      <c r="AE1314" s="23"/>
      <c r="AF1314" s="23"/>
      <c r="AG1314" s="23"/>
      <c r="AH1314" s="23"/>
      <c r="AI1314" s="48"/>
    </row>
    <row r="1315" spans="1:35">
      <c r="A1315" s="45"/>
      <c r="B1315" s="42"/>
      <c r="C1315" s="45"/>
      <c r="E1315" s="45"/>
      <c r="G1315" s="43"/>
      <c r="H1315" s="44"/>
      <c r="L1315" s="42"/>
      <c r="M1315" s="42"/>
      <c r="N1315" s="25"/>
      <c r="O1315" s="54"/>
      <c r="P1315"/>
      <c r="Q1315" s="25"/>
      <c r="R1315" s="54"/>
      <c r="W1315" s="23"/>
      <c r="X1315" s="23"/>
      <c r="Y1315" s="23"/>
      <c r="Z1315" s="43"/>
      <c r="AA1315" s="23"/>
      <c r="AB1315" s="23"/>
      <c r="AC1315" s="23"/>
      <c r="AD1315" s="23"/>
      <c r="AE1315" s="23"/>
      <c r="AF1315" s="23"/>
      <c r="AG1315" s="23"/>
      <c r="AH1315" s="23"/>
      <c r="AI1315" s="48"/>
    </row>
    <row r="1316" spans="1:35">
      <c r="A1316" s="45"/>
      <c r="B1316" s="42"/>
      <c r="C1316" s="45"/>
      <c r="E1316" s="45"/>
      <c r="G1316" s="43"/>
      <c r="H1316" s="44"/>
      <c r="L1316" s="42"/>
      <c r="M1316" s="42"/>
      <c r="N1316" s="25"/>
      <c r="O1316" s="54"/>
      <c r="P1316"/>
      <c r="Q1316" s="25"/>
      <c r="R1316" s="54"/>
      <c r="W1316" s="23"/>
      <c r="X1316" s="23"/>
      <c r="Y1316" s="23"/>
      <c r="Z1316" s="43"/>
      <c r="AA1316" s="23"/>
      <c r="AB1316" s="23"/>
      <c r="AC1316" s="23"/>
      <c r="AD1316" s="23"/>
      <c r="AE1316" s="23"/>
      <c r="AF1316" s="23"/>
      <c r="AG1316" s="23"/>
      <c r="AH1316" s="23"/>
      <c r="AI1316" s="48"/>
    </row>
    <row r="1317" spans="1:35">
      <c r="A1317" s="45"/>
      <c r="B1317" s="42"/>
      <c r="C1317" s="45"/>
      <c r="E1317" s="45"/>
      <c r="G1317" s="43"/>
      <c r="H1317" s="44"/>
      <c r="L1317" s="42"/>
      <c r="M1317" s="42"/>
      <c r="N1317" s="25"/>
      <c r="O1317" s="54"/>
      <c r="P1317"/>
      <c r="Q1317" s="25"/>
      <c r="R1317" s="54"/>
      <c r="W1317" s="23"/>
      <c r="X1317" s="23"/>
      <c r="Y1317" s="23"/>
      <c r="Z1317" s="43"/>
      <c r="AA1317" s="23"/>
      <c r="AB1317" s="23"/>
      <c r="AC1317" s="23"/>
      <c r="AD1317" s="23"/>
      <c r="AE1317" s="23"/>
      <c r="AF1317" s="23"/>
      <c r="AG1317" s="23"/>
      <c r="AH1317" s="23"/>
      <c r="AI1317" s="48"/>
    </row>
    <row r="1318" spans="1:35">
      <c r="A1318" s="45"/>
      <c r="B1318" s="42"/>
      <c r="C1318" s="45"/>
      <c r="E1318" s="45"/>
      <c r="G1318" s="43"/>
      <c r="H1318" s="44"/>
      <c r="L1318" s="42"/>
      <c r="M1318" s="42"/>
      <c r="N1318" s="25"/>
      <c r="O1318" s="54"/>
      <c r="P1318"/>
      <c r="Q1318" s="25"/>
      <c r="R1318" s="54"/>
      <c r="W1318" s="23"/>
      <c r="X1318" s="23"/>
      <c r="Y1318" s="23"/>
      <c r="Z1318" s="43"/>
      <c r="AA1318" s="23"/>
      <c r="AB1318" s="23"/>
      <c r="AC1318" s="23"/>
      <c r="AD1318" s="23"/>
      <c r="AE1318" s="23"/>
      <c r="AF1318" s="23"/>
      <c r="AG1318" s="23"/>
      <c r="AH1318" s="23"/>
      <c r="AI1318" s="48"/>
    </row>
    <row r="1319" spans="1:35">
      <c r="A1319" s="45"/>
      <c r="B1319" s="42"/>
      <c r="C1319" s="45"/>
      <c r="E1319" s="45"/>
      <c r="G1319" s="43"/>
      <c r="H1319" s="44"/>
      <c r="L1319" s="42"/>
      <c r="M1319" s="42"/>
      <c r="N1319" s="25"/>
      <c r="O1319" s="54"/>
      <c r="P1319"/>
      <c r="Q1319" s="25"/>
      <c r="R1319" s="54"/>
      <c r="W1319" s="23"/>
      <c r="X1319" s="23"/>
      <c r="Y1319" s="23"/>
      <c r="Z1319" s="43"/>
      <c r="AA1319" s="23"/>
      <c r="AB1319" s="23"/>
      <c r="AC1319" s="23"/>
      <c r="AD1319" s="23"/>
      <c r="AE1319" s="23"/>
      <c r="AF1319" s="23"/>
      <c r="AG1319" s="23"/>
      <c r="AH1319" s="23"/>
      <c r="AI1319" s="48"/>
    </row>
    <row r="1320" spans="1:35">
      <c r="A1320" s="45"/>
      <c r="B1320" s="42"/>
      <c r="C1320" s="45"/>
      <c r="E1320" s="45"/>
      <c r="G1320" s="43"/>
      <c r="H1320" s="44"/>
      <c r="L1320" s="42"/>
      <c r="M1320" s="42"/>
      <c r="N1320" s="25"/>
      <c r="O1320" s="54"/>
      <c r="P1320"/>
      <c r="Q1320" s="25"/>
      <c r="R1320" s="54"/>
      <c r="W1320" s="23"/>
      <c r="X1320" s="23"/>
      <c r="Y1320" s="23"/>
      <c r="Z1320" s="43"/>
      <c r="AA1320" s="23"/>
      <c r="AB1320" s="23"/>
      <c r="AC1320" s="23"/>
      <c r="AD1320" s="23"/>
      <c r="AE1320" s="23"/>
      <c r="AF1320" s="23"/>
      <c r="AG1320" s="23"/>
      <c r="AH1320" s="23"/>
      <c r="AI1320" s="48"/>
    </row>
    <row r="1321" spans="1:35">
      <c r="A1321" s="45"/>
      <c r="B1321" s="42"/>
      <c r="C1321" s="45"/>
      <c r="E1321" s="45"/>
      <c r="G1321" s="43"/>
      <c r="H1321" s="44"/>
      <c r="L1321" s="42"/>
      <c r="M1321" s="42"/>
      <c r="N1321" s="25"/>
      <c r="O1321" s="54"/>
      <c r="P1321"/>
      <c r="Q1321" s="25"/>
      <c r="R1321" s="54"/>
      <c r="W1321" s="23"/>
      <c r="X1321" s="23"/>
      <c r="Y1321" s="23"/>
      <c r="Z1321" s="43"/>
      <c r="AA1321" s="23"/>
      <c r="AB1321" s="23"/>
      <c r="AC1321" s="23"/>
      <c r="AD1321" s="23"/>
      <c r="AE1321" s="23"/>
      <c r="AF1321" s="23"/>
      <c r="AG1321" s="23"/>
      <c r="AH1321" s="23"/>
      <c r="AI1321" s="48"/>
    </row>
    <row r="1322" spans="1:35">
      <c r="A1322" s="45"/>
      <c r="B1322" s="42"/>
      <c r="C1322" s="45"/>
      <c r="E1322" s="45"/>
      <c r="G1322" s="43"/>
      <c r="H1322" s="44"/>
      <c r="L1322" s="42"/>
      <c r="M1322" s="42"/>
      <c r="N1322" s="25"/>
      <c r="O1322" s="54"/>
      <c r="P1322"/>
      <c r="Q1322" s="25"/>
      <c r="R1322" s="54"/>
      <c r="W1322" s="23"/>
      <c r="X1322" s="23"/>
      <c r="Y1322" s="23"/>
      <c r="Z1322" s="43"/>
      <c r="AA1322" s="23"/>
      <c r="AB1322" s="23"/>
      <c r="AC1322" s="23"/>
      <c r="AD1322" s="23"/>
      <c r="AE1322" s="23"/>
      <c r="AF1322" s="23"/>
      <c r="AG1322" s="23"/>
      <c r="AH1322" s="23"/>
      <c r="AI1322" s="48"/>
    </row>
    <row r="1323" spans="1:35">
      <c r="A1323" s="45"/>
      <c r="B1323" s="42"/>
      <c r="C1323" s="45"/>
      <c r="E1323" s="45"/>
      <c r="G1323" s="43"/>
      <c r="H1323" s="44"/>
      <c r="L1323" s="42"/>
      <c r="M1323" s="42"/>
      <c r="N1323" s="25"/>
      <c r="O1323" s="54"/>
      <c r="P1323"/>
      <c r="Q1323" s="25"/>
      <c r="R1323" s="54"/>
      <c r="W1323" s="23"/>
      <c r="X1323" s="23"/>
      <c r="Y1323" s="23"/>
      <c r="Z1323" s="43"/>
      <c r="AA1323" s="23"/>
      <c r="AB1323" s="23"/>
      <c r="AC1323" s="23"/>
      <c r="AD1323" s="23"/>
      <c r="AE1323" s="23"/>
      <c r="AF1323" s="23"/>
      <c r="AG1323" s="23"/>
      <c r="AH1323" s="23"/>
      <c r="AI1323" s="48"/>
    </row>
    <row r="1324" spans="1:35">
      <c r="A1324" s="45"/>
      <c r="B1324" s="42"/>
      <c r="C1324" s="45"/>
      <c r="E1324" s="45"/>
      <c r="G1324" s="43"/>
      <c r="H1324" s="44"/>
      <c r="L1324" s="42"/>
      <c r="M1324" s="42"/>
      <c r="N1324" s="25"/>
      <c r="O1324" s="54"/>
      <c r="P1324"/>
      <c r="Q1324" s="25"/>
      <c r="R1324" s="54"/>
      <c r="W1324" s="23"/>
      <c r="X1324" s="23"/>
      <c r="Y1324" s="23"/>
      <c r="Z1324" s="43"/>
      <c r="AA1324" s="23"/>
      <c r="AB1324" s="23"/>
      <c r="AC1324" s="23"/>
      <c r="AD1324" s="23"/>
      <c r="AE1324" s="23"/>
      <c r="AF1324" s="23"/>
      <c r="AG1324" s="23"/>
      <c r="AH1324" s="23"/>
      <c r="AI1324" s="48"/>
    </row>
    <row r="1325" spans="1:35">
      <c r="A1325" s="45"/>
      <c r="B1325" s="42"/>
      <c r="C1325" s="45"/>
      <c r="E1325" s="45"/>
      <c r="G1325" s="43"/>
      <c r="H1325" s="44"/>
      <c r="L1325" s="42"/>
      <c r="M1325" s="42"/>
      <c r="N1325" s="25"/>
      <c r="O1325" s="54"/>
      <c r="P1325"/>
      <c r="Q1325" s="25"/>
      <c r="R1325" s="54"/>
      <c r="W1325" s="23"/>
      <c r="X1325" s="23"/>
      <c r="Y1325" s="23"/>
      <c r="Z1325" s="43"/>
      <c r="AA1325" s="23"/>
      <c r="AB1325" s="23"/>
      <c r="AC1325" s="23"/>
      <c r="AD1325" s="23"/>
      <c r="AE1325" s="23"/>
      <c r="AF1325" s="23"/>
      <c r="AG1325" s="23"/>
      <c r="AH1325" s="23"/>
      <c r="AI1325" s="48"/>
    </row>
    <row r="1326" spans="1:35">
      <c r="A1326" s="45"/>
      <c r="B1326" s="42"/>
      <c r="C1326" s="45"/>
      <c r="E1326" s="45"/>
      <c r="G1326" s="43"/>
      <c r="H1326" s="44"/>
      <c r="L1326" s="42"/>
      <c r="M1326" s="42"/>
      <c r="N1326" s="25"/>
      <c r="O1326" s="54"/>
      <c r="P1326"/>
      <c r="Q1326" s="25"/>
      <c r="R1326" s="54"/>
      <c r="W1326" s="23"/>
      <c r="X1326" s="23"/>
      <c r="Y1326" s="23"/>
      <c r="Z1326" s="43"/>
      <c r="AA1326" s="23"/>
      <c r="AB1326" s="23"/>
      <c r="AC1326" s="23"/>
      <c r="AD1326" s="23"/>
      <c r="AE1326" s="23"/>
      <c r="AF1326" s="23"/>
      <c r="AG1326" s="23"/>
      <c r="AH1326" s="23"/>
      <c r="AI1326" s="48"/>
    </row>
    <row r="1327" spans="1:35">
      <c r="A1327" s="45"/>
      <c r="B1327" s="42"/>
      <c r="C1327" s="45"/>
      <c r="E1327" s="45"/>
      <c r="G1327" s="43"/>
      <c r="H1327" s="44"/>
      <c r="L1327" s="42"/>
      <c r="M1327" s="42"/>
      <c r="N1327" s="25"/>
      <c r="O1327" s="54"/>
      <c r="P1327"/>
      <c r="Q1327" s="25"/>
      <c r="R1327" s="54"/>
      <c r="W1327" s="23"/>
      <c r="X1327" s="23"/>
      <c r="Y1327" s="23"/>
      <c r="Z1327" s="43"/>
      <c r="AA1327" s="23"/>
      <c r="AB1327" s="23"/>
      <c r="AC1327" s="23"/>
      <c r="AD1327" s="23"/>
      <c r="AE1327" s="23"/>
      <c r="AF1327" s="23"/>
      <c r="AG1327" s="23"/>
      <c r="AH1327" s="23"/>
      <c r="AI1327" s="48"/>
    </row>
    <row r="1328" spans="1:35">
      <c r="A1328" s="23"/>
      <c r="B1328" s="42"/>
      <c r="C1328" s="49"/>
      <c r="E1328" s="49"/>
      <c r="G1328" s="43"/>
      <c r="H1328" s="44"/>
      <c r="L1328" s="42"/>
      <c r="M1328" s="42"/>
      <c r="N1328" s="25"/>
      <c r="O1328" s="54"/>
      <c r="P1328"/>
      <c r="Q1328" s="25"/>
      <c r="R1328" s="54"/>
      <c r="W1328" s="23"/>
      <c r="X1328" s="23"/>
      <c r="Y1328" s="23"/>
      <c r="Z1328" s="43"/>
      <c r="AA1328" s="23"/>
      <c r="AB1328" s="23"/>
      <c r="AC1328" s="23"/>
      <c r="AD1328" s="23"/>
      <c r="AE1328" s="23"/>
      <c r="AF1328" s="23"/>
      <c r="AG1328" s="23"/>
      <c r="AH1328" s="23"/>
      <c r="AI1328" s="49"/>
    </row>
    <row r="1329" spans="1:35">
      <c r="A1329" s="23"/>
      <c r="B1329" s="42"/>
      <c r="C1329" s="49"/>
      <c r="E1329" s="49"/>
      <c r="G1329" s="43"/>
      <c r="H1329" s="44"/>
      <c r="L1329" s="42"/>
      <c r="M1329" s="42"/>
      <c r="N1329" s="25"/>
      <c r="O1329" s="54"/>
      <c r="P1329"/>
      <c r="Q1329" s="25"/>
      <c r="R1329" s="54"/>
      <c r="W1329" s="23"/>
      <c r="X1329" s="23"/>
      <c r="Y1329" s="23"/>
      <c r="Z1329" s="43"/>
      <c r="AA1329" s="23"/>
      <c r="AB1329" s="23"/>
      <c r="AC1329" s="23"/>
      <c r="AD1329" s="23"/>
      <c r="AE1329" s="23"/>
      <c r="AF1329" s="23"/>
      <c r="AG1329" s="23"/>
      <c r="AH1329" s="23"/>
      <c r="AI1329" s="49"/>
    </row>
    <row r="1330" spans="1:35">
      <c r="A1330" s="23"/>
      <c r="B1330" s="42"/>
      <c r="C1330" s="49"/>
      <c r="E1330" s="49"/>
      <c r="G1330" s="43"/>
      <c r="H1330" s="44"/>
      <c r="L1330" s="42"/>
      <c r="M1330" s="42"/>
      <c r="N1330" s="25"/>
      <c r="O1330" s="54"/>
      <c r="P1330"/>
      <c r="Q1330" s="25"/>
      <c r="R1330" s="54"/>
      <c r="W1330" s="23"/>
      <c r="X1330" s="23"/>
      <c r="Y1330" s="23"/>
      <c r="Z1330" s="43"/>
      <c r="AA1330" s="23"/>
      <c r="AB1330" s="23"/>
      <c r="AC1330" s="23"/>
      <c r="AD1330" s="23"/>
      <c r="AE1330" s="23"/>
      <c r="AF1330" s="23"/>
      <c r="AG1330" s="23"/>
      <c r="AH1330" s="23"/>
      <c r="AI1330" s="49"/>
    </row>
    <row r="1331" spans="1:35">
      <c r="A1331" s="23"/>
      <c r="B1331" s="42"/>
      <c r="C1331" s="49"/>
      <c r="E1331" s="49"/>
      <c r="G1331" s="43"/>
      <c r="H1331" s="44"/>
      <c r="L1331" s="42"/>
      <c r="M1331" s="42"/>
      <c r="N1331" s="25"/>
      <c r="O1331" s="54"/>
      <c r="P1331"/>
      <c r="Q1331" s="25"/>
      <c r="R1331" s="54"/>
      <c r="W1331" s="23"/>
      <c r="X1331" s="23"/>
      <c r="Y1331" s="23"/>
      <c r="Z1331" s="43"/>
      <c r="AA1331" s="23"/>
      <c r="AB1331" s="23"/>
      <c r="AC1331" s="23"/>
      <c r="AD1331" s="23"/>
      <c r="AE1331" s="23"/>
      <c r="AF1331" s="23"/>
      <c r="AG1331" s="23"/>
      <c r="AH1331" s="23"/>
      <c r="AI1331" s="49"/>
    </row>
    <row r="1332" spans="1:35">
      <c r="A1332" s="23"/>
      <c r="B1332" s="42"/>
      <c r="C1332" s="49"/>
      <c r="E1332" s="49"/>
      <c r="G1332" s="43"/>
      <c r="H1332" s="44"/>
      <c r="L1332" s="42"/>
      <c r="M1332" s="42"/>
      <c r="N1332" s="25"/>
      <c r="O1332" s="54"/>
      <c r="P1332"/>
      <c r="Q1332" s="25"/>
      <c r="R1332" s="54"/>
      <c r="W1332" s="23"/>
      <c r="X1332" s="23"/>
      <c r="Y1332" s="23"/>
      <c r="Z1332" s="43"/>
      <c r="AA1332" s="23"/>
      <c r="AB1332" s="23"/>
      <c r="AC1332" s="23"/>
      <c r="AD1332" s="23"/>
      <c r="AE1332" s="23"/>
      <c r="AF1332" s="23"/>
      <c r="AG1332" s="23"/>
      <c r="AH1332" s="23"/>
      <c r="AI1332" s="49"/>
    </row>
    <row r="1333" spans="1:35">
      <c r="A1333" s="23"/>
      <c r="B1333" s="42"/>
      <c r="C1333" s="49"/>
      <c r="E1333" s="49"/>
      <c r="G1333" s="43"/>
      <c r="H1333" s="44"/>
      <c r="L1333" s="42"/>
      <c r="M1333" s="42"/>
      <c r="N1333" s="25"/>
      <c r="O1333" s="54"/>
      <c r="P1333"/>
      <c r="Q1333" s="25"/>
      <c r="R1333" s="54"/>
      <c r="W1333" s="23"/>
      <c r="X1333" s="23"/>
      <c r="Y1333" s="23"/>
      <c r="Z1333" s="43"/>
      <c r="AA1333" s="23"/>
      <c r="AB1333" s="23"/>
      <c r="AC1333" s="23"/>
      <c r="AD1333" s="23"/>
      <c r="AE1333" s="23"/>
      <c r="AF1333" s="23"/>
      <c r="AG1333" s="23"/>
      <c r="AH1333" s="23"/>
      <c r="AI1333" s="49"/>
    </row>
    <row r="1334" spans="1:35">
      <c r="A1334" s="23"/>
      <c r="B1334" s="42"/>
      <c r="C1334" s="49"/>
      <c r="E1334" s="49"/>
      <c r="G1334" s="43"/>
      <c r="H1334" s="44"/>
      <c r="L1334" s="42"/>
      <c r="M1334" s="42"/>
      <c r="N1334" s="25"/>
      <c r="O1334" s="54"/>
      <c r="P1334"/>
      <c r="Q1334" s="25"/>
      <c r="R1334" s="54"/>
      <c r="W1334" s="23"/>
      <c r="X1334" s="23"/>
      <c r="Y1334" s="23"/>
      <c r="Z1334" s="43"/>
      <c r="AA1334" s="23"/>
      <c r="AB1334" s="23"/>
      <c r="AC1334" s="23"/>
      <c r="AD1334" s="23"/>
      <c r="AE1334" s="23"/>
      <c r="AF1334" s="23"/>
      <c r="AG1334" s="23"/>
      <c r="AH1334" s="23"/>
      <c r="AI1334" s="49"/>
    </row>
    <row r="1335" spans="1:35">
      <c r="A1335" s="23"/>
      <c r="B1335" s="42"/>
      <c r="C1335" s="49"/>
      <c r="E1335" s="49"/>
      <c r="G1335" s="43"/>
      <c r="H1335" s="44"/>
      <c r="L1335" s="42"/>
      <c r="M1335" s="42"/>
      <c r="N1335" s="25"/>
      <c r="O1335" s="54"/>
      <c r="P1335"/>
      <c r="Q1335" s="25"/>
      <c r="R1335" s="54"/>
      <c r="W1335" s="23"/>
      <c r="X1335" s="23"/>
      <c r="Y1335" s="23"/>
      <c r="Z1335" s="43"/>
      <c r="AA1335" s="23"/>
      <c r="AB1335" s="23"/>
      <c r="AC1335" s="23"/>
      <c r="AD1335" s="23"/>
      <c r="AE1335" s="23"/>
      <c r="AF1335" s="23"/>
      <c r="AG1335" s="23"/>
      <c r="AH1335" s="23"/>
      <c r="AI1335" s="49"/>
    </row>
    <row r="1336" spans="1:35">
      <c r="A1336" s="23"/>
      <c r="B1336" s="42"/>
      <c r="C1336" s="49"/>
      <c r="E1336" s="49"/>
      <c r="G1336" s="43"/>
      <c r="H1336" s="44"/>
      <c r="L1336" s="42"/>
      <c r="M1336" s="42"/>
      <c r="N1336" s="25"/>
      <c r="O1336" s="54"/>
      <c r="P1336"/>
      <c r="Q1336" s="25"/>
      <c r="R1336" s="54"/>
      <c r="W1336" s="23"/>
      <c r="X1336" s="23"/>
      <c r="Y1336" s="23"/>
      <c r="Z1336" s="43"/>
      <c r="AA1336" s="23"/>
      <c r="AB1336" s="23"/>
      <c r="AC1336" s="23"/>
      <c r="AD1336" s="23"/>
      <c r="AE1336" s="23"/>
      <c r="AF1336" s="23"/>
      <c r="AG1336" s="23"/>
      <c r="AH1336" s="23"/>
      <c r="AI1336" s="49"/>
    </row>
    <row r="1337" spans="1:35">
      <c r="A1337" s="23"/>
      <c r="B1337" s="42"/>
      <c r="C1337" s="49"/>
      <c r="E1337" s="49"/>
      <c r="G1337" s="43"/>
      <c r="H1337" s="44"/>
      <c r="L1337" s="42"/>
      <c r="M1337" s="42"/>
      <c r="N1337" s="25"/>
      <c r="O1337" s="54"/>
      <c r="P1337"/>
      <c r="Q1337" s="25"/>
      <c r="R1337" s="54"/>
      <c r="W1337" s="23"/>
      <c r="X1337" s="23"/>
      <c r="Y1337" s="23"/>
      <c r="Z1337" s="43"/>
      <c r="AA1337" s="23"/>
      <c r="AB1337" s="23"/>
      <c r="AC1337" s="23"/>
      <c r="AD1337" s="23"/>
      <c r="AE1337" s="23"/>
      <c r="AF1337" s="23"/>
      <c r="AG1337" s="23"/>
      <c r="AH1337" s="23"/>
      <c r="AI1337" s="49"/>
    </row>
    <row r="1338" spans="1:35">
      <c r="A1338" s="23"/>
      <c r="B1338" s="42"/>
      <c r="C1338" s="49"/>
      <c r="E1338" s="49"/>
      <c r="G1338" s="43"/>
      <c r="H1338" s="44"/>
      <c r="L1338" s="42"/>
      <c r="M1338" s="42"/>
      <c r="N1338" s="25"/>
      <c r="O1338" s="54"/>
      <c r="P1338"/>
      <c r="Q1338" s="25"/>
      <c r="R1338" s="54"/>
      <c r="W1338" s="23"/>
      <c r="X1338" s="23"/>
      <c r="Y1338" s="23"/>
      <c r="Z1338" s="43"/>
      <c r="AA1338" s="23"/>
      <c r="AB1338" s="23"/>
      <c r="AC1338" s="23"/>
      <c r="AD1338" s="23"/>
      <c r="AE1338" s="23"/>
      <c r="AF1338" s="23"/>
      <c r="AG1338" s="23"/>
      <c r="AH1338" s="23"/>
      <c r="AI1338" s="49"/>
    </row>
    <row r="1339" spans="1:35">
      <c r="A1339" s="23"/>
      <c r="B1339" s="42"/>
      <c r="C1339" s="49"/>
      <c r="E1339" s="49"/>
      <c r="G1339" s="43"/>
      <c r="H1339" s="44"/>
      <c r="L1339" s="42"/>
      <c r="M1339" s="42"/>
      <c r="N1339" s="25"/>
      <c r="O1339" s="54"/>
      <c r="P1339"/>
      <c r="Q1339" s="25"/>
      <c r="R1339" s="54"/>
      <c r="W1339" s="23"/>
      <c r="X1339" s="23"/>
      <c r="Y1339" s="23"/>
      <c r="Z1339" s="43"/>
      <c r="AA1339" s="23"/>
      <c r="AB1339" s="23"/>
      <c r="AC1339" s="23"/>
      <c r="AD1339" s="23"/>
      <c r="AE1339" s="23"/>
      <c r="AF1339" s="23"/>
      <c r="AG1339" s="23"/>
      <c r="AH1339" s="23"/>
      <c r="AI1339" s="49"/>
    </row>
    <row r="1340" spans="1:35">
      <c r="A1340" s="23"/>
      <c r="B1340" s="42"/>
      <c r="C1340" s="49"/>
      <c r="E1340" s="49"/>
      <c r="G1340" s="43"/>
      <c r="H1340" s="44"/>
      <c r="L1340" s="42"/>
      <c r="M1340" s="42"/>
      <c r="N1340" s="25"/>
      <c r="O1340" s="54"/>
      <c r="P1340"/>
      <c r="Q1340" s="25"/>
      <c r="R1340" s="54"/>
      <c r="W1340" s="23"/>
      <c r="X1340" s="23"/>
      <c r="Y1340" s="23"/>
      <c r="Z1340" s="43"/>
      <c r="AA1340" s="23"/>
      <c r="AB1340" s="23"/>
      <c r="AC1340" s="23"/>
      <c r="AD1340" s="23"/>
      <c r="AE1340" s="23"/>
      <c r="AF1340" s="23"/>
      <c r="AG1340" s="23"/>
      <c r="AH1340" s="23"/>
      <c r="AI1340" s="49"/>
    </row>
    <row r="1341" spans="1:35">
      <c r="A1341" s="23"/>
      <c r="B1341" s="42"/>
      <c r="C1341" s="49"/>
      <c r="E1341" s="49"/>
      <c r="G1341" s="43"/>
      <c r="H1341" s="44"/>
      <c r="L1341" s="42"/>
      <c r="M1341" s="42"/>
      <c r="N1341" s="25"/>
      <c r="O1341" s="54"/>
      <c r="P1341"/>
      <c r="Q1341" s="25"/>
      <c r="R1341" s="54"/>
      <c r="W1341" s="23"/>
      <c r="X1341" s="23"/>
      <c r="Y1341" s="23"/>
      <c r="Z1341" s="43"/>
      <c r="AA1341" s="23"/>
      <c r="AB1341" s="23"/>
      <c r="AC1341" s="23"/>
      <c r="AD1341" s="23"/>
      <c r="AE1341" s="23"/>
      <c r="AF1341" s="23"/>
      <c r="AG1341" s="23"/>
      <c r="AH1341" s="23"/>
      <c r="AI1341" s="49"/>
    </row>
    <row r="1342" spans="1:35">
      <c r="B1342" s="42"/>
      <c r="G1342" s="43"/>
      <c r="H1342" s="44"/>
      <c r="L1342" s="42"/>
      <c r="M1342" s="42"/>
      <c r="N1342" s="25"/>
      <c r="O1342" s="54"/>
      <c r="P1342"/>
      <c r="Q1342" s="25"/>
      <c r="R1342" s="54"/>
      <c r="W1342" s="23"/>
      <c r="X1342" s="23"/>
      <c r="Y1342" s="23"/>
      <c r="Z1342" s="43"/>
      <c r="AA1342" s="23"/>
      <c r="AB1342" s="23"/>
      <c r="AC1342" s="23"/>
      <c r="AD1342" s="23"/>
      <c r="AE1342" s="23"/>
      <c r="AF1342" s="23"/>
      <c r="AG1342" s="23"/>
      <c r="AH1342" s="23"/>
      <c r="AI1342" s="48"/>
    </row>
    <row r="1343" spans="1:35">
      <c r="B1343" s="42"/>
      <c r="G1343" s="43"/>
      <c r="H1343" s="44"/>
      <c r="L1343" s="42"/>
      <c r="M1343" s="42"/>
      <c r="N1343" s="25"/>
      <c r="O1343" s="54"/>
      <c r="P1343"/>
      <c r="Q1343" s="25"/>
      <c r="R1343" s="54"/>
      <c r="W1343" s="23"/>
      <c r="X1343" s="23"/>
      <c r="Y1343" s="23"/>
      <c r="Z1343" s="43"/>
      <c r="AA1343" s="23"/>
      <c r="AB1343" s="23"/>
      <c r="AC1343" s="23"/>
      <c r="AD1343" s="23"/>
      <c r="AE1343" s="23"/>
      <c r="AF1343" s="23"/>
      <c r="AG1343" s="23"/>
      <c r="AH1343" s="23"/>
      <c r="AI1343" s="48"/>
    </row>
    <row r="1344" spans="1:35">
      <c r="B1344" s="42"/>
      <c r="G1344" s="43"/>
      <c r="H1344" s="44"/>
      <c r="L1344" s="42"/>
      <c r="M1344" s="42"/>
      <c r="N1344" s="25"/>
      <c r="O1344" s="54"/>
      <c r="P1344"/>
      <c r="Q1344" s="25"/>
      <c r="R1344" s="54"/>
      <c r="W1344" s="23"/>
      <c r="X1344" s="23"/>
      <c r="Y1344" s="23"/>
      <c r="Z1344" s="43"/>
      <c r="AA1344" s="23"/>
      <c r="AB1344" s="23"/>
      <c r="AC1344" s="23"/>
      <c r="AD1344" s="23"/>
      <c r="AE1344" s="23"/>
      <c r="AF1344" s="23"/>
      <c r="AG1344" s="23"/>
      <c r="AH1344" s="23"/>
      <c r="AI1344" s="48"/>
    </row>
    <row r="1345" spans="2:35">
      <c r="B1345" s="42"/>
      <c r="G1345" s="43"/>
      <c r="H1345" s="44"/>
      <c r="L1345" s="42"/>
      <c r="M1345" s="42"/>
      <c r="N1345" s="25"/>
      <c r="O1345" s="54"/>
      <c r="P1345"/>
      <c r="Q1345" s="25"/>
      <c r="R1345" s="54"/>
      <c r="W1345" s="23"/>
      <c r="X1345" s="23"/>
      <c r="Y1345" s="23"/>
      <c r="Z1345" s="43"/>
      <c r="AA1345" s="23"/>
      <c r="AB1345" s="23"/>
      <c r="AC1345" s="23"/>
      <c r="AD1345" s="23"/>
      <c r="AE1345" s="23"/>
      <c r="AF1345" s="23"/>
      <c r="AG1345" s="23"/>
      <c r="AH1345" s="23"/>
      <c r="AI1345" s="48"/>
    </row>
    <row r="1346" spans="2:35">
      <c r="B1346" s="42"/>
      <c r="G1346" s="43"/>
      <c r="H1346" s="44"/>
      <c r="L1346" s="42"/>
      <c r="M1346" s="42"/>
      <c r="N1346" s="25"/>
      <c r="O1346" s="54"/>
      <c r="P1346"/>
      <c r="Q1346" s="25"/>
      <c r="R1346" s="54"/>
      <c r="W1346" s="23"/>
      <c r="X1346" s="23"/>
      <c r="Y1346" s="23"/>
      <c r="Z1346" s="43"/>
      <c r="AA1346" s="23"/>
      <c r="AB1346" s="23"/>
      <c r="AC1346" s="23"/>
      <c r="AD1346" s="23"/>
      <c r="AE1346" s="23"/>
      <c r="AF1346" s="23"/>
      <c r="AG1346" s="23"/>
      <c r="AH1346" s="23"/>
      <c r="AI1346" s="48"/>
    </row>
    <row r="1347" spans="2:35">
      <c r="B1347" s="42"/>
      <c r="G1347" s="43"/>
      <c r="H1347" s="44"/>
      <c r="L1347" s="42"/>
      <c r="M1347" s="42"/>
      <c r="N1347" s="25"/>
      <c r="O1347" s="54"/>
      <c r="P1347"/>
      <c r="Q1347" s="25"/>
      <c r="R1347" s="54"/>
      <c r="W1347" s="23"/>
      <c r="X1347" s="23"/>
      <c r="Y1347" s="23"/>
      <c r="Z1347" s="43"/>
      <c r="AA1347" s="23"/>
      <c r="AB1347" s="23"/>
      <c r="AC1347" s="23"/>
      <c r="AD1347" s="23"/>
      <c r="AE1347" s="23"/>
      <c r="AF1347" s="23"/>
      <c r="AG1347" s="23"/>
      <c r="AH1347" s="23"/>
      <c r="AI1347" s="48"/>
    </row>
    <row r="1348" spans="2:35">
      <c r="B1348" s="42"/>
      <c r="G1348" s="43"/>
      <c r="H1348" s="44"/>
      <c r="L1348" s="42"/>
      <c r="M1348" s="42"/>
      <c r="N1348" s="25"/>
      <c r="O1348" s="54"/>
      <c r="P1348"/>
      <c r="Q1348" s="25"/>
      <c r="R1348" s="54"/>
      <c r="W1348" s="23"/>
      <c r="X1348" s="23"/>
      <c r="Y1348" s="23"/>
      <c r="Z1348" s="43"/>
      <c r="AA1348" s="23"/>
      <c r="AB1348" s="23"/>
      <c r="AC1348" s="23"/>
      <c r="AD1348" s="23"/>
      <c r="AE1348" s="23"/>
      <c r="AF1348" s="23"/>
      <c r="AG1348" s="23"/>
      <c r="AH1348" s="23"/>
      <c r="AI1348" s="48"/>
    </row>
    <row r="1349" spans="2:35">
      <c r="B1349" s="42"/>
      <c r="G1349" s="43"/>
      <c r="H1349" s="44"/>
      <c r="L1349" s="42"/>
      <c r="M1349" s="42"/>
      <c r="N1349" s="25"/>
      <c r="O1349" s="54"/>
      <c r="P1349"/>
      <c r="Q1349" s="25"/>
      <c r="R1349" s="54"/>
      <c r="W1349" s="23"/>
      <c r="X1349" s="23"/>
      <c r="Y1349" s="23"/>
      <c r="Z1349" s="43"/>
      <c r="AA1349" s="23"/>
      <c r="AB1349" s="23"/>
      <c r="AC1349" s="23"/>
      <c r="AD1349" s="23"/>
      <c r="AE1349" s="23"/>
      <c r="AF1349" s="23"/>
      <c r="AG1349" s="23"/>
      <c r="AH1349" s="23"/>
      <c r="AI1349" s="48"/>
    </row>
    <row r="1350" spans="2:35">
      <c r="B1350" s="42"/>
      <c r="G1350" s="43"/>
      <c r="H1350" s="44"/>
      <c r="L1350" s="42"/>
      <c r="M1350" s="42"/>
      <c r="N1350" s="25"/>
      <c r="O1350" s="54"/>
      <c r="P1350"/>
      <c r="Q1350" s="25"/>
      <c r="R1350" s="54"/>
      <c r="W1350" s="23"/>
      <c r="X1350" s="23"/>
      <c r="Y1350" s="23"/>
      <c r="Z1350" s="43"/>
      <c r="AA1350" s="23"/>
      <c r="AB1350" s="23"/>
      <c r="AC1350" s="23"/>
      <c r="AD1350" s="23"/>
      <c r="AE1350" s="23"/>
      <c r="AF1350" s="23"/>
      <c r="AG1350" s="23"/>
      <c r="AH1350" s="23"/>
      <c r="AI1350" s="48"/>
    </row>
    <row r="1351" spans="2:35">
      <c r="B1351" s="42"/>
      <c r="G1351" s="43"/>
      <c r="H1351" s="44"/>
      <c r="L1351" s="42"/>
      <c r="M1351" s="42"/>
      <c r="N1351" s="25"/>
      <c r="O1351" s="54"/>
      <c r="P1351"/>
      <c r="Q1351" s="25"/>
      <c r="R1351" s="54"/>
      <c r="W1351" s="23"/>
      <c r="X1351" s="23"/>
      <c r="Y1351" s="23"/>
      <c r="Z1351" s="43"/>
      <c r="AA1351" s="23"/>
      <c r="AB1351" s="23"/>
      <c r="AC1351" s="23"/>
      <c r="AD1351" s="23"/>
      <c r="AE1351" s="23"/>
      <c r="AF1351" s="23"/>
      <c r="AG1351" s="23"/>
      <c r="AH1351" s="23"/>
      <c r="AI1351" s="48"/>
    </row>
    <row r="1352" spans="2:35">
      <c r="B1352" s="42"/>
      <c r="G1352" s="43"/>
      <c r="H1352" s="44"/>
      <c r="L1352" s="42"/>
      <c r="M1352" s="42"/>
      <c r="N1352" s="25"/>
      <c r="O1352" s="54"/>
      <c r="P1352"/>
      <c r="Q1352" s="25"/>
      <c r="R1352" s="54"/>
      <c r="W1352" s="23"/>
      <c r="X1352" s="23"/>
      <c r="Y1352" s="23"/>
      <c r="Z1352" s="43"/>
      <c r="AA1352" s="23"/>
      <c r="AB1352" s="23"/>
      <c r="AC1352" s="23"/>
      <c r="AD1352" s="23"/>
      <c r="AE1352" s="23"/>
      <c r="AF1352" s="23"/>
      <c r="AG1352" s="23"/>
      <c r="AH1352" s="23"/>
      <c r="AI1352" s="48"/>
    </row>
    <row r="1353" spans="2:35">
      <c r="B1353" s="42"/>
      <c r="C1353" s="49"/>
      <c r="E1353" s="49"/>
      <c r="G1353" s="43"/>
      <c r="H1353" s="44"/>
      <c r="L1353" s="42"/>
      <c r="M1353" s="42"/>
      <c r="N1353" s="25"/>
      <c r="O1353" s="54"/>
      <c r="P1353"/>
      <c r="Q1353" s="25"/>
      <c r="R1353" s="54"/>
      <c r="W1353" s="23"/>
      <c r="X1353" s="23"/>
      <c r="Y1353" s="23"/>
      <c r="Z1353" s="43"/>
      <c r="AA1353" s="23"/>
      <c r="AB1353" s="23"/>
      <c r="AC1353" s="23"/>
      <c r="AD1353" s="23"/>
      <c r="AE1353" s="23"/>
      <c r="AF1353" s="23"/>
      <c r="AG1353" s="23"/>
      <c r="AH1353" s="23"/>
      <c r="AI1353" s="23"/>
    </row>
    <row r="1354" spans="2:35">
      <c r="B1354" s="42"/>
      <c r="C1354" s="49"/>
      <c r="E1354" s="49"/>
      <c r="G1354" s="43"/>
      <c r="H1354" s="44"/>
      <c r="L1354" s="42"/>
      <c r="M1354" s="42"/>
      <c r="N1354" s="25"/>
      <c r="O1354" s="54"/>
      <c r="P1354"/>
      <c r="Q1354" s="25"/>
      <c r="R1354" s="54"/>
      <c r="W1354" s="23"/>
      <c r="X1354" s="23"/>
      <c r="Y1354" s="23"/>
      <c r="Z1354" s="43"/>
      <c r="AA1354" s="23"/>
      <c r="AB1354" s="23"/>
      <c r="AC1354" s="23"/>
      <c r="AD1354" s="23"/>
      <c r="AE1354" s="23"/>
      <c r="AF1354" s="23"/>
      <c r="AG1354" s="23"/>
      <c r="AH1354" s="23"/>
      <c r="AI1354" s="23"/>
    </row>
    <row r="1355" spans="2:35">
      <c r="B1355" s="42"/>
      <c r="C1355" s="49"/>
      <c r="E1355" s="49"/>
      <c r="G1355" s="43"/>
      <c r="H1355" s="44"/>
      <c r="L1355" s="42"/>
      <c r="M1355" s="42"/>
      <c r="N1355" s="25"/>
      <c r="O1355" s="54"/>
      <c r="P1355"/>
      <c r="Q1355" s="25"/>
      <c r="R1355" s="54"/>
      <c r="W1355" s="23"/>
      <c r="X1355" s="23"/>
      <c r="Y1355" s="23"/>
      <c r="Z1355" s="43"/>
      <c r="AA1355" s="23"/>
      <c r="AB1355" s="23"/>
      <c r="AC1355" s="23"/>
      <c r="AD1355" s="23"/>
      <c r="AE1355" s="23"/>
      <c r="AF1355" s="23"/>
      <c r="AG1355" s="23"/>
      <c r="AH1355" s="23"/>
      <c r="AI1355" s="23"/>
    </row>
    <row r="1356" spans="2:35">
      <c r="B1356" s="42"/>
      <c r="C1356" s="49"/>
      <c r="E1356" s="49"/>
      <c r="G1356" s="43"/>
      <c r="H1356" s="44"/>
      <c r="L1356" s="42"/>
      <c r="M1356" s="42"/>
      <c r="N1356" s="25"/>
      <c r="O1356" s="54"/>
      <c r="P1356"/>
      <c r="Q1356" s="25"/>
      <c r="R1356" s="54"/>
      <c r="W1356" s="23"/>
      <c r="X1356" s="23"/>
      <c r="Y1356" s="23"/>
      <c r="Z1356" s="43"/>
      <c r="AA1356" s="23"/>
      <c r="AB1356" s="23"/>
      <c r="AC1356" s="23"/>
      <c r="AD1356" s="23"/>
      <c r="AE1356" s="23"/>
      <c r="AF1356" s="23"/>
      <c r="AG1356" s="23"/>
      <c r="AH1356" s="23"/>
      <c r="AI1356" s="23"/>
    </row>
    <row r="1357" spans="2:35">
      <c r="B1357" s="42"/>
      <c r="C1357" s="49"/>
      <c r="E1357" s="49"/>
      <c r="G1357" s="43"/>
      <c r="H1357" s="44"/>
      <c r="L1357" s="42"/>
      <c r="M1357" s="42"/>
      <c r="N1357" s="25"/>
      <c r="O1357" s="54"/>
      <c r="P1357"/>
      <c r="Q1357" s="25"/>
      <c r="R1357" s="54"/>
      <c r="W1357" s="23"/>
      <c r="X1357" s="23"/>
      <c r="Y1357" s="23"/>
      <c r="Z1357" s="43"/>
      <c r="AA1357" s="23"/>
      <c r="AB1357" s="23"/>
      <c r="AC1357" s="23"/>
      <c r="AD1357" s="23"/>
      <c r="AE1357" s="23"/>
      <c r="AF1357" s="23"/>
      <c r="AG1357" s="23"/>
      <c r="AH1357" s="23"/>
      <c r="AI1357" s="23"/>
    </row>
    <row r="1358" spans="2:35">
      <c r="B1358" s="42"/>
      <c r="C1358" s="49"/>
      <c r="E1358" s="49"/>
      <c r="G1358" s="43"/>
      <c r="H1358" s="44"/>
      <c r="L1358" s="42"/>
      <c r="M1358" s="42"/>
      <c r="N1358" s="25"/>
      <c r="O1358" s="54"/>
      <c r="P1358"/>
      <c r="Q1358" s="25"/>
      <c r="R1358" s="54"/>
      <c r="W1358" s="23"/>
      <c r="X1358" s="23"/>
      <c r="Y1358" s="23"/>
      <c r="Z1358" s="43"/>
      <c r="AA1358" s="23"/>
      <c r="AB1358" s="23"/>
      <c r="AC1358" s="23"/>
      <c r="AD1358" s="23"/>
      <c r="AE1358" s="23"/>
      <c r="AF1358" s="23"/>
      <c r="AG1358" s="23"/>
      <c r="AH1358" s="23"/>
      <c r="AI1358" s="23"/>
    </row>
    <row r="1359" spans="2:35">
      <c r="B1359" s="42"/>
      <c r="C1359" s="49"/>
      <c r="E1359" s="49"/>
      <c r="G1359" s="43"/>
      <c r="H1359" s="44"/>
      <c r="L1359" s="42"/>
      <c r="M1359" s="42"/>
      <c r="N1359" s="25"/>
      <c r="O1359" s="54"/>
      <c r="P1359"/>
      <c r="Q1359" s="25"/>
      <c r="R1359" s="54"/>
      <c r="W1359" s="23"/>
      <c r="X1359" s="23"/>
      <c r="Y1359" s="23"/>
      <c r="Z1359" s="43"/>
      <c r="AA1359" s="23"/>
      <c r="AB1359" s="23"/>
      <c r="AC1359" s="23"/>
      <c r="AD1359" s="23"/>
      <c r="AE1359" s="23"/>
      <c r="AF1359" s="23"/>
      <c r="AG1359" s="23"/>
      <c r="AH1359" s="23"/>
      <c r="AI1359" s="23"/>
    </row>
    <row r="1360" spans="2:35">
      <c r="B1360" s="42"/>
      <c r="C1360" s="49"/>
      <c r="E1360" s="49"/>
      <c r="G1360" s="43"/>
      <c r="H1360" s="44"/>
      <c r="L1360" s="42"/>
      <c r="M1360" s="42"/>
      <c r="N1360" s="25"/>
      <c r="O1360" s="54"/>
      <c r="P1360"/>
      <c r="Q1360" s="25"/>
      <c r="R1360" s="54"/>
      <c r="W1360" s="23"/>
      <c r="X1360" s="23"/>
      <c r="Y1360" s="23"/>
      <c r="Z1360" s="43"/>
      <c r="AA1360" s="23"/>
      <c r="AB1360" s="23"/>
      <c r="AC1360" s="23"/>
      <c r="AD1360" s="23"/>
      <c r="AE1360" s="23"/>
      <c r="AF1360" s="23"/>
      <c r="AG1360" s="23"/>
      <c r="AH1360" s="23"/>
      <c r="AI1360" s="23"/>
    </row>
    <row r="1361" spans="2:35">
      <c r="B1361" s="42"/>
      <c r="C1361" s="49"/>
      <c r="E1361" s="49"/>
      <c r="G1361" s="43"/>
      <c r="H1361" s="44"/>
      <c r="L1361" s="42"/>
      <c r="M1361" s="42"/>
      <c r="N1361" s="25"/>
      <c r="O1361" s="54"/>
      <c r="P1361"/>
      <c r="Q1361" s="25"/>
      <c r="R1361" s="54"/>
      <c r="W1361" s="23"/>
      <c r="X1361" s="23"/>
      <c r="Y1361" s="23"/>
      <c r="Z1361" s="43"/>
      <c r="AA1361" s="23"/>
      <c r="AB1361" s="23"/>
      <c r="AC1361" s="23"/>
      <c r="AD1361" s="23"/>
      <c r="AE1361" s="23"/>
      <c r="AF1361" s="23"/>
      <c r="AG1361" s="23"/>
      <c r="AH1361" s="23"/>
      <c r="AI1361" s="23"/>
    </row>
    <row r="1362" spans="2:35">
      <c r="B1362" s="42"/>
      <c r="C1362" s="49"/>
      <c r="E1362" s="49"/>
      <c r="G1362" s="43"/>
      <c r="H1362" s="44"/>
      <c r="L1362" s="42"/>
      <c r="M1362" s="42"/>
      <c r="N1362" s="25"/>
      <c r="O1362" s="54"/>
      <c r="P1362"/>
      <c r="Q1362" s="25"/>
      <c r="R1362" s="54"/>
      <c r="W1362" s="23"/>
      <c r="X1362" s="23"/>
      <c r="Y1362" s="23"/>
      <c r="Z1362" s="43"/>
      <c r="AA1362" s="23"/>
      <c r="AB1362" s="23"/>
      <c r="AC1362" s="23"/>
      <c r="AD1362" s="23"/>
      <c r="AE1362" s="23"/>
      <c r="AF1362" s="23"/>
      <c r="AG1362" s="23"/>
      <c r="AH1362" s="23"/>
      <c r="AI1362" s="23"/>
    </row>
    <row r="1363" spans="2:35">
      <c r="B1363" s="42"/>
      <c r="C1363" s="49"/>
      <c r="E1363" s="49"/>
      <c r="G1363" s="43"/>
      <c r="H1363" s="44"/>
      <c r="L1363" s="42"/>
      <c r="M1363" s="42"/>
      <c r="N1363" s="25"/>
      <c r="O1363" s="54"/>
      <c r="P1363"/>
      <c r="Q1363" s="25"/>
      <c r="R1363" s="54"/>
      <c r="W1363" s="23"/>
      <c r="X1363" s="23"/>
      <c r="Y1363" s="23"/>
      <c r="Z1363" s="43"/>
      <c r="AA1363" s="23"/>
      <c r="AB1363" s="23"/>
      <c r="AC1363" s="23"/>
      <c r="AD1363" s="23"/>
      <c r="AE1363" s="23"/>
      <c r="AF1363" s="23"/>
      <c r="AG1363" s="23"/>
      <c r="AH1363" s="23"/>
      <c r="AI1363" s="23"/>
    </row>
    <row r="1364" spans="2:35">
      <c r="B1364" s="42"/>
      <c r="C1364" s="49"/>
      <c r="E1364" s="49"/>
      <c r="G1364" s="43"/>
      <c r="H1364" s="44"/>
      <c r="L1364" s="42"/>
      <c r="M1364" s="42"/>
      <c r="N1364" s="25"/>
      <c r="O1364" s="54"/>
      <c r="P1364"/>
      <c r="Q1364" s="25"/>
      <c r="R1364" s="54"/>
      <c r="W1364" s="23"/>
      <c r="X1364" s="23"/>
      <c r="Y1364" s="23"/>
      <c r="Z1364" s="43"/>
      <c r="AA1364" s="23"/>
      <c r="AB1364" s="23"/>
      <c r="AC1364" s="23"/>
      <c r="AD1364" s="23"/>
      <c r="AE1364" s="23"/>
      <c r="AF1364" s="23"/>
      <c r="AG1364" s="23"/>
      <c r="AH1364" s="23"/>
      <c r="AI1364" s="23"/>
    </row>
    <row r="1365" spans="2:35">
      <c r="B1365" s="42"/>
      <c r="C1365" s="49"/>
      <c r="E1365" s="49"/>
      <c r="G1365" s="43"/>
      <c r="H1365" s="44"/>
      <c r="L1365" s="42"/>
      <c r="M1365" s="42"/>
      <c r="N1365" s="25"/>
      <c r="O1365" s="54"/>
      <c r="P1365"/>
      <c r="Q1365" s="25"/>
      <c r="R1365" s="54"/>
      <c r="W1365" s="23"/>
      <c r="X1365" s="23"/>
      <c r="Y1365" s="23"/>
      <c r="Z1365" s="43"/>
      <c r="AA1365" s="23"/>
      <c r="AB1365" s="23"/>
      <c r="AC1365" s="23"/>
      <c r="AD1365" s="23"/>
      <c r="AE1365" s="23"/>
      <c r="AF1365" s="23"/>
      <c r="AG1365" s="23"/>
      <c r="AH1365" s="23"/>
      <c r="AI1365" s="23"/>
    </row>
    <row r="1366" spans="2:35">
      <c r="B1366" s="42"/>
      <c r="C1366" s="49"/>
      <c r="E1366" s="49"/>
      <c r="G1366" s="43"/>
      <c r="H1366" s="44"/>
      <c r="L1366" s="42"/>
      <c r="M1366" s="42"/>
      <c r="N1366" s="25"/>
      <c r="O1366" s="54"/>
      <c r="P1366"/>
      <c r="Q1366" s="25"/>
      <c r="R1366" s="54"/>
      <c r="W1366" s="23"/>
      <c r="X1366" s="23"/>
      <c r="Y1366" s="23"/>
      <c r="Z1366" s="43"/>
      <c r="AA1366" s="23"/>
      <c r="AB1366" s="23"/>
      <c r="AC1366" s="23"/>
      <c r="AD1366" s="23"/>
      <c r="AE1366" s="23"/>
      <c r="AF1366" s="23"/>
      <c r="AG1366" s="23"/>
      <c r="AH1366" s="23"/>
      <c r="AI1366" s="23"/>
    </row>
    <row r="1367" spans="2:35">
      <c r="B1367" s="42"/>
      <c r="C1367" s="49"/>
      <c r="E1367" s="49"/>
      <c r="G1367" s="43"/>
      <c r="H1367" s="44"/>
      <c r="L1367" s="42"/>
      <c r="M1367" s="42"/>
      <c r="N1367" s="25"/>
      <c r="O1367" s="54"/>
      <c r="P1367"/>
      <c r="Q1367" s="25"/>
      <c r="R1367" s="54"/>
      <c r="W1367" s="23"/>
      <c r="X1367" s="23"/>
      <c r="Y1367" s="23"/>
      <c r="Z1367" s="43"/>
      <c r="AA1367" s="23"/>
      <c r="AB1367" s="23"/>
      <c r="AC1367" s="23"/>
      <c r="AD1367" s="23"/>
      <c r="AE1367" s="23"/>
      <c r="AF1367" s="23"/>
      <c r="AG1367" s="23"/>
      <c r="AH1367" s="23"/>
      <c r="AI1367" s="23"/>
    </row>
    <row r="1368" spans="2:35">
      <c r="B1368" s="42"/>
      <c r="C1368" s="49"/>
      <c r="E1368" s="49"/>
      <c r="G1368" s="43"/>
      <c r="H1368" s="44"/>
      <c r="L1368" s="42"/>
      <c r="M1368" s="42"/>
      <c r="N1368" s="25"/>
      <c r="O1368" s="54"/>
      <c r="P1368"/>
      <c r="Q1368" s="25"/>
      <c r="R1368" s="54"/>
      <c r="W1368" s="23"/>
      <c r="X1368" s="23"/>
      <c r="Y1368" s="23"/>
      <c r="Z1368" s="43"/>
      <c r="AA1368" s="23"/>
      <c r="AB1368" s="23"/>
      <c r="AC1368" s="23"/>
      <c r="AD1368" s="23"/>
      <c r="AE1368" s="23"/>
      <c r="AF1368" s="23"/>
      <c r="AG1368" s="23"/>
      <c r="AH1368" s="23"/>
      <c r="AI1368" s="23"/>
    </row>
    <row r="1369" spans="2:35">
      <c r="B1369" s="42"/>
      <c r="C1369" s="49"/>
      <c r="E1369" s="49"/>
      <c r="G1369" s="43"/>
      <c r="H1369" s="44"/>
      <c r="L1369" s="42"/>
      <c r="M1369" s="42"/>
      <c r="N1369" s="25"/>
      <c r="O1369" s="54"/>
      <c r="P1369"/>
      <c r="Q1369" s="25"/>
      <c r="R1369" s="54"/>
      <c r="W1369" s="23"/>
      <c r="X1369" s="23"/>
      <c r="Y1369" s="23"/>
      <c r="Z1369" s="43"/>
      <c r="AA1369" s="23"/>
      <c r="AB1369" s="23"/>
      <c r="AC1369" s="23"/>
      <c r="AD1369" s="23"/>
      <c r="AE1369" s="23"/>
      <c r="AF1369" s="23"/>
      <c r="AG1369" s="23"/>
      <c r="AH1369" s="23"/>
      <c r="AI1369" s="23"/>
    </row>
    <row r="1370" spans="2:35">
      <c r="B1370" s="42"/>
      <c r="C1370" s="49"/>
      <c r="E1370" s="49"/>
      <c r="G1370" s="43"/>
      <c r="H1370" s="44"/>
      <c r="L1370" s="42"/>
      <c r="M1370" s="42"/>
      <c r="N1370" s="25"/>
      <c r="O1370" s="54"/>
      <c r="P1370"/>
      <c r="Q1370" s="25"/>
      <c r="R1370" s="54"/>
      <c r="W1370" s="23"/>
      <c r="X1370" s="23"/>
      <c r="Y1370" s="23"/>
      <c r="Z1370" s="43"/>
      <c r="AA1370" s="23"/>
      <c r="AB1370" s="23"/>
      <c r="AC1370" s="23"/>
      <c r="AD1370" s="23"/>
      <c r="AE1370" s="23"/>
      <c r="AF1370" s="23"/>
      <c r="AG1370" s="23"/>
      <c r="AH1370" s="23"/>
      <c r="AI1370" s="23"/>
    </row>
    <row r="1371" spans="2:35">
      <c r="B1371" s="42"/>
      <c r="C1371" s="49"/>
      <c r="E1371" s="49"/>
      <c r="G1371" s="43"/>
      <c r="H1371" s="44"/>
      <c r="L1371" s="42"/>
      <c r="M1371" s="42"/>
      <c r="N1371" s="25"/>
      <c r="O1371" s="54"/>
      <c r="P1371"/>
      <c r="Q1371" s="25"/>
      <c r="R1371" s="54"/>
      <c r="W1371" s="23"/>
      <c r="X1371" s="23"/>
      <c r="Y1371" s="23"/>
      <c r="Z1371" s="43"/>
      <c r="AA1371" s="23"/>
      <c r="AB1371" s="23"/>
      <c r="AC1371" s="23"/>
      <c r="AD1371" s="23"/>
      <c r="AE1371" s="23"/>
      <c r="AF1371" s="23"/>
      <c r="AG1371" s="23"/>
      <c r="AH1371" s="23"/>
      <c r="AI1371" s="23"/>
    </row>
    <row r="1372" spans="2:35">
      <c r="B1372" s="42"/>
      <c r="C1372" s="49"/>
      <c r="E1372" s="49"/>
      <c r="G1372" s="43"/>
      <c r="H1372" s="44"/>
      <c r="L1372" s="42"/>
      <c r="M1372" s="42"/>
      <c r="N1372" s="25"/>
      <c r="O1372" s="54"/>
      <c r="P1372"/>
      <c r="Q1372" s="25"/>
      <c r="R1372" s="54"/>
      <c r="W1372" s="23"/>
      <c r="X1372" s="23"/>
      <c r="Y1372" s="23"/>
      <c r="Z1372" s="43"/>
      <c r="AA1372" s="23"/>
      <c r="AB1372" s="23"/>
      <c r="AC1372" s="23"/>
      <c r="AD1372" s="23"/>
      <c r="AE1372" s="23"/>
      <c r="AF1372" s="23"/>
      <c r="AG1372" s="23"/>
      <c r="AH1372" s="23"/>
      <c r="AI1372" s="23"/>
    </row>
    <row r="1373" spans="2:35">
      <c r="B1373" s="42"/>
      <c r="G1373" s="43"/>
      <c r="H1373" s="44"/>
      <c r="L1373" s="42"/>
      <c r="M1373" s="42"/>
      <c r="N1373" s="25"/>
      <c r="O1373" s="54"/>
      <c r="P1373"/>
      <c r="Q1373" s="25"/>
      <c r="R1373" s="54"/>
      <c r="W1373" s="23"/>
      <c r="X1373" s="23"/>
      <c r="Y1373" s="23"/>
      <c r="Z1373" s="43"/>
      <c r="AA1373" s="23"/>
      <c r="AB1373" s="23"/>
      <c r="AC1373" s="23"/>
      <c r="AD1373" s="23"/>
      <c r="AE1373" s="23"/>
      <c r="AF1373" s="23"/>
      <c r="AG1373" s="23"/>
      <c r="AH1373" s="23"/>
      <c r="AI1373" s="48"/>
    </row>
    <row r="1374" spans="2:35">
      <c r="B1374" s="42"/>
      <c r="G1374" s="43"/>
      <c r="H1374" s="44"/>
      <c r="L1374" s="42"/>
      <c r="M1374" s="42"/>
      <c r="N1374" s="25"/>
      <c r="O1374" s="54"/>
      <c r="P1374"/>
      <c r="Q1374" s="25"/>
      <c r="R1374" s="54"/>
      <c r="W1374" s="23"/>
      <c r="X1374" s="23"/>
      <c r="Y1374" s="23"/>
      <c r="Z1374" s="43"/>
      <c r="AA1374" s="23"/>
      <c r="AB1374" s="23"/>
      <c r="AC1374" s="23"/>
      <c r="AD1374" s="23"/>
      <c r="AE1374" s="23"/>
      <c r="AF1374" s="23"/>
      <c r="AG1374" s="23"/>
      <c r="AH1374" s="23"/>
      <c r="AI1374" s="48"/>
    </row>
    <row r="1375" spans="2:35">
      <c r="B1375" s="42"/>
      <c r="G1375" s="43"/>
      <c r="H1375" s="44"/>
      <c r="L1375" s="42"/>
      <c r="M1375" s="42"/>
      <c r="N1375" s="25"/>
      <c r="O1375" s="54"/>
      <c r="P1375"/>
      <c r="Q1375" s="25"/>
      <c r="R1375" s="54"/>
      <c r="W1375" s="23"/>
      <c r="X1375" s="23"/>
      <c r="Y1375" s="23"/>
      <c r="Z1375" s="43"/>
      <c r="AA1375" s="23"/>
      <c r="AB1375" s="23"/>
      <c r="AC1375" s="23"/>
      <c r="AD1375" s="23"/>
      <c r="AE1375" s="23"/>
      <c r="AF1375" s="23"/>
      <c r="AG1375" s="23"/>
      <c r="AH1375" s="23"/>
      <c r="AI1375" s="48"/>
    </row>
    <row r="1376" spans="2:35">
      <c r="B1376" s="42"/>
      <c r="G1376" s="43"/>
      <c r="H1376" s="44"/>
      <c r="L1376" s="42"/>
      <c r="M1376" s="42"/>
      <c r="N1376" s="25"/>
      <c r="O1376" s="54"/>
      <c r="P1376"/>
      <c r="Q1376" s="25"/>
      <c r="R1376" s="54"/>
      <c r="W1376" s="23"/>
      <c r="X1376" s="23"/>
      <c r="Y1376" s="23"/>
      <c r="Z1376" s="43"/>
      <c r="AA1376" s="23"/>
      <c r="AB1376" s="23"/>
      <c r="AC1376" s="23"/>
      <c r="AD1376" s="23"/>
      <c r="AE1376" s="23"/>
      <c r="AF1376" s="23"/>
      <c r="AG1376" s="23"/>
      <c r="AH1376" s="23"/>
      <c r="AI1376" s="48"/>
    </row>
    <row r="1377" spans="1:35">
      <c r="B1377" s="42"/>
      <c r="G1377" s="43"/>
      <c r="H1377" s="44"/>
      <c r="L1377" s="42"/>
      <c r="M1377" s="42"/>
      <c r="N1377" s="25"/>
      <c r="O1377" s="54"/>
      <c r="P1377"/>
      <c r="Q1377" s="25"/>
      <c r="R1377" s="54"/>
      <c r="W1377" s="23"/>
      <c r="X1377" s="23"/>
      <c r="Y1377" s="23"/>
      <c r="Z1377" s="43"/>
      <c r="AA1377" s="23"/>
      <c r="AB1377" s="23"/>
      <c r="AC1377" s="23"/>
      <c r="AD1377" s="23"/>
      <c r="AE1377" s="23"/>
      <c r="AF1377" s="23"/>
      <c r="AG1377" s="23"/>
      <c r="AH1377" s="23"/>
      <c r="AI1377" s="48"/>
    </row>
    <row r="1378" spans="1:35">
      <c r="B1378" s="42"/>
      <c r="G1378" s="43"/>
      <c r="H1378" s="44"/>
      <c r="L1378" s="42"/>
      <c r="M1378" s="42"/>
      <c r="N1378" s="25"/>
      <c r="O1378" s="54"/>
      <c r="P1378"/>
      <c r="Q1378" s="25"/>
      <c r="R1378" s="54"/>
      <c r="W1378" s="23"/>
      <c r="X1378" s="23"/>
      <c r="Y1378" s="23"/>
      <c r="Z1378" s="43"/>
      <c r="AA1378" s="23"/>
      <c r="AB1378" s="23"/>
      <c r="AC1378" s="23"/>
      <c r="AD1378" s="23"/>
      <c r="AE1378" s="23"/>
      <c r="AF1378" s="23"/>
      <c r="AG1378" s="23"/>
      <c r="AH1378" s="23"/>
      <c r="AI1378" s="48"/>
    </row>
    <row r="1379" spans="1:35">
      <c r="A1379" s="23"/>
      <c r="B1379" s="42"/>
      <c r="C1379" s="49"/>
      <c r="E1379" s="49"/>
      <c r="G1379" s="43"/>
      <c r="H1379" s="44"/>
      <c r="L1379" s="42"/>
      <c r="M1379" s="42"/>
      <c r="N1379" s="25"/>
      <c r="O1379" s="54"/>
      <c r="P1379"/>
      <c r="Q1379" s="25"/>
      <c r="R1379" s="54"/>
      <c r="W1379" s="23"/>
      <c r="X1379" s="23"/>
      <c r="Y1379" s="23"/>
      <c r="Z1379" s="43"/>
      <c r="AA1379" s="23"/>
      <c r="AB1379" s="23"/>
      <c r="AC1379" s="23"/>
      <c r="AD1379" s="23"/>
      <c r="AE1379" s="23"/>
      <c r="AF1379" s="23"/>
      <c r="AG1379" s="23"/>
      <c r="AH1379" s="23"/>
      <c r="AI1379" s="49"/>
    </row>
    <row r="1380" spans="1:35">
      <c r="A1380" s="23"/>
      <c r="B1380" s="42"/>
      <c r="C1380" s="49"/>
      <c r="E1380" s="49"/>
      <c r="G1380" s="43"/>
      <c r="H1380" s="44"/>
      <c r="L1380" s="42"/>
      <c r="M1380" s="42"/>
      <c r="N1380" s="25"/>
      <c r="O1380" s="54"/>
      <c r="P1380"/>
      <c r="Q1380" s="25"/>
      <c r="R1380" s="54"/>
      <c r="W1380" s="23"/>
      <c r="X1380" s="23"/>
      <c r="Y1380" s="23"/>
      <c r="Z1380" s="43"/>
      <c r="AA1380" s="23"/>
      <c r="AB1380" s="23"/>
      <c r="AC1380" s="23"/>
      <c r="AD1380" s="23"/>
      <c r="AE1380" s="23"/>
      <c r="AF1380" s="23"/>
      <c r="AG1380" s="23"/>
      <c r="AH1380" s="23"/>
      <c r="AI1380" s="49"/>
    </row>
    <row r="1381" spans="1:35">
      <c r="A1381" s="23"/>
      <c r="B1381" s="42"/>
      <c r="C1381" s="49"/>
      <c r="E1381" s="49"/>
      <c r="G1381" s="43"/>
      <c r="H1381" s="44"/>
      <c r="L1381" s="42"/>
      <c r="M1381" s="42"/>
      <c r="N1381" s="25"/>
      <c r="O1381" s="54"/>
      <c r="P1381"/>
      <c r="Q1381" s="25"/>
      <c r="R1381" s="54"/>
      <c r="W1381" s="23"/>
      <c r="X1381" s="23"/>
      <c r="Y1381" s="23"/>
      <c r="Z1381" s="43"/>
      <c r="AA1381" s="23"/>
      <c r="AB1381" s="23"/>
      <c r="AC1381" s="23"/>
      <c r="AD1381" s="23"/>
      <c r="AE1381" s="23"/>
      <c r="AF1381" s="23"/>
      <c r="AG1381" s="23"/>
      <c r="AH1381" s="23"/>
      <c r="AI1381" s="49"/>
    </row>
    <row r="1382" spans="1:35">
      <c r="A1382" s="23"/>
      <c r="B1382" s="42"/>
      <c r="C1382" s="49"/>
      <c r="E1382" s="49"/>
      <c r="G1382" s="43"/>
      <c r="H1382" s="44"/>
      <c r="L1382" s="42"/>
      <c r="M1382" s="42"/>
      <c r="N1382" s="25"/>
      <c r="O1382" s="54"/>
      <c r="P1382"/>
      <c r="Q1382" s="25"/>
      <c r="R1382" s="54"/>
      <c r="W1382" s="23"/>
      <c r="X1382" s="23"/>
      <c r="Y1382" s="23"/>
      <c r="Z1382" s="43"/>
      <c r="AA1382" s="23"/>
      <c r="AB1382" s="23"/>
      <c r="AC1382" s="23"/>
      <c r="AD1382" s="23"/>
      <c r="AE1382" s="23"/>
      <c r="AF1382" s="23"/>
      <c r="AG1382" s="23"/>
      <c r="AH1382" s="23"/>
      <c r="AI1382" s="49"/>
    </row>
    <row r="1383" spans="1:35">
      <c r="A1383" s="23"/>
      <c r="B1383" s="42"/>
      <c r="C1383" s="49"/>
      <c r="E1383" s="49"/>
      <c r="G1383" s="43"/>
      <c r="H1383" s="44"/>
      <c r="L1383" s="42"/>
      <c r="M1383" s="42"/>
      <c r="N1383" s="25"/>
      <c r="O1383" s="54"/>
      <c r="P1383"/>
      <c r="Q1383" s="25"/>
      <c r="R1383" s="54"/>
      <c r="W1383" s="23"/>
      <c r="X1383" s="23"/>
      <c r="Y1383" s="23"/>
      <c r="Z1383" s="43"/>
      <c r="AA1383" s="23"/>
      <c r="AB1383" s="23"/>
      <c r="AC1383" s="23"/>
      <c r="AD1383" s="23"/>
      <c r="AE1383" s="23"/>
      <c r="AF1383" s="23"/>
      <c r="AG1383" s="23"/>
      <c r="AH1383" s="23"/>
      <c r="AI1383" s="49"/>
    </row>
    <row r="1384" spans="1:35">
      <c r="A1384" s="23"/>
      <c r="B1384" s="42"/>
      <c r="C1384" s="49"/>
      <c r="E1384" s="49"/>
      <c r="G1384" s="43"/>
      <c r="H1384" s="44"/>
      <c r="L1384" s="42"/>
      <c r="M1384" s="42"/>
      <c r="N1384" s="25"/>
      <c r="O1384" s="54"/>
      <c r="P1384"/>
      <c r="Q1384" s="25"/>
      <c r="R1384" s="54"/>
      <c r="W1384" s="23"/>
      <c r="X1384" s="23"/>
      <c r="Y1384" s="23"/>
      <c r="Z1384" s="43"/>
      <c r="AA1384" s="23"/>
      <c r="AB1384" s="23"/>
      <c r="AC1384" s="23"/>
      <c r="AD1384" s="23"/>
      <c r="AE1384" s="23"/>
      <c r="AF1384" s="23"/>
      <c r="AG1384" s="23"/>
      <c r="AH1384" s="23"/>
      <c r="AI1384" s="49"/>
    </row>
    <row r="1385" spans="1:35">
      <c r="A1385" s="23"/>
      <c r="B1385" s="42"/>
      <c r="C1385" s="49"/>
      <c r="E1385" s="49"/>
      <c r="G1385" s="43"/>
      <c r="H1385" s="44"/>
      <c r="L1385" s="42"/>
      <c r="M1385" s="42"/>
      <c r="N1385" s="25"/>
      <c r="O1385" s="54"/>
      <c r="P1385"/>
      <c r="Q1385" s="25"/>
      <c r="R1385" s="54"/>
      <c r="W1385" s="23"/>
      <c r="X1385" s="23"/>
      <c r="Y1385" s="23"/>
      <c r="Z1385" s="43"/>
      <c r="AA1385" s="23"/>
      <c r="AB1385" s="23"/>
      <c r="AC1385" s="23"/>
      <c r="AD1385" s="23"/>
      <c r="AE1385" s="23"/>
      <c r="AF1385" s="23"/>
      <c r="AG1385" s="23"/>
      <c r="AH1385" s="23"/>
      <c r="AI1385" s="49"/>
    </row>
    <row r="1386" spans="1:35">
      <c r="A1386" s="23"/>
      <c r="B1386" s="42"/>
      <c r="C1386" s="49"/>
      <c r="E1386" s="49"/>
      <c r="G1386" s="43"/>
      <c r="H1386" s="44"/>
      <c r="L1386" s="42"/>
      <c r="M1386" s="42"/>
      <c r="N1386" s="25"/>
      <c r="O1386" s="54"/>
      <c r="P1386"/>
      <c r="Q1386" s="25"/>
      <c r="R1386" s="54"/>
      <c r="W1386" s="23"/>
      <c r="X1386" s="23"/>
      <c r="Y1386" s="23"/>
      <c r="Z1386" s="43"/>
      <c r="AA1386" s="23"/>
      <c r="AB1386" s="23"/>
      <c r="AC1386" s="23"/>
      <c r="AD1386" s="23"/>
      <c r="AE1386" s="23"/>
      <c r="AF1386" s="23"/>
      <c r="AG1386" s="23"/>
      <c r="AH1386" s="23"/>
      <c r="AI1386" s="49"/>
    </row>
    <row r="1387" spans="1:35">
      <c r="B1387" s="42"/>
      <c r="G1387" s="43"/>
      <c r="H1387" s="44"/>
      <c r="L1387" s="42"/>
      <c r="M1387" s="42"/>
      <c r="N1387" s="25"/>
      <c r="O1387" s="54"/>
      <c r="P1387"/>
      <c r="Q1387" s="25"/>
      <c r="R1387" s="54"/>
      <c r="W1387" s="23"/>
      <c r="X1387" s="23"/>
      <c r="Y1387" s="23"/>
      <c r="Z1387" s="43"/>
      <c r="AA1387" s="23"/>
      <c r="AB1387" s="23"/>
      <c r="AC1387" s="23"/>
      <c r="AD1387" s="23"/>
      <c r="AE1387" s="23"/>
      <c r="AF1387" s="23"/>
      <c r="AG1387" s="23"/>
      <c r="AH1387" s="23"/>
      <c r="AI1387" s="48"/>
    </row>
    <row r="1388" spans="1:35">
      <c r="A1388" s="23"/>
      <c r="B1388" s="42"/>
      <c r="C1388" s="49"/>
      <c r="E1388" s="49"/>
      <c r="G1388" s="43"/>
      <c r="H1388" s="44"/>
      <c r="L1388" s="42"/>
      <c r="M1388" s="42"/>
      <c r="N1388" s="25"/>
      <c r="O1388" s="54"/>
      <c r="P1388"/>
      <c r="Q1388" s="25"/>
      <c r="R1388" s="54"/>
      <c r="W1388" s="23"/>
      <c r="X1388" s="23"/>
      <c r="Y1388" s="23"/>
      <c r="Z1388" s="43"/>
      <c r="AA1388" s="23"/>
      <c r="AB1388" s="23"/>
      <c r="AC1388" s="23"/>
      <c r="AD1388" s="23"/>
      <c r="AE1388" s="23"/>
      <c r="AF1388" s="23"/>
      <c r="AG1388" s="23"/>
      <c r="AH1388" s="23"/>
      <c r="AI1388" s="49"/>
    </row>
    <row r="1389" spans="1:35">
      <c r="A1389" s="23"/>
      <c r="B1389" s="42"/>
      <c r="C1389" s="49"/>
      <c r="E1389" s="49"/>
      <c r="G1389" s="43"/>
      <c r="H1389" s="44"/>
      <c r="L1389" s="42"/>
      <c r="M1389" s="42"/>
      <c r="N1389" s="25"/>
      <c r="O1389" s="54"/>
      <c r="P1389"/>
      <c r="Q1389" s="25"/>
      <c r="R1389" s="54"/>
      <c r="W1389" s="23"/>
      <c r="X1389" s="23"/>
      <c r="Y1389" s="23"/>
      <c r="Z1389" s="43"/>
      <c r="AA1389" s="23"/>
      <c r="AB1389" s="23"/>
      <c r="AC1389" s="23"/>
      <c r="AD1389" s="23"/>
      <c r="AE1389" s="23"/>
      <c r="AF1389" s="23"/>
      <c r="AG1389" s="23"/>
      <c r="AH1389" s="23"/>
      <c r="AI1389" s="49"/>
    </row>
    <row r="1390" spans="1:35">
      <c r="A1390" s="23"/>
      <c r="B1390" s="42"/>
      <c r="C1390" s="49"/>
      <c r="E1390" s="49"/>
      <c r="G1390" s="43"/>
      <c r="H1390" s="44"/>
      <c r="L1390" s="42"/>
      <c r="M1390" s="42"/>
      <c r="N1390" s="25"/>
      <c r="O1390" s="54"/>
      <c r="P1390"/>
      <c r="Q1390" s="25"/>
      <c r="R1390" s="54"/>
      <c r="W1390" s="23"/>
      <c r="X1390" s="23"/>
      <c r="Y1390" s="23"/>
      <c r="Z1390" s="43"/>
      <c r="AA1390" s="23"/>
      <c r="AB1390" s="23"/>
      <c r="AC1390" s="23"/>
      <c r="AD1390" s="23"/>
      <c r="AE1390" s="23"/>
      <c r="AF1390" s="23"/>
      <c r="AG1390" s="23"/>
      <c r="AH1390" s="23"/>
      <c r="AI1390" s="49"/>
    </row>
    <row r="1391" spans="1:35">
      <c r="B1391" s="42"/>
      <c r="G1391" s="43"/>
      <c r="H1391" s="44"/>
      <c r="L1391" s="42"/>
      <c r="M1391" s="42"/>
      <c r="N1391" s="25"/>
      <c r="O1391" s="54"/>
      <c r="P1391"/>
      <c r="Q1391" s="25"/>
      <c r="R1391" s="54"/>
      <c r="W1391" s="23"/>
      <c r="X1391" s="23"/>
      <c r="Y1391" s="23"/>
      <c r="Z1391" s="43"/>
      <c r="AA1391" s="23"/>
      <c r="AB1391" s="23"/>
      <c r="AC1391" s="23"/>
      <c r="AD1391" s="23"/>
      <c r="AE1391" s="23"/>
      <c r="AF1391" s="23"/>
      <c r="AG1391" s="23"/>
      <c r="AH1391" s="23"/>
      <c r="AI1391" s="48"/>
    </row>
    <row r="1392" spans="1:35">
      <c r="B1392" s="42"/>
      <c r="G1392" s="43"/>
      <c r="H1392" s="44"/>
      <c r="L1392" s="42"/>
      <c r="M1392" s="42"/>
      <c r="N1392" s="25"/>
      <c r="O1392" s="54"/>
      <c r="P1392"/>
      <c r="Q1392" s="25"/>
      <c r="R1392" s="54"/>
      <c r="W1392" s="23"/>
      <c r="X1392" s="23"/>
      <c r="Y1392" s="23"/>
      <c r="Z1392" s="43"/>
      <c r="AA1392" s="23"/>
      <c r="AB1392" s="23"/>
      <c r="AC1392" s="23"/>
      <c r="AD1392" s="23"/>
      <c r="AE1392" s="23"/>
      <c r="AF1392" s="23"/>
      <c r="AG1392" s="23"/>
      <c r="AH1392" s="23"/>
      <c r="AI1392" s="48"/>
    </row>
    <row r="1393" spans="1:35">
      <c r="A1393" s="23"/>
      <c r="B1393" s="42"/>
      <c r="C1393" s="49"/>
      <c r="E1393" s="49"/>
      <c r="G1393" s="43"/>
      <c r="H1393" s="44"/>
      <c r="L1393" s="42"/>
      <c r="M1393" s="42"/>
      <c r="N1393" s="25"/>
      <c r="O1393" s="54"/>
      <c r="P1393"/>
      <c r="Q1393" s="25"/>
      <c r="R1393" s="54"/>
      <c r="W1393" s="23"/>
      <c r="X1393" s="23"/>
      <c r="Y1393" s="23"/>
      <c r="Z1393" s="43"/>
      <c r="AA1393" s="23"/>
      <c r="AB1393" s="23"/>
      <c r="AC1393" s="23"/>
      <c r="AD1393" s="23"/>
      <c r="AE1393" s="23"/>
      <c r="AF1393" s="23"/>
      <c r="AG1393" s="23"/>
      <c r="AH1393" s="23"/>
      <c r="AI1393" s="49"/>
    </row>
    <row r="1394" spans="1:35">
      <c r="B1394" s="42"/>
      <c r="G1394" s="43"/>
      <c r="H1394" s="44"/>
      <c r="L1394" s="42"/>
      <c r="M1394" s="42"/>
      <c r="N1394" s="25"/>
      <c r="O1394" s="54"/>
      <c r="P1394"/>
      <c r="Q1394" s="25"/>
      <c r="R1394" s="54"/>
      <c r="W1394" s="23"/>
      <c r="X1394" s="23"/>
      <c r="Y1394" s="23"/>
      <c r="Z1394" s="43"/>
      <c r="AA1394" s="23"/>
      <c r="AB1394" s="23"/>
      <c r="AC1394" s="23"/>
      <c r="AD1394" s="23"/>
      <c r="AE1394" s="23"/>
      <c r="AF1394" s="23"/>
      <c r="AG1394" s="23"/>
      <c r="AH1394" s="23"/>
      <c r="AI1394" s="48"/>
    </row>
    <row r="1395" spans="1:35">
      <c r="B1395" s="42"/>
      <c r="G1395" s="43"/>
      <c r="H1395" s="44"/>
      <c r="L1395" s="42"/>
      <c r="M1395" s="42"/>
      <c r="N1395" s="25"/>
      <c r="O1395" s="54"/>
      <c r="P1395"/>
      <c r="Q1395" s="25"/>
      <c r="R1395" s="54"/>
      <c r="W1395" s="23"/>
      <c r="X1395" s="23"/>
      <c r="Y1395" s="23"/>
      <c r="Z1395" s="43"/>
      <c r="AA1395" s="23"/>
      <c r="AB1395" s="23"/>
      <c r="AC1395" s="23"/>
      <c r="AD1395" s="23"/>
      <c r="AE1395" s="23"/>
      <c r="AF1395" s="23"/>
      <c r="AG1395" s="23"/>
      <c r="AH1395" s="23"/>
      <c r="AI1395" s="48"/>
    </row>
    <row r="1396" spans="1:35">
      <c r="A1396" s="23"/>
      <c r="B1396" s="42"/>
      <c r="C1396" s="49"/>
      <c r="E1396" s="49"/>
      <c r="G1396" s="43"/>
      <c r="H1396" s="44"/>
      <c r="L1396" s="42"/>
      <c r="M1396" s="42"/>
      <c r="N1396" s="25"/>
      <c r="O1396" s="54"/>
      <c r="P1396"/>
      <c r="Q1396" s="25"/>
      <c r="R1396" s="54"/>
      <c r="W1396" s="23"/>
      <c r="X1396" s="23"/>
      <c r="Y1396" s="23"/>
      <c r="Z1396" s="43"/>
      <c r="AA1396" s="23"/>
      <c r="AB1396" s="23"/>
      <c r="AC1396" s="23"/>
      <c r="AD1396" s="23"/>
      <c r="AE1396" s="23"/>
      <c r="AF1396" s="23"/>
      <c r="AG1396" s="23"/>
      <c r="AH1396" s="23"/>
      <c r="AI1396" s="49"/>
    </row>
    <row r="1397" spans="1:35">
      <c r="A1397" s="23"/>
      <c r="B1397" s="42"/>
      <c r="C1397" s="49"/>
      <c r="E1397" s="49"/>
      <c r="G1397" s="43"/>
      <c r="H1397" s="44"/>
      <c r="L1397" s="42"/>
      <c r="M1397" s="42"/>
      <c r="N1397" s="25"/>
      <c r="O1397" s="54"/>
      <c r="P1397"/>
      <c r="Q1397" s="25"/>
      <c r="R1397" s="54"/>
      <c r="W1397" s="23"/>
      <c r="X1397" s="23"/>
      <c r="Y1397" s="23"/>
      <c r="Z1397" s="43"/>
      <c r="AA1397" s="23"/>
      <c r="AB1397" s="23"/>
      <c r="AC1397" s="23"/>
      <c r="AD1397" s="23"/>
      <c r="AE1397" s="23"/>
      <c r="AF1397" s="23"/>
      <c r="AG1397" s="23"/>
      <c r="AH1397" s="23"/>
      <c r="AI1397" s="49"/>
    </row>
    <row r="1398" spans="1:35">
      <c r="B1398" s="42"/>
      <c r="G1398" s="43"/>
      <c r="H1398" s="44"/>
      <c r="L1398" s="42"/>
      <c r="M1398" s="42"/>
      <c r="N1398" s="25"/>
      <c r="O1398" s="54"/>
      <c r="P1398"/>
      <c r="Q1398" s="25"/>
      <c r="R1398" s="54"/>
      <c r="W1398" s="23"/>
      <c r="X1398" s="23"/>
      <c r="Y1398" s="23"/>
      <c r="Z1398" s="43"/>
      <c r="AA1398" s="23"/>
      <c r="AB1398" s="23"/>
      <c r="AC1398" s="23"/>
      <c r="AD1398" s="23"/>
      <c r="AE1398" s="23"/>
      <c r="AF1398" s="23"/>
      <c r="AG1398" s="23"/>
      <c r="AH1398" s="23"/>
      <c r="AI1398" s="48"/>
    </row>
    <row r="1399" spans="1:35">
      <c r="A1399" s="23"/>
      <c r="B1399" s="42"/>
      <c r="C1399" s="49"/>
      <c r="E1399" s="49"/>
      <c r="G1399" s="43"/>
      <c r="H1399" s="44"/>
      <c r="L1399" s="42"/>
      <c r="M1399" s="42"/>
      <c r="N1399" s="25"/>
      <c r="O1399" s="54"/>
      <c r="P1399"/>
      <c r="Q1399" s="25"/>
      <c r="R1399" s="54"/>
      <c r="W1399" s="23"/>
      <c r="X1399" s="23"/>
      <c r="Y1399" s="23"/>
      <c r="Z1399" s="43"/>
      <c r="AA1399" s="23"/>
      <c r="AB1399" s="23"/>
      <c r="AC1399" s="23"/>
      <c r="AD1399" s="23"/>
      <c r="AE1399" s="23"/>
      <c r="AF1399" s="23"/>
      <c r="AG1399" s="23"/>
      <c r="AH1399" s="23"/>
      <c r="AI1399" s="49"/>
    </row>
    <row r="1400" spans="1:35">
      <c r="A1400" s="23"/>
      <c r="B1400" s="42"/>
      <c r="C1400" s="49"/>
      <c r="E1400" s="49"/>
      <c r="G1400" s="43"/>
      <c r="H1400" s="44"/>
      <c r="L1400" s="42"/>
      <c r="M1400" s="42"/>
      <c r="N1400" s="25"/>
      <c r="O1400" s="54"/>
      <c r="P1400"/>
      <c r="Q1400" s="25"/>
      <c r="R1400" s="54"/>
      <c r="W1400" s="23"/>
      <c r="X1400" s="23"/>
      <c r="Y1400" s="23"/>
      <c r="Z1400" s="43"/>
      <c r="AA1400" s="23"/>
      <c r="AB1400" s="23"/>
      <c r="AC1400" s="23"/>
      <c r="AD1400" s="23"/>
      <c r="AE1400" s="23"/>
      <c r="AF1400" s="23"/>
      <c r="AG1400" s="23"/>
      <c r="AH1400" s="23"/>
      <c r="AI1400" s="49"/>
    </row>
    <row r="1401" spans="1:35">
      <c r="A1401" s="23"/>
      <c r="B1401" s="42"/>
      <c r="C1401" s="49"/>
      <c r="E1401" s="49"/>
      <c r="G1401" s="43"/>
      <c r="H1401" s="44"/>
      <c r="L1401" s="42"/>
      <c r="M1401" s="42"/>
      <c r="N1401" s="25"/>
      <c r="O1401" s="54"/>
      <c r="P1401"/>
      <c r="Q1401" s="25"/>
      <c r="R1401" s="54"/>
      <c r="W1401" s="23"/>
      <c r="X1401" s="23"/>
      <c r="Y1401" s="23"/>
      <c r="Z1401" s="43"/>
      <c r="AA1401" s="23"/>
      <c r="AB1401" s="23"/>
      <c r="AC1401" s="23"/>
      <c r="AD1401" s="23"/>
      <c r="AE1401" s="23"/>
      <c r="AF1401" s="23"/>
      <c r="AG1401" s="23"/>
      <c r="AH1401" s="23"/>
      <c r="AI1401" s="49"/>
    </row>
    <row r="1402" spans="1:35">
      <c r="A1402" s="23"/>
      <c r="B1402" s="42"/>
      <c r="C1402" s="49"/>
      <c r="E1402" s="49"/>
      <c r="G1402" s="43"/>
      <c r="H1402" s="44"/>
      <c r="L1402" s="42"/>
      <c r="M1402" s="42"/>
      <c r="N1402" s="25"/>
      <c r="O1402" s="54"/>
      <c r="P1402"/>
      <c r="Q1402" s="25"/>
      <c r="R1402" s="54"/>
      <c r="W1402" s="23"/>
      <c r="X1402" s="23"/>
      <c r="Y1402" s="23"/>
      <c r="Z1402" s="43"/>
      <c r="AA1402" s="23"/>
      <c r="AB1402" s="23"/>
      <c r="AC1402" s="23"/>
      <c r="AD1402" s="23"/>
      <c r="AE1402" s="23"/>
      <c r="AF1402" s="23"/>
      <c r="AG1402" s="23"/>
      <c r="AH1402" s="23"/>
      <c r="AI1402" s="49"/>
    </row>
    <row r="1403" spans="1:35">
      <c r="A1403" s="23"/>
      <c r="B1403" s="42"/>
      <c r="C1403" s="49"/>
      <c r="E1403" s="49"/>
      <c r="G1403" s="43"/>
      <c r="H1403" s="44"/>
      <c r="L1403" s="42"/>
      <c r="M1403" s="42"/>
      <c r="N1403" s="25"/>
      <c r="O1403" s="54"/>
      <c r="P1403"/>
      <c r="Q1403" s="25"/>
      <c r="R1403" s="54"/>
      <c r="W1403" s="23"/>
      <c r="X1403" s="23"/>
      <c r="Y1403" s="23"/>
      <c r="Z1403" s="43"/>
      <c r="AA1403" s="23"/>
      <c r="AB1403" s="23"/>
      <c r="AC1403" s="23"/>
      <c r="AD1403" s="23"/>
      <c r="AE1403" s="23"/>
      <c r="AF1403" s="23"/>
      <c r="AG1403" s="23"/>
      <c r="AH1403" s="23"/>
      <c r="AI1403" s="49"/>
    </row>
    <row r="1404" spans="1:35">
      <c r="A1404" s="23"/>
      <c r="B1404" s="42"/>
      <c r="C1404" s="49"/>
      <c r="E1404" s="49"/>
      <c r="G1404" s="43"/>
      <c r="H1404" s="44"/>
      <c r="L1404" s="42"/>
      <c r="M1404" s="42"/>
      <c r="N1404" s="25"/>
      <c r="O1404" s="54"/>
      <c r="P1404"/>
      <c r="Q1404" s="25"/>
      <c r="R1404" s="54"/>
      <c r="W1404" s="23"/>
      <c r="X1404" s="23"/>
      <c r="Y1404" s="23"/>
      <c r="Z1404" s="43"/>
      <c r="AA1404" s="23"/>
      <c r="AB1404" s="23"/>
      <c r="AC1404" s="23"/>
      <c r="AD1404" s="23"/>
      <c r="AE1404" s="23"/>
      <c r="AF1404" s="23"/>
      <c r="AG1404" s="23"/>
      <c r="AH1404" s="23"/>
      <c r="AI1404" s="49"/>
    </row>
    <row r="1405" spans="1:35">
      <c r="A1405" s="23"/>
      <c r="B1405" s="42"/>
      <c r="C1405" s="49"/>
      <c r="E1405" s="49"/>
      <c r="G1405" s="43"/>
      <c r="H1405" s="44"/>
      <c r="L1405" s="42"/>
      <c r="M1405" s="42"/>
      <c r="N1405" s="25"/>
      <c r="O1405" s="54"/>
      <c r="P1405"/>
      <c r="Q1405" s="25"/>
      <c r="R1405" s="54"/>
      <c r="W1405" s="23"/>
      <c r="X1405" s="23"/>
      <c r="Y1405" s="23"/>
      <c r="Z1405" s="43"/>
      <c r="AA1405" s="23"/>
      <c r="AB1405" s="23"/>
      <c r="AC1405" s="23"/>
      <c r="AD1405" s="23"/>
      <c r="AE1405" s="23"/>
      <c r="AF1405" s="23"/>
      <c r="AG1405" s="23"/>
      <c r="AH1405" s="23"/>
      <c r="AI1405" s="49"/>
    </row>
    <row r="1406" spans="1:35">
      <c r="A1406" s="23"/>
      <c r="B1406" s="42"/>
      <c r="C1406" s="49"/>
      <c r="E1406" s="49"/>
      <c r="G1406" s="43"/>
      <c r="H1406" s="44"/>
      <c r="L1406" s="42"/>
      <c r="M1406" s="42"/>
      <c r="N1406" s="25"/>
      <c r="O1406" s="54"/>
      <c r="P1406"/>
      <c r="Q1406" s="25"/>
      <c r="R1406" s="54"/>
      <c r="W1406" s="23"/>
      <c r="X1406" s="23"/>
      <c r="Y1406" s="23"/>
      <c r="Z1406" s="43"/>
      <c r="AA1406" s="23"/>
      <c r="AB1406" s="23"/>
      <c r="AC1406" s="23"/>
      <c r="AD1406" s="23"/>
      <c r="AE1406" s="23"/>
      <c r="AF1406" s="23"/>
      <c r="AG1406" s="23"/>
      <c r="AH1406" s="23"/>
      <c r="AI1406" s="49"/>
    </row>
    <row r="1407" spans="1:35">
      <c r="A1407" s="23"/>
      <c r="B1407" s="42"/>
      <c r="C1407" s="49"/>
      <c r="E1407" s="49"/>
      <c r="G1407" s="43"/>
      <c r="H1407" s="44"/>
      <c r="L1407" s="42"/>
      <c r="M1407" s="42"/>
      <c r="N1407" s="25"/>
      <c r="O1407" s="54"/>
      <c r="P1407"/>
      <c r="Q1407" s="25"/>
      <c r="R1407" s="54"/>
      <c r="W1407" s="23"/>
      <c r="X1407" s="23"/>
      <c r="Y1407" s="23"/>
      <c r="Z1407" s="43"/>
      <c r="AA1407" s="23"/>
      <c r="AB1407" s="23"/>
      <c r="AC1407" s="23"/>
      <c r="AD1407" s="23"/>
      <c r="AE1407" s="23"/>
      <c r="AF1407" s="23"/>
      <c r="AG1407" s="23"/>
      <c r="AH1407" s="23"/>
      <c r="AI1407" s="49"/>
    </row>
    <row r="1408" spans="1:35">
      <c r="A1408" s="23"/>
      <c r="B1408" s="42"/>
      <c r="C1408" s="49"/>
      <c r="E1408" s="49"/>
      <c r="G1408" s="43"/>
      <c r="H1408" s="44"/>
      <c r="L1408" s="42"/>
      <c r="M1408" s="42"/>
      <c r="N1408" s="25"/>
      <c r="O1408" s="54"/>
      <c r="P1408"/>
      <c r="Q1408" s="25"/>
      <c r="R1408" s="54"/>
      <c r="W1408" s="23"/>
      <c r="X1408" s="23"/>
      <c r="Y1408" s="23"/>
      <c r="Z1408" s="43"/>
      <c r="AA1408" s="23"/>
      <c r="AB1408" s="23"/>
      <c r="AC1408" s="23"/>
      <c r="AD1408" s="23"/>
      <c r="AE1408" s="23"/>
      <c r="AF1408" s="23"/>
      <c r="AG1408" s="23"/>
      <c r="AH1408" s="23"/>
      <c r="AI1408" s="49"/>
    </row>
    <row r="1409" spans="1:35">
      <c r="A1409" s="23"/>
      <c r="B1409" s="42"/>
      <c r="C1409" s="49"/>
      <c r="E1409" s="49"/>
      <c r="G1409" s="43"/>
      <c r="H1409" s="44"/>
      <c r="L1409" s="42"/>
      <c r="M1409" s="42"/>
      <c r="N1409" s="25"/>
      <c r="O1409" s="54"/>
      <c r="P1409"/>
      <c r="Q1409" s="25"/>
      <c r="R1409" s="54"/>
      <c r="W1409" s="23"/>
      <c r="X1409" s="23"/>
      <c r="Y1409" s="23"/>
      <c r="Z1409" s="43"/>
      <c r="AA1409" s="23"/>
      <c r="AB1409" s="23"/>
      <c r="AC1409" s="23"/>
      <c r="AD1409" s="23"/>
      <c r="AE1409" s="23"/>
      <c r="AF1409" s="23"/>
      <c r="AG1409" s="23"/>
      <c r="AH1409" s="23"/>
      <c r="AI1409" s="49"/>
    </row>
    <row r="1410" spans="1:35">
      <c r="A1410" s="23"/>
      <c r="B1410" s="42"/>
      <c r="C1410" s="49"/>
      <c r="E1410" s="49"/>
      <c r="G1410" s="43"/>
      <c r="H1410" s="44"/>
      <c r="L1410" s="42"/>
      <c r="M1410" s="42"/>
      <c r="N1410" s="25"/>
      <c r="O1410" s="54"/>
      <c r="P1410"/>
      <c r="Q1410" s="25"/>
      <c r="R1410" s="54"/>
      <c r="W1410" s="23"/>
      <c r="X1410" s="23"/>
      <c r="Y1410" s="23"/>
      <c r="Z1410" s="43"/>
      <c r="AA1410" s="23"/>
      <c r="AB1410" s="23"/>
      <c r="AC1410" s="23"/>
      <c r="AD1410" s="23"/>
      <c r="AE1410" s="23"/>
      <c r="AF1410" s="23"/>
      <c r="AG1410" s="23"/>
      <c r="AH1410" s="23"/>
      <c r="AI1410" s="49"/>
    </row>
    <row r="1411" spans="1:35">
      <c r="A1411" s="23"/>
      <c r="B1411" s="42"/>
      <c r="C1411" s="49"/>
      <c r="E1411" s="49"/>
      <c r="G1411" s="43"/>
      <c r="H1411" s="44"/>
      <c r="L1411" s="42"/>
      <c r="M1411" s="42"/>
      <c r="N1411" s="25"/>
      <c r="O1411" s="54"/>
      <c r="P1411"/>
      <c r="Q1411" s="25"/>
      <c r="R1411" s="54"/>
      <c r="W1411" s="23"/>
      <c r="X1411" s="23"/>
      <c r="Y1411" s="23"/>
      <c r="Z1411" s="43"/>
      <c r="AA1411" s="23"/>
      <c r="AB1411" s="23"/>
      <c r="AC1411" s="23"/>
      <c r="AD1411" s="23"/>
      <c r="AE1411" s="23"/>
      <c r="AF1411" s="23"/>
      <c r="AG1411" s="23"/>
      <c r="AH1411" s="23"/>
      <c r="AI1411" s="49"/>
    </row>
    <row r="1412" spans="1:35">
      <c r="A1412" s="23"/>
      <c r="B1412" s="42"/>
      <c r="C1412" s="49"/>
      <c r="E1412" s="49"/>
      <c r="G1412" s="43"/>
      <c r="H1412" s="44"/>
      <c r="L1412" s="42"/>
      <c r="M1412" s="42"/>
      <c r="N1412" s="25"/>
      <c r="O1412" s="54"/>
      <c r="P1412"/>
      <c r="Q1412" s="25"/>
      <c r="R1412" s="54"/>
      <c r="W1412" s="23"/>
      <c r="X1412" s="23"/>
      <c r="Y1412" s="23"/>
      <c r="Z1412" s="43"/>
      <c r="AA1412" s="23"/>
      <c r="AB1412" s="23"/>
      <c r="AC1412" s="23"/>
      <c r="AD1412" s="23"/>
      <c r="AE1412" s="23"/>
      <c r="AF1412" s="23"/>
      <c r="AG1412" s="23"/>
      <c r="AH1412" s="23"/>
      <c r="AI1412" s="49"/>
    </row>
    <row r="1413" spans="1:35">
      <c r="A1413" s="23"/>
      <c r="B1413" s="42"/>
      <c r="C1413" s="49"/>
      <c r="E1413" s="49"/>
      <c r="G1413" s="43"/>
      <c r="H1413" s="44"/>
      <c r="L1413" s="42"/>
      <c r="M1413" s="42"/>
      <c r="N1413" s="25"/>
      <c r="O1413" s="54"/>
      <c r="P1413"/>
      <c r="Q1413" s="25"/>
      <c r="R1413" s="54"/>
      <c r="W1413" s="23"/>
      <c r="X1413" s="23"/>
      <c r="Y1413" s="23"/>
      <c r="Z1413" s="43"/>
      <c r="AA1413" s="23"/>
      <c r="AB1413" s="23"/>
      <c r="AC1413" s="23"/>
      <c r="AD1413" s="23"/>
      <c r="AE1413" s="23"/>
      <c r="AF1413" s="23"/>
      <c r="AG1413" s="23"/>
      <c r="AH1413" s="23"/>
      <c r="AI1413" s="49"/>
    </row>
    <row r="1414" spans="1:35">
      <c r="A1414" s="23"/>
      <c r="B1414" s="42"/>
      <c r="C1414" s="49"/>
      <c r="E1414" s="49"/>
      <c r="G1414" s="43"/>
      <c r="H1414" s="44"/>
      <c r="L1414" s="42"/>
      <c r="M1414" s="42"/>
      <c r="N1414" s="25"/>
      <c r="O1414" s="54"/>
      <c r="P1414"/>
      <c r="Q1414" s="25"/>
      <c r="R1414" s="54"/>
      <c r="W1414" s="23"/>
      <c r="X1414" s="23"/>
      <c r="Y1414" s="23"/>
      <c r="Z1414" s="43"/>
      <c r="AA1414" s="23"/>
      <c r="AB1414" s="23"/>
      <c r="AC1414" s="23"/>
      <c r="AD1414" s="23"/>
      <c r="AE1414" s="23"/>
      <c r="AF1414" s="23"/>
      <c r="AG1414" s="23"/>
      <c r="AH1414" s="23"/>
      <c r="AI1414" s="49"/>
    </row>
    <row r="1415" spans="1:35">
      <c r="A1415" s="23"/>
      <c r="B1415" s="42"/>
      <c r="C1415" s="49"/>
      <c r="E1415" s="49"/>
      <c r="G1415" s="43"/>
      <c r="H1415" s="44"/>
      <c r="L1415" s="42"/>
      <c r="M1415" s="42"/>
      <c r="N1415" s="25"/>
      <c r="O1415" s="54"/>
      <c r="P1415"/>
      <c r="Q1415" s="25"/>
      <c r="R1415" s="54"/>
      <c r="W1415" s="23"/>
      <c r="X1415" s="23"/>
      <c r="Y1415" s="23"/>
      <c r="Z1415" s="43"/>
      <c r="AA1415" s="23"/>
      <c r="AB1415" s="23"/>
      <c r="AC1415" s="23"/>
      <c r="AD1415" s="23"/>
      <c r="AE1415" s="23"/>
      <c r="AF1415" s="23"/>
      <c r="AG1415" s="23"/>
      <c r="AH1415" s="23"/>
      <c r="AI1415" s="49"/>
    </row>
    <row r="1416" spans="1:35">
      <c r="A1416" s="23"/>
      <c r="B1416" s="42"/>
      <c r="C1416" s="49"/>
      <c r="E1416" s="49"/>
      <c r="G1416" s="43"/>
      <c r="H1416" s="44"/>
      <c r="L1416" s="42"/>
      <c r="M1416" s="42"/>
      <c r="N1416" s="25"/>
      <c r="O1416" s="54"/>
      <c r="P1416"/>
      <c r="Q1416" s="25"/>
      <c r="R1416" s="54"/>
      <c r="W1416" s="23"/>
      <c r="X1416" s="23"/>
      <c r="Y1416" s="23"/>
      <c r="Z1416" s="43"/>
      <c r="AA1416" s="23"/>
      <c r="AB1416" s="23"/>
      <c r="AC1416" s="23"/>
      <c r="AD1416" s="23"/>
      <c r="AE1416" s="23"/>
      <c r="AF1416" s="23"/>
      <c r="AG1416" s="23"/>
      <c r="AH1416" s="23"/>
      <c r="AI1416" s="49"/>
    </row>
    <row r="1417" spans="1:35">
      <c r="A1417" s="23"/>
      <c r="B1417" s="42"/>
      <c r="C1417" s="49"/>
      <c r="E1417" s="49"/>
      <c r="G1417" s="43"/>
      <c r="H1417" s="44"/>
      <c r="L1417" s="42"/>
      <c r="M1417" s="42"/>
      <c r="N1417" s="25"/>
      <c r="O1417" s="54"/>
      <c r="P1417"/>
      <c r="Q1417" s="25"/>
      <c r="R1417" s="54"/>
      <c r="W1417" s="23"/>
      <c r="X1417" s="23"/>
      <c r="Y1417" s="23"/>
      <c r="Z1417" s="43"/>
      <c r="AA1417" s="23"/>
      <c r="AB1417" s="23"/>
      <c r="AC1417" s="23"/>
      <c r="AD1417" s="23"/>
      <c r="AE1417" s="23"/>
      <c r="AF1417" s="23"/>
      <c r="AG1417" s="23"/>
      <c r="AH1417" s="23"/>
      <c r="AI1417" s="49"/>
    </row>
    <row r="1418" spans="1:35">
      <c r="A1418" s="23"/>
      <c r="B1418" s="42"/>
      <c r="C1418" s="49"/>
      <c r="E1418" s="49"/>
      <c r="G1418" s="43"/>
      <c r="H1418" s="44"/>
      <c r="L1418" s="42"/>
      <c r="M1418" s="42"/>
      <c r="N1418" s="25"/>
      <c r="O1418" s="54"/>
      <c r="P1418"/>
      <c r="Q1418" s="25"/>
      <c r="R1418" s="54"/>
      <c r="W1418" s="23"/>
      <c r="X1418" s="23"/>
      <c r="Y1418" s="23"/>
      <c r="Z1418" s="43"/>
      <c r="AA1418" s="23"/>
      <c r="AB1418" s="23"/>
      <c r="AC1418" s="23"/>
      <c r="AD1418" s="23"/>
      <c r="AE1418" s="23"/>
      <c r="AF1418" s="23"/>
      <c r="AG1418" s="23"/>
      <c r="AH1418" s="23"/>
      <c r="AI1418" s="49"/>
    </row>
    <row r="1419" spans="1:35">
      <c r="A1419" s="23"/>
      <c r="B1419" s="42"/>
      <c r="C1419" s="49"/>
      <c r="E1419" s="49"/>
      <c r="G1419" s="43"/>
      <c r="H1419" s="44"/>
      <c r="L1419" s="42"/>
      <c r="M1419" s="42"/>
      <c r="N1419" s="25"/>
      <c r="O1419" s="54"/>
      <c r="P1419"/>
      <c r="Q1419" s="25"/>
      <c r="R1419" s="54"/>
      <c r="W1419" s="23"/>
      <c r="X1419" s="23"/>
      <c r="Y1419" s="23"/>
      <c r="Z1419" s="43"/>
      <c r="AA1419" s="23"/>
      <c r="AB1419" s="23"/>
      <c r="AC1419" s="23"/>
      <c r="AD1419" s="23"/>
      <c r="AE1419" s="23"/>
      <c r="AF1419" s="23"/>
      <c r="AG1419" s="23"/>
      <c r="AH1419" s="23"/>
      <c r="AI1419" s="49"/>
    </row>
    <row r="1420" spans="1:35">
      <c r="A1420" s="23"/>
      <c r="B1420" s="42"/>
      <c r="C1420" s="49"/>
      <c r="E1420" s="49"/>
      <c r="G1420" s="43"/>
      <c r="H1420" s="44"/>
      <c r="L1420" s="42"/>
      <c r="M1420" s="42"/>
      <c r="N1420" s="25"/>
      <c r="O1420" s="54"/>
      <c r="P1420"/>
      <c r="Q1420" s="25"/>
      <c r="R1420" s="54"/>
      <c r="W1420" s="23"/>
      <c r="X1420" s="23"/>
      <c r="Y1420" s="23"/>
      <c r="Z1420" s="43"/>
      <c r="AA1420" s="23"/>
      <c r="AB1420" s="23"/>
      <c r="AC1420" s="23"/>
      <c r="AD1420" s="23"/>
      <c r="AE1420" s="23"/>
      <c r="AF1420" s="23"/>
      <c r="AG1420" s="23"/>
      <c r="AH1420" s="23"/>
      <c r="AI1420" s="49"/>
    </row>
    <row r="1421" spans="1:35">
      <c r="A1421" s="23"/>
      <c r="B1421" s="42"/>
      <c r="C1421" s="49"/>
      <c r="E1421" s="49"/>
      <c r="G1421" s="43"/>
      <c r="H1421" s="44"/>
      <c r="L1421" s="42"/>
      <c r="M1421" s="42"/>
      <c r="N1421" s="25"/>
      <c r="O1421" s="54"/>
      <c r="P1421"/>
      <c r="Q1421" s="25"/>
      <c r="R1421" s="54"/>
      <c r="W1421" s="23"/>
      <c r="X1421" s="23"/>
      <c r="Y1421" s="23"/>
      <c r="Z1421" s="43"/>
      <c r="AA1421" s="23"/>
      <c r="AB1421" s="23"/>
      <c r="AC1421" s="23"/>
      <c r="AD1421" s="23"/>
      <c r="AE1421" s="23"/>
      <c r="AF1421" s="23"/>
      <c r="AG1421" s="23"/>
      <c r="AH1421" s="23"/>
      <c r="AI1421" s="49"/>
    </row>
    <row r="1422" spans="1:35">
      <c r="A1422" s="23"/>
      <c r="B1422" s="42"/>
      <c r="C1422" s="49"/>
      <c r="E1422" s="49"/>
      <c r="G1422" s="43"/>
      <c r="H1422" s="44"/>
      <c r="L1422" s="42"/>
      <c r="M1422" s="42"/>
      <c r="N1422" s="25"/>
      <c r="O1422" s="54"/>
      <c r="P1422"/>
      <c r="Q1422" s="25"/>
      <c r="R1422" s="54"/>
      <c r="W1422" s="23"/>
      <c r="X1422" s="23"/>
      <c r="Y1422" s="23"/>
      <c r="Z1422" s="43"/>
      <c r="AA1422" s="23"/>
      <c r="AB1422" s="23"/>
      <c r="AC1422" s="23"/>
      <c r="AD1422" s="23"/>
      <c r="AE1422" s="23"/>
      <c r="AF1422" s="23"/>
      <c r="AG1422" s="23"/>
      <c r="AH1422" s="23"/>
      <c r="AI1422" s="49"/>
    </row>
    <row r="1423" spans="1:35">
      <c r="A1423" s="23"/>
      <c r="B1423" s="42"/>
      <c r="C1423" s="49"/>
      <c r="E1423" s="49"/>
      <c r="G1423" s="43"/>
      <c r="H1423" s="44"/>
      <c r="L1423" s="42"/>
      <c r="M1423" s="42"/>
      <c r="N1423" s="25"/>
      <c r="O1423" s="54"/>
      <c r="P1423"/>
      <c r="Q1423" s="25"/>
      <c r="R1423" s="54"/>
      <c r="W1423" s="23"/>
      <c r="X1423" s="23"/>
      <c r="Y1423" s="23"/>
      <c r="Z1423" s="43"/>
      <c r="AA1423" s="23"/>
      <c r="AB1423" s="23"/>
      <c r="AC1423" s="23"/>
      <c r="AD1423" s="23"/>
      <c r="AE1423" s="23"/>
      <c r="AF1423" s="23"/>
      <c r="AG1423" s="23"/>
      <c r="AH1423" s="23"/>
      <c r="AI1423" s="49"/>
    </row>
    <row r="1424" spans="1:35">
      <c r="A1424" s="23"/>
      <c r="B1424" s="42"/>
      <c r="C1424" s="49"/>
      <c r="E1424" s="49"/>
      <c r="G1424" s="43"/>
      <c r="H1424" s="44"/>
      <c r="L1424" s="42"/>
      <c r="M1424" s="42"/>
      <c r="N1424" s="25"/>
      <c r="O1424" s="54"/>
      <c r="P1424"/>
      <c r="Q1424" s="25"/>
      <c r="R1424" s="54"/>
      <c r="W1424" s="23"/>
      <c r="X1424" s="23"/>
      <c r="Y1424" s="23"/>
      <c r="Z1424" s="43"/>
      <c r="AA1424" s="23"/>
      <c r="AB1424" s="23"/>
      <c r="AC1424" s="23"/>
      <c r="AD1424" s="23"/>
      <c r="AE1424" s="23"/>
      <c r="AF1424" s="23"/>
      <c r="AG1424" s="23"/>
      <c r="AH1424" s="23"/>
      <c r="AI1424" s="49"/>
    </row>
    <row r="1425" spans="1:35">
      <c r="A1425" s="23"/>
      <c r="B1425" s="42"/>
      <c r="C1425" s="49"/>
      <c r="E1425" s="49"/>
      <c r="G1425" s="43"/>
      <c r="H1425" s="44"/>
      <c r="L1425" s="42"/>
      <c r="M1425" s="42"/>
      <c r="N1425" s="25"/>
      <c r="O1425" s="54"/>
      <c r="P1425"/>
      <c r="Q1425" s="25"/>
      <c r="R1425" s="54"/>
      <c r="W1425" s="23"/>
      <c r="X1425" s="23"/>
      <c r="Y1425" s="23"/>
      <c r="Z1425" s="43"/>
      <c r="AA1425" s="23"/>
      <c r="AB1425" s="23"/>
      <c r="AC1425" s="23"/>
      <c r="AD1425" s="23"/>
      <c r="AE1425" s="23"/>
      <c r="AF1425" s="23"/>
      <c r="AG1425" s="23"/>
      <c r="AH1425" s="23"/>
      <c r="AI1425" s="49"/>
    </row>
    <row r="1426" spans="1:35">
      <c r="A1426" s="23"/>
      <c r="B1426" s="42"/>
      <c r="C1426" s="49"/>
      <c r="E1426" s="49"/>
      <c r="G1426" s="43"/>
      <c r="H1426" s="44"/>
      <c r="L1426" s="42"/>
      <c r="M1426" s="42"/>
      <c r="N1426" s="25"/>
      <c r="O1426" s="54"/>
      <c r="P1426"/>
      <c r="Q1426" s="25"/>
      <c r="R1426" s="54"/>
      <c r="W1426" s="23"/>
      <c r="X1426" s="23"/>
      <c r="Y1426" s="23"/>
      <c r="Z1426" s="43"/>
      <c r="AA1426" s="23"/>
      <c r="AB1426" s="23"/>
      <c r="AC1426" s="23"/>
      <c r="AD1426" s="23"/>
      <c r="AE1426" s="23"/>
      <c r="AF1426" s="23"/>
      <c r="AG1426" s="23"/>
      <c r="AH1426" s="23"/>
      <c r="AI1426" s="49"/>
    </row>
    <row r="1427" spans="1:35">
      <c r="A1427" s="23"/>
      <c r="B1427" s="42"/>
      <c r="C1427" s="49"/>
      <c r="E1427" s="49"/>
      <c r="G1427" s="43"/>
      <c r="H1427" s="44"/>
      <c r="L1427" s="42"/>
      <c r="M1427" s="42"/>
      <c r="N1427" s="25"/>
      <c r="O1427" s="54"/>
      <c r="P1427"/>
      <c r="Q1427" s="25"/>
      <c r="R1427" s="54"/>
      <c r="W1427" s="23"/>
      <c r="X1427" s="23"/>
      <c r="Y1427" s="23"/>
      <c r="Z1427" s="43"/>
      <c r="AA1427" s="23"/>
      <c r="AB1427" s="23"/>
      <c r="AC1427" s="23"/>
      <c r="AD1427" s="23"/>
      <c r="AE1427" s="23"/>
      <c r="AF1427" s="23"/>
      <c r="AG1427" s="23"/>
      <c r="AH1427" s="23"/>
      <c r="AI1427" s="49"/>
    </row>
    <row r="1428" spans="1:35">
      <c r="A1428" s="23"/>
      <c r="B1428" s="42"/>
      <c r="C1428" s="49"/>
      <c r="E1428" s="49"/>
      <c r="G1428" s="43"/>
      <c r="H1428" s="44"/>
      <c r="L1428" s="42"/>
      <c r="M1428" s="42"/>
      <c r="N1428" s="25"/>
      <c r="O1428" s="54"/>
      <c r="P1428"/>
      <c r="Q1428" s="25"/>
      <c r="R1428" s="54"/>
      <c r="W1428" s="23"/>
      <c r="X1428" s="23"/>
      <c r="Y1428" s="23"/>
      <c r="Z1428" s="43"/>
      <c r="AA1428" s="23"/>
      <c r="AB1428" s="23"/>
      <c r="AC1428" s="23"/>
      <c r="AD1428" s="23"/>
      <c r="AE1428" s="23"/>
      <c r="AF1428" s="23"/>
      <c r="AG1428" s="23"/>
      <c r="AH1428" s="23"/>
      <c r="AI1428" s="49"/>
    </row>
    <row r="1429" spans="1:35">
      <c r="A1429" s="23"/>
      <c r="B1429" s="42"/>
      <c r="C1429" s="49"/>
      <c r="E1429" s="49"/>
      <c r="G1429" s="43"/>
      <c r="H1429" s="44"/>
      <c r="L1429" s="42"/>
      <c r="M1429" s="42"/>
      <c r="N1429" s="25"/>
      <c r="O1429" s="54"/>
      <c r="P1429"/>
      <c r="Q1429" s="25"/>
      <c r="R1429" s="54"/>
      <c r="W1429" s="23"/>
      <c r="X1429" s="23"/>
      <c r="Y1429" s="23"/>
      <c r="Z1429" s="43"/>
      <c r="AA1429" s="23"/>
      <c r="AB1429" s="23"/>
      <c r="AC1429" s="23"/>
      <c r="AD1429" s="23"/>
      <c r="AE1429" s="23"/>
      <c r="AF1429" s="23"/>
      <c r="AG1429" s="23"/>
      <c r="AH1429" s="23"/>
      <c r="AI1429" s="49"/>
    </row>
    <row r="1430" spans="1:35">
      <c r="A1430" s="23"/>
      <c r="B1430" s="42"/>
      <c r="C1430" s="49"/>
      <c r="E1430" s="49"/>
      <c r="G1430" s="43"/>
      <c r="H1430" s="44"/>
      <c r="L1430" s="42"/>
      <c r="M1430" s="42"/>
      <c r="N1430" s="25"/>
      <c r="O1430" s="54"/>
      <c r="P1430"/>
      <c r="Q1430" s="25"/>
      <c r="R1430" s="54"/>
      <c r="W1430" s="23"/>
      <c r="X1430" s="23"/>
      <c r="Y1430" s="23"/>
      <c r="Z1430" s="43"/>
      <c r="AA1430" s="23"/>
      <c r="AB1430" s="23"/>
      <c r="AC1430" s="23"/>
      <c r="AD1430" s="23"/>
      <c r="AE1430" s="23"/>
      <c r="AF1430" s="23"/>
      <c r="AG1430" s="23"/>
      <c r="AH1430" s="23"/>
      <c r="AI1430" s="49"/>
    </row>
    <row r="1431" spans="1:35">
      <c r="A1431" s="23"/>
      <c r="B1431" s="42"/>
      <c r="C1431" s="49"/>
      <c r="E1431" s="49"/>
      <c r="G1431" s="43"/>
      <c r="H1431" s="44"/>
      <c r="L1431" s="42"/>
      <c r="M1431" s="42"/>
      <c r="N1431" s="25"/>
      <c r="O1431" s="54"/>
      <c r="P1431"/>
      <c r="Q1431" s="25"/>
      <c r="R1431" s="54"/>
      <c r="W1431" s="23"/>
      <c r="X1431" s="23"/>
      <c r="Y1431" s="23"/>
      <c r="Z1431" s="43"/>
      <c r="AA1431" s="23"/>
      <c r="AB1431" s="23"/>
      <c r="AC1431" s="23"/>
      <c r="AD1431" s="23"/>
      <c r="AE1431" s="23"/>
      <c r="AF1431" s="23"/>
      <c r="AG1431" s="23"/>
      <c r="AH1431" s="23"/>
      <c r="AI1431" s="49"/>
    </row>
    <row r="1432" spans="1:35">
      <c r="A1432" s="23"/>
      <c r="B1432" s="42"/>
      <c r="C1432" s="49"/>
      <c r="E1432" s="49"/>
      <c r="G1432" s="43"/>
      <c r="H1432" s="44"/>
      <c r="L1432" s="42"/>
      <c r="M1432" s="42"/>
      <c r="N1432" s="25"/>
      <c r="O1432" s="54"/>
      <c r="P1432"/>
      <c r="Q1432" s="25"/>
      <c r="R1432" s="54"/>
      <c r="W1432" s="23"/>
      <c r="X1432" s="23"/>
      <c r="Y1432" s="23"/>
      <c r="Z1432" s="43"/>
      <c r="AA1432" s="23"/>
      <c r="AB1432" s="23"/>
      <c r="AC1432" s="23"/>
      <c r="AD1432" s="23"/>
      <c r="AE1432" s="23"/>
      <c r="AF1432" s="23"/>
      <c r="AG1432" s="23"/>
      <c r="AH1432" s="23"/>
      <c r="AI1432" s="49"/>
    </row>
    <row r="1433" spans="1:35">
      <c r="A1433" s="23"/>
      <c r="B1433" s="42"/>
      <c r="C1433" s="49"/>
      <c r="E1433" s="49"/>
      <c r="G1433" s="43"/>
      <c r="H1433" s="44"/>
      <c r="L1433" s="42"/>
      <c r="M1433" s="42"/>
      <c r="N1433" s="25"/>
      <c r="O1433" s="54"/>
      <c r="P1433"/>
      <c r="Q1433" s="25"/>
      <c r="R1433" s="54"/>
      <c r="W1433" s="23"/>
      <c r="X1433" s="23"/>
      <c r="Y1433" s="23"/>
      <c r="Z1433" s="43"/>
      <c r="AA1433" s="23"/>
      <c r="AB1433" s="23"/>
      <c r="AC1433" s="23"/>
      <c r="AD1433" s="23"/>
      <c r="AE1433" s="23"/>
      <c r="AF1433" s="23"/>
      <c r="AG1433" s="23"/>
      <c r="AH1433" s="23"/>
      <c r="AI1433" s="49"/>
    </row>
    <row r="1434" spans="1:35">
      <c r="A1434" s="23"/>
      <c r="B1434" s="42"/>
      <c r="C1434" s="49"/>
      <c r="E1434" s="49"/>
      <c r="G1434" s="43"/>
      <c r="H1434" s="44"/>
      <c r="L1434" s="42"/>
      <c r="M1434" s="42"/>
      <c r="N1434" s="25"/>
      <c r="O1434" s="54"/>
      <c r="P1434"/>
      <c r="Q1434" s="25"/>
      <c r="R1434" s="54"/>
      <c r="W1434" s="23"/>
      <c r="X1434" s="23"/>
      <c r="Y1434" s="23"/>
      <c r="Z1434" s="43"/>
      <c r="AA1434" s="23"/>
      <c r="AB1434" s="23"/>
      <c r="AC1434" s="23"/>
      <c r="AD1434" s="23"/>
      <c r="AE1434" s="23"/>
      <c r="AF1434" s="23"/>
      <c r="AG1434" s="23"/>
      <c r="AH1434" s="23"/>
      <c r="AI1434" s="49"/>
    </row>
    <row r="1435" spans="1:35">
      <c r="A1435" s="23"/>
      <c r="B1435" s="42"/>
      <c r="C1435" s="49"/>
      <c r="E1435" s="49"/>
      <c r="G1435" s="43"/>
      <c r="H1435" s="44"/>
      <c r="L1435" s="42"/>
      <c r="M1435" s="42"/>
      <c r="N1435" s="25"/>
      <c r="O1435" s="54"/>
      <c r="P1435"/>
      <c r="Q1435" s="25"/>
      <c r="R1435" s="54"/>
      <c r="W1435" s="23"/>
      <c r="X1435" s="23"/>
      <c r="Y1435" s="23"/>
      <c r="Z1435" s="43"/>
      <c r="AA1435" s="23"/>
      <c r="AB1435" s="23"/>
      <c r="AC1435" s="23"/>
      <c r="AD1435" s="23"/>
      <c r="AE1435" s="23"/>
      <c r="AF1435" s="23"/>
      <c r="AG1435" s="23"/>
      <c r="AH1435" s="23"/>
      <c r="AI1435" s="49"/>
    </row>
    <row r="1436" spans="1:35">
      <c r="A1436" s="23"/>
      <c r="B1436" s="42"/>
      <c r="C1436" s="49"/>
      <c r="E1436" s="49"/>
      <c r="G1436" s="43"/>
      <c r="H1436" s="44"/>
      <c r="L1436" s="42"/>
      <c r="M1436" s="42"/>
      <c r="N1436" s="25"/>
      <c r="O1436" s="54"/>
      <c r="P1436"/>
      <c r="Q1436" s="25"/>
      <c r="R1436" s="54"/>
      <c r="W1436" s="23"/>
      <c r="X1436" s="23"/>
      <c r="Y1436" s="23"/>
      <c r="Z1436" s="43"/>
      <c r="AA1436" s="23"/>
      <c r="AB1436" s="23"/>
      <c r="AC1436" s="23"/>
      <c r="AD1436" s="23"/>
      <c r="AE1436" s="23"/>
      <c r="AF1436" s="23"/>
      <c r="AG1436" s="23"/>
      <c r="AH1436" s="23"/>
      <c r="AI1436" s="49"/>
    </row>
    <row r="1437" spans="1:35">
      <c r="A1437" s="23"/>
      <c r="B1437" s="42"/>
      <c r="C1437" s="49"/>
      <c r="E1437" s="49"/>
      <c r="G1437" s="43"/>
      <c r="H1437" s="44"/>
      <c r="L1437" s="42"/>
      <c r="M1437" s="42"/>
      <c r="N1437" s="25"/>
      <c r="O1437" s="54"/>
      <c r="P1437"/>
      <c r="Q1437" s="25"/>
      <c r="R1437" s="54"/>
      <c r="W1437" s="23"/>
      <c r="X1437" s="23"/>
      <c r="Y1437" s="23"/>
      <c r="Z1437" s="43"/>
      <c r="AA1437" s="23"/>
      <c r="AB1437" s="23"/>
      <c r="AC1437" s="23"/>
      <c r="AD1437" s="23"/>
      <c r="AE1437" s="23"/>
      <c r="AF1437" s="23"/>
      <c r="AG1437" s="23"/>
      <c r="AH1437" s="23"/>
      <c r="AI1437" s="49"/>
    </row>
    <row r="1438" spans="1:35">
      <c r="A1438" s="23"/>
      <c r="B1438" s="42"/>
      <c r="C1438" s="49"/>
      <c r="E1438" s="49"/>
      <c r="G1438" s="43"/>
      <c r="H1438" s="44"/>
      <c r="L1438" s="42"/>
      <c r="M1438" s="42"/>
      <c r="N1438" s="25"/>
      <c r="O1438" s="54"/>
      <c r="P1438"/>
      <c r="Q1438" s="25"/>
      <c r="R1438" s="54"/>
      <c r="W1438" s="23"/>
      <c r="X1438" s="23"/>
      <c r="Y1438" s="23"/>
      <c r="Z1438" s="43"/>
      <c r="AA1438" s="23"/>
      <c r="AB1438" s="23"/>
      <c r="AC1438" s="23"/>
      <c r="AD1438" s="23"/>
      <c r="AE1438" s="23"/>
      <c r="AF1438" s="23"/>
      <c r="AG1438" s="23"/>
      <c r="AH1438" s="23"/>
      <c r="AI1438" s="49"/>
    </row>
    <row r="1439" spans="1:35">
      <c r="A1439" s="23"/>
      <c r="B1439" s="42"/>
      <c r="C1439" s="49"/>
      <c r="E1439" s="49"/>
      <c r="G1439" s="43"/>
      <c r="H1439" s="44"/>
      <c r="L1439" s="42"/>
      <c r="M1439" s="42"/>
      <c r="N1439" s="25"/>
      <c r="O1439" s="54"/>
      <c r="P1439"/>
      <c r="Q1439" s="25"/>
      <c r="R1439" s="54"/>
      <c r="W1439" s="23"/>
      <c r="X1439" s="23"/>
      <c r="Y1439" s="23"/>
      <c r="Z1439" s="43"/>
      <c r="AA1439" s="23"/>
      <c r="AB1439" s="23"/>
      <c r="AC1439" s="23"/>
      <c r="AD1439" s="23"/>
      <c r="AE1439" s="23"/>
      <c r="AF1439" s="23"/>
      <c r="AG1439" s="23"/>
      <c r="AH1439" s="23"/>
      <c r="AI1439" s="49"/>
    </row>
    <row r="1440" spans="1:35">
      <c r="A1440" s="23"/>
      <c r="B1440" s="42"/>
      <c r="C1440" s="49"/>
      <c r="E1440" s="49"/>
      <c r="G1440" s="43"/>
      <c r="H1440" s="44"/>
      <c r="L1440" s="42"/>
      <c r="M1440" s="42"/>
      <c r="N1440" s="25"/>
      <c r="O1440" s="54"/>
      <c r="P1440"/>
      <c r="Q1440" s="25"/>
      <c r="R1440" s="54"/>
      <c r="W1440" s="23"/>
      <c r="X1440" s="23"/>
      <c r="Y1440" s="23"/>
      <c r="Z1440" s="43"/>
      <c r="AA1440" s="23"/>
      <c r="AB1440" s="23"/>
      <c r="AC1440" s="23"/>
      <c r="AD1440" s="23"/>
      <c r="AE1440" s="23"/>
      <c r="AF1440" s="23"/>
      <c r="AG1440" s="23"/>
      <c r="AH1440" s="23"/>
      <c r="AI1440" s="49"/>
    </row>
    <row r="1441" spans="1:35">
      <c r="A1441" s="23"/>
      <c r="B1441" s="42"/>
      <c r="C1441" s="49"/>
      <c r="E1441" s="49"/>
      <c r="G1441" s="43"/>
      <c r="H1441" s="44"/>
      <c r="L1441" s="42"/>
      <c r="M1441" s="42"/>
      <c r="N1441" s="25"/>
      <c r="O1441" s="54"/>
      <c r="P1441"/>
      <c r="Q1441" s="25"/>
      <c r="R1441" s="54"/>
      <c r="W1441" s="23"/>
      <c r="X1441" s="23"/>
      <c r="Y1441" s="23"/>
      <c r="Z1441" s="43"/>
      <c r="AA1441" s="23"/>
      <c r="AB1441" s="23"/>
      <c r="AC1441" s="23"/>
      <c r="AD1441" s="23"/>
      <c r="AE1441" s="23"/>
      <c r="AF1441" s="23"/>
      <c r="AG1441" s="23"/>
      <c r="AH1441" s="23"/>
      <c r="AI1441" s="49"/>
    </row>
    <row r="1442" spans="1:35">
      <c r="A1442" s="23"/>
      <c r="B1442" s="42"/>
      <c r="C1442" s="49"/>
      <c r="E1442" s="49"/>
      <c r="G1442" s="43"/>
      <c r="H1442" s="44"/>
      <c r="L1442" s="42"/>
      <c r="M1442" s="42"/>
      <c r="N1442" s="25"/>
      <c r="O1442" s="54"/>
      <c r="P1442"/>
      <c r="Q1442" s="25"/>
      <c r="R1442" s="54"/>
      <c r="W1442" s="23"/>
      <c r="X1442" s="23"/>
      <c r="Y1442" s="23"/>
      <c r="Z1442" s="43"/>
      <c r="AA1442" s="23"/>
      <c r="AB1442" s="23"/>
      <c r="AC1442" s="23"/>
      <c r="AD1442" s="23"/>
      <c r="AE1442" s="23"/>
      <c r="AF1442" s="23"/>
      <c r="AG1442" s="23"/>
      <c r="AH1442" s="23"/>
      <c r="AI1442" s="49"/>
    </row>
    <row r="1443" spans="1:35">
      <c r="A1443" s="23"/>
      <c r="B1443" s="42"/>
      <c r="C1443" s="49"/>
      <c r="E1443" s="49"/>
      <c r="G1443" s="43"/>
      <c r="H1443" s="44"/>
      <c r="L1443" s="42"/>
      <c r="M1443" s="42"/>
      <c r="N1443" s="25"/>
      <c r="O1443" s="54"/>
      <c r="P1443"/>
      <c r="Q1443" s="25"/>
      <c r="R1443" s="54"/>
      <c r="W1443" s="23"/>
      <c r="X1443" s="23"/>
      <c r="Y1443" s="23"/>
      <c r="Z1443" s="43"/>
      <c r="AA1443" s="23"/>
      <c r="AB1443" s="23"/>
      <c r="AC1443" s="23"/>
      <c r="AD1443" s="23"/>
      <c r="AE1443" s="23"/>
      <c r="AF1443" s="23"/>
      <c r="AG1443" s="23"/>
      <c r="AH1443" s="23"/>
      <c r="AI1443" s="49"/>
    </row>
    <row r="1444" spans="1:35">
      <c r="A1444" s="23"/>
      <c r="B1444" s="42"/>
      <c r="C1444" s="49"/>
      <c r="E1444" s="49"/>
      <c r="G1444" s="43"/>
      <c r="H1444" s="44"/>
      <c r="L1444" s="42"/>
      <c r="M1444" s="42"/>
      <c r="N1444" s="25"/>
      <c r="O1444" s="54"/>
      <c r="P1444"/>
      <c r="Q1444" s="25"/>
      <c r="R1444" s="54"/>
      <c r="W1444" s="23"/>
      <c r="X1444" s="23"/>
      <c r="Y1444" s="23"/>
      <c r="Z1444" s="43"/>
      <c r="AA1444" s="23"/>
      <c r="AB1444" s="23"/>
      <c r="AC1444" s="23"/>
      <c r="AD1444" s="23"/>
      <c r="AE1444" s="23"/>
      <c r="AF1444" s="23"/>
      <c r="AG1444" s="23"/>
      <c r="AH1444" s="23"/>
      <c r="AI1444" s="49"/>
    </row>
    <row r="1445" spans="1:35">
      <c r="A1445" s="23"/>
      <c r="B1445" s="42"/>
      <c r="C1445" s="49"/>
      <c r="E1445" s="49"/>
      <c r="G1445" s="43"/>
      <c r="H1445" s="44"/>
      <c r="L1445" s="42"/>
      <c r="M1445" s="42"/>
      <c r="N1445" s="25"/>
      <c r="O1445" s="54"/>
      <c r="P1445"/>
      <c r="Q1445" s="25"/>
      <c r="R1445" s="54"/>
      <c r="W1445" s="23"/>
      <c r="X1445" s="23"/>
      <c r="Y1445" s="23"/>
      <c r="Z1445" s="43"/>
      <c r="AA1445" s="23"/>
      <c r="AB1445" s="23"/>
      <c r="AC1445" s="23"/>
      <c r="AD1445" s="23"/>
      <c r="AE1445" s="23"/>
      <c r="AF1445" s="23"/>
      <c r="AG1445" s="23"/>
      <c r="AH1445" s="23"/>
      <c r="AI1445" s="49"/>
    </row>
    <row r="1446" spans="1:35">
      <c r="A1446" s="23"/>
      <c r="B1446" s="42"/>
      <c r="C1446" s="49"/>
      <c r="E1446" s="49"/>
      <c r="G1446" s="43"/>
      <c r="H1446" s="44"/>
      <c r="L1446" s="42"/>
      <c r="M1446" s="42"/>
      <c r="N1446" s="25"/>
      <c r="O1446" s="54"/>
      <c r="P1446"/>
      <c r="Q1446" s="25"/>
      <c r="R1446" s="54"/>
      <c r="W1446" s="23"/>
      <c r="X1446" s="23"/>
      <c r="Y1446" s="23"/>
      <c r="Z1446" s="43"/>
      <c r="AA1446" s="23"/>
      <c r="AB1446" s="23"/>
      <c r="AC1446" s="23"/>
      <c r="AD1446" s="23"/>
      <c r="AE1446" s="23"/>
      <c r="AF1446" s="23"/>
      <c r="AG1446" s="23"/>
      <c r="AH1446" s="23"/>
      <c r="AI1446" s="49"/>
    </row>
    <row r="1447" spans="1:35">
      <c r="A1447" s="23"/>
      <c r="B1447" s="42"/>
      <c r="C1447" s="49"/>
      <c r="E1447" s="49"/>
      <c r="G1447" s="43"/>
      <c r="H1447" s="44"/>
      <c r="L1447" s="42"/>
      <c r="M1447" s="42"/>
      <c r="N1447" s="25"/>
      <c r="O1447" s="54"/>
      <c r="P1447"/>
      <c r="Q1447" s="25"/>
      <c r="R1447" s="54"/>
      <c r="W1447" s="23"/>
      <c r="X1447" s="23"/>
      <c r="Y1447" s="23"/>
      <c r="Z1447" s="43"/>
      <c r="AA1447" s="23"/>
      <c r="AB1447" s="23"/>
      <c r="AC1447" s="23"/>
      <c r="AD1447" s="23"/>
      <c r="AE1447" s="23"/>
      <c r="AF1447" s="23"/>
      <c r="AG1447" s="23"/>
      <c r="AH1447" s="23"/>
      <c r="AI1447" s="49"/>
    </row>
    <row r="1448" spans="1:35">
      <c r="A1448" s="23"/>
      <c r="B1448" s="42"/>
      <c r="C1448" s="49"/>
      <c r="E1448" s="49"/>
      <c r="G1448" s="43"/>
      <c r="H1448" s="44"/>
      <c r="L1448" s="42"/>
      <c r="M1448" s="42"/>
      <c r="N1448" s="25"/>
      <c r="O1448" s="54"/>
      <c r="P1448"/>
      <c r="Q1448" s="25"/>
      <c r="R1448" s="54"/>
      <c r="W1448" s="23"/>
      <c r="X1448" s="23"/>
      <c r="Y1448" s="23"/>
      <c r="Z1448" s="43"/>
      <c r="AA1448" s="23"/>
      <c r="AB1448" s="23"/>
      <c r="AC1448" s="23"/>
      <c r="AD1448" s="23"/>
      <c r="AE1448" s="23"/>
      <c r="AF1448" s="23"/>
      <c r="AG1448" s="23"/>
      <c r="AH1448" s="23"/>
      <c r="AI1448" s="49"/>
    </row>
    <row r="1449" spans="1:35">
      <c r="A1449" s="23"/>
      <c r="B1449" s="42"/>
      <c r="C1449" s="49"/>
      <c r="E1449" s="49"/>
      <c r="G1449" s="43"/>
      <c r="H1449" s="44"/>
      <c r="L1449" s="42"/>
      <c r="M1449" s="42"/>
      <c r="N1449" s="25"/>
      <c r="O1449" s="54"/>
      <c r="P1449"/>
      <c r="Q1449" s="25"/>
      <c r="R1449" s="54"/>
      <c r="W1449" s="23"/>
      <c r="X1449" s="23"/>
      <c r="Y1449" s="23"/>
      <c r="Z1449" s="43"/>
      <c r="AA1449" s="23"/>
      <c r="AB1449" s="23"/>
      <c r="AC1449" s="23"/>
      <c r="AD1449" s="23"/>
      <c r="AE1449" s="23"/>
      <c r="AF1449" s="23"/>
      <c r="AG1449" s="23"/>
      <c r="AH1449" s="23"/>
      <c r="AI1449" s="49"/>
    </row>
    <row r="1450" spans="1:35">
      <c r="A1450" s="23"/>
      <c r="B1450" s="42"/>
      <c r="C1450" s="49"/>
      <c r="E1450" s="49"/>
      <c r="G1450" s="43"/>
      <c r="H1450" s="44"/>
      <c r="L1450" s="42"/>
      <c r="M1450" s="42"/>
      <c r="N1450" s="25"/>
      <c r="O1450" s="54"/>
      <c r="P1450"/>
      <c r="Q1450" s="25"/>
      <c r="R1450" s="54"/>
      <c r="W1450" s="23"/>
      <c r="X1450" s="23"/>
      <c r="Y1450" s="23"/>
      <c r="Z1450" s="43"/>
      <c r="AA1450" s="23"/>
      <c r="AB1450" s="23"/>
      <c r="AC1450" s="23"/>
      <c r="AD1450" s="23"/>
      <c r="AE1450" s="23"/>
      <c r="AF1450" s="23"/>
      <c r="AG1450" s="23"/>
      <c r="AH1450" s="23"/>
      <c r="AI1450" s="49"/>
    </row>
    <row r="1451" spans="1:35">
      <c r="A1451" s="23"/>
      <c r="B1451" s="42"/>
      <c r="C1451" s="49"/>
      <c r="E1451" s="49"/>
      <c r="G1451" s="43"/>
      <c r="H1451" s="44"/>
      <c r="L1451" s="42"/>
      <c r="M1451" s="42"/>
      <c r="N1451" s="25"/>
      <c r="O1451" s="54"/>
      <c r="P1451"/>
      <c r="Q1451" s="25"/>
      <c r="R1451" s="54"/>
      <c r="W1451" s="23"/>
      <c r="X1451" s="23"/>
      <c r="Y1451" s="23"/>
      <c r="Z1451" s="43"/>
      <c r="AA1451" s="23"/>
      <c r="AB1451" s="23"/>
      <c r="AC1451" s="23"/>
      <c r="AD1451" s="23"/>
      <c r="AE1451" s="23"/>
      <c r="AF1451" s="23"/>
      <c r="AG1451" s="23"/>
      <c r="AH1451" s="23"/>
      <c r="AI1451" s="49"/>
    </row>
    <row r="1452" spans="1:35">
      <c r="A1452" s="23"/>
      <c r="B1452" s="42"/>
      <c r="C1452" s="49"/>
      <c r="E1452" s="49"/>
      <c r="G1452" s="43"/>
      <c r="H1452" s="44"/>
      <c r="L1452" s="42"/>
      <c r="M1452" s="42"/>
      <c r="N1452" s="25"/>
      <c r="O1452" s="54"/>
      <c r="P1452"/>
      <c r="Q1452" s="25"/>
      <c r="R1452" s="54"/>
      <c r="W1452" s="23"/>
      <c r="X1452" s="23"/>
      <c r="Y1452" s="23"/>
      <c r="Z1452" s="43"/>
      <c r="AA1452" s="23"/>
      <c r="AB1452" s="23"/>
      <c r="AC1452" s="23"/>
      <c r="AD1452" s="23"/>
      <c r="AE1452" s="23"/>
      <c r="AF1452" s="23"/>
      <c r="AG1452" s="23"/>
      <c r="AH1452" s="23"/>
      <c r="AI1452" s="49"/>
    </row>
    <row r="1453" spans="1:35">
      <c r="A1453" s="23"/>
      <c r="B1453" s="42"/>
      <c r="C1453" s="49"/>
      <c r="E1453" s="49"/>
      <c r="G1453" s="43"/>
      <c r="H1453" s="44"/>
      <c r="L1453" s="42"/>
      <c r="M1453" s="42"/>
      <c r="N1453" s="25"/>
      <c r="O1453" s="54"/>
      <c r="P1453"/>
      <c r="Q1453" s="25"/>
      <c r="R1453" s="54"/>
      <c r="W1453" s="23"/>
      <c r="X1453" s="23"/>
      <c r="Y1453" s="23"/>
      <c r="Z1453" s="43"/>
      <c r="AA1453" s="23"/>
      <c r="AB1453" s="23"/>
      <c r="AC1453" s="23"/>
      <c r="AD1453" s="23"/>
      <c r="AE1453" s="23"/>
      <c r="AF1453" s="23"/>
      <c r="AG1453" s="23"/>
      <c r="AH1453" s="23"/>
      <c r="AI1453" s="49"/>
    </row>
    <row r="1454" spans="1:35">
      <c r="A1454" s="23"/>
      <c r="B1454" s="42"/>
      <c r="C1454" s="49"/>
      <c r="E1454" s="49"/>
      <c r="G1454" s="43"/>
      <c r="H1454" s="44"/>
      <c r="L1454" s="42"/>
      <c r="M1454" s="42"/>
      <c r="N1454" s="25"/>
      <c r="O1454" s="54"/>
      <c r="P1454"/>
      <c r="Q1454" s="25"/>
      <c r="R1454" s="54"/>
      <c r="W1454" s="23"/>
      <c r="X1454" s="23"/>
      <c r="Y1454" s="23"/>
      <c r="Z1454" s="43"/>
      <c r="AA1454" s="23"/>
      <c r="AB1454" s="23"/>
      <c r="AC1454" s="23"/>
      <c r="AD1454" s="23"/>
      <c r="AE1454" s="23"/>
      <c r="AF1454" s="23"/>
      <c r="AG1454" s="23"/>
      <c r="AH1454" s="23"/>
      <c r="AI1454" s="49"/>
    </row>
    <row r="1455" spans="1:35">
      <c r="A1455" s="23"/>
      <c r="B1455" s="42"/>
      <c r="C1455" s="49"/>
      <c r="E1455" s="49"/>
      <c r="G1455" s="43"/>
      <c r="H1455" s="44"/>
      <c r="L1455" s="42"/>
      <c r="M1455" s="42"/>
      <c r="N1455" s="25"/>
      <c r="O1455" s="54"/>
      <c r="P1455"/>
      <c r="Q1455" s="25"/>
      <c r="R1455" s="54"/>
      <c r="W1455" s="23"/>
      <c r="X1455" s="23"/>
      <c r="Y1455" s="23"/>
      <c r="Z1455" s="43"/>
      <c r="AA1455" s="23"/>
      <c r="AB1455" s="23"/>
      <c r="AC1455" s="23"/>
      <c r="AD1455" s="23"/>
      <c r="AE1455" s="23"/>
      <c r="AF1455" s="23"/>
      <c r="AG1455" s="23"/>
      <c r="AH1455" s="23"/>
      <c r="AI1455" s="49"/>
    </row>
    <row r="1456" spans="1:35">
      <c r="A1456" s="23"/>
      <c r="B1456" s="42"/>
      <c r="C1456" s="49"/>
      <c r="E1456" s="49"/>
      <c r="G1456" s="43"/>
      <c r="H1456" s="44"/>
      <c r="L1456" s="42"/>
      <c r="M1456" s="42"/>
      <c r="N1456" s="25"/>
      <c r="O1456" s="54"/>
      <c r="P1456"/>
      <c r="Q1456" s="25"/>
      <c r="R1456" s="54"/>
      <c r="W1456" s="23"/>
      <c r="X1456" s="23"/>
      <c r="Y1456" s="23"/>
      <c r="Z1456" s="43"/>
      <c r="AA1456" s="23"/>
      <c r="AB1456" s="23"/>
      <c r="AC1456" s="23"/>
      <c r="AD1456" s="23"/>
      <c r="AE1456" s="23"/>
      <c r="AF1456" s="23"/>
      <c r="AG1456" s="23"/>
      <c r="AH1456" s="23"/>
      <c r="AI1456" s="49"/>
    </row>
    <row r="1457" spans="1:35">
      <c r="A1457" s="23"/>
      <c r="B1457" s="42"/>
      <c r="C1457" s="49"/>
      <c r="E1457" s="49"/>
      <c r="G1457" s="43"/>
      <c r="H1457" s="44"/>
      <c r="L1457" s="42"/>
      <c r="M1457" s="42"/>
      <c r="N1457" s="25"/>
      <c r="O1457" s="54"/>
      <c r="P1457"/>
      <c r="Q1457" s="25"/>
      <c r="R1457" s="54"/>
      <c r="W1457" s="23"/>
      <c r="X1457" s="23"/>
      <c r="Y1457" s="23"/>
      <c r="Z1457" s="43"/>
      <c r="AA1457" s="23"/>
      <c r="AB1457" s="23"/>
      <c r="AC1457" s="23"/>
      <c r="AD1457" s="23"/>
      <c r="AE1457" s="23"/>
      <c r="AF1457" s="23"/>
      <c r="AG1457" s="23"/>
      <c r="AH1457" s="23"/>
      <c r="AI1457" s="49"/>
    </row>
    <row r="1458" spans="1:35">
      <c r="A1458" s="23"/>
      <c r="B1458" s="42"/>
      <c r="C1458" s="49"/>
      <c r="E1458" s="49"/>
      <c r="G1458" s="43"/>
      <c r="H1458" s="44"/>
      <c r="L1458" s="42"/>
      <c r="M1458" s="42"/>
      <c r="N1458" s="25"/>
      <c r="O1458" s="54"/>
      <c r="P1458"/>
      <c r="Q1458" s="25"/>
      <c r="R1458" s="54"/>
      <c r="W1458" s="23"/>
      <c r="X1458" s="23"/>
      <c r="Y1458" s="23"/>
      <c r="Z1458" s="43"/>
      <c r="AA1458" s="23"/>
      <c r="AB1458" s="23"/>
      <c r="AC1458" s="23"/>
      <c r="AD1458" s="23"/>
      <c r="AE1458" s="23"/>
      <c r="AF1458" s="23"/>
      <c r="AG1458" s="23"/>
      <c r="AH1458" s="23"/>
      <c r="AI1458" s="49"/>
    </row>
    <row r="1459" spans="1:35">
      <c r="A1459" s="23"/>
      <c r="B1459" s="42"/>
      <c r="C1459" s="49"/>
      <c r="E1459" s="49"/>
      <c r="G1459" s="43"/>
      <c r="H1459" s="44"/>
      <c r="L1459" s="42"/>
      <c r="M1459" s="42"/>
      <c r="N1459" s="25"/>
      <c r="O1459" s="54"/>
      <c r="P1459"/>
      <c r="Q1459" s="25"/>
      <c r="R1459" s="54"/>
      <c r="W1459" s="23"/>
      <c r="X1459" s="23"/>
      <c r="Y1459" s="23"/>
      <c r="Z1459" s="43"/>
      <c r="AA1459" s="23"/>
      <c r="AB1459" s="23"/>
      <c r="AC1459" s="23"/>
      <c r="AD1459" s="23"/>
      <c r="AE1459" s="23"/>
      <c r="AF1459" s="23"/>
      <c r="AG1459" s="23"/>
      <c r="AH1459" s="23"/>
      <c r="AI1459" s="49"/>
    </row>
    <row r="1460" spans="1:35">
      <c r="A1460" s="23"/>
      <c r="B1460" s="42"/>
      <c r="C1460" s="49"/>
      <c r="E1460" s="49"/>
      <c r="G1460" s="43"/>
      <c r="H1460" s="44"/>
      <c r="L1460" s="42"/>
      <c r="M1460" s="42"/>
      <c r="N1460" s="25"/>
      <c r="O1460" s="54"/>
      <c r="P1460"/>
      <c r="Q1460" s="25"/>
      <c r="R1460" s="54"/>
      <c r="W1460" s="23"/>
      <c r="X1460" s="23"/>
      <c r="Y1460" s="23"/>
      <c r="Z1460" s="43"/>
      <c r="AA1460" s="23"/>
      <c r="AB1460" s="23"/>
      <c r="AC1460" s="23"/>
      <c r="AD1460" s="23"/>
      <c r="AE1460" s="23"/>
      <c r="AF1460" s="23"/>
      <c r="AG1460" s="23"/>
      <c r="AH1460" s="23"/>
      <c r="AI1460" s="49"/>
    </row>
    <row r="1461" spans="1:35">
      <c r="A1461" s="23"/>
      <c r="B1461" s="42"/>
      <c r="C1461" s="49"/>
      <c r="E1461" s="49"/>
      <c r="G1461" s="43"/>
      <c r="H1461" s="44"/>
      <c r="L1461" s="42"/>
      <c r="M1461" s="42"/>
      <c r="N1461" s="25"/>
      <c r="O1461" s="54"/>
      <c r="P1461"/>
      <c r="Q1461" s="25"/>
      <c r="R1461" s="54"/>
      <c r="W1461" s="23"/>
      <c r="X1461" s="23"/>
      <c r="Y1461" s="23"/>
      <c r="Z1461" s="43"/>
      <c r="AA1461" s="23"/>
      <c r="AB1461" s="23"/>
      <c r="AC1461" s="23"/>
      <c r="AD1461" s="23"/>
      <c r="AE1461" s="23"/>
      <c r="AF1461" s="23"/>
      <c r="AG1461" s="23"/>
      <c r="AH1461" s="23"/>
      <c r="AI1461" s="49"/>
    </row>
    <row r="1462" spans="1:35">
      <c r="A1462" s="23"/>
      <c r="B1462" s="42"/>
      <c r="C1462" s="49"/>
      <c r="E1462" s="49"/>
      <c r="G1462" s="43"/>
      <c r="H1462" s="44"/>
      <c r="L1462" s="42"/>
      <c r="M1462" s="42"/>
      <c r="N1462" s="25"/>
      <c r="O1462" s="54"/>
      <c r="P1462"/>
      <c r="Q1462" s="25"/>
      <c r="R1462" s="54"/>
      <c r="W1462" s="23"/>
      <c r="X1462" s="23"/>
      <c r="Y1462" s="23"/>
      <c r="Z1462" s="43"/>
      <c r="AA1462" s="23"/>
      <c r="AB1462" s="23"/>
      <c r="AC1462" s="23"/>
      <c r="AD1462" s="23"/>
      <c r="AE1462" s="23"/>
      <c r="AF1462" s="23"/>
      <c r="AG1462" s="23"/>
      <c r="AH1462" s="23"/>
      <c r="AI1462" s="49"/>
    </row>
    <row r="1463" spans="1:35">
      <c r="A1463" s="23"/>
      <c r="B1463" s="42"/>
      <c r="C1463" s="49"/>
      <c r="E1463" s="49"/>
      <c r="G1463" s="43"/>
      <c r="H1463" s="44"/>
      <c r="L1463" s="42"/>
      <c r="M1463" s="42"/>
      <c r="N1463" s="25"/>
      <c r="O1463" s="54"/>
      <c r="P1463"/>
      <c r="Q1463" s="25"/>
      <c r="R1463" s="54"/>
      <c r="W1463" s="23"/>
      <c r="X1463" s="23"/>
      <c r="Y1463" s="23"/>
      <c r="Z1463" s="43"/>
      <c r="AA1463" s="23"/>
      <c r="AB1463" s="23"/>
      <c r="AC1463" s="23"/>
      <c r="AD1463" s="23"/>
      <c r="AE1463" s="23"/>
      <c r="AF1463" s="23"/>
      <c r="AG1463" s="23"/>
      <c r="AH1463" s="23"/>
      <c r="AI1463" s="49"/>
    </row>
    <row r="1464" spans="1:35">
      <c r="A1464" s="23"/>
      <c r="B1464" s="42"/>
      <c r="C1464" s="49"/>
      <c r="E1464" s="49"/>
      <c r="G1464" s="43"/>
      <c r="H1464" s="44"/>
      <c r="L1464" s="42"/>
      <c r="M1464" s="42"/>
      <c r="N1464" s="25"/>
      <c r="O1464" s="54"/>
      <c r="P1464"/>
      <c r="Q1464" s="25"/>
      <c r="R1464" s="54"/>
      <c r="W1464" s="23"/>
      <c r="X1464" s="23"/>
      <c r="Y1464" s="23"/>
      <c r="Z1464" s="43"/>
      <c r="AA1464" s="23"/>
      <c r="AB1464" s="23"/>
      <c r="AC1464" s="23"/>
      <c r="AD1464" s="23"/>
      <c r="AE1464" s="23"/>
      <c r="AF1464" s="23"/>
      <c r="AG1464" s="23"/>
      <c r="AH1464" s="23"/>
      <c r="AI1464" s="49"/>
    </row>
    <row r="1465" spans="1:35">
      <c r="A1465" s="23"/>
      <c r="B1465" s="42"/>
      <c r="C1465" s="49"/>
      <c r="E1465" s="49"/>
      <c r="G1465" s="43"/>
      <c r="H1465" s="44"/>
      <c r="L1465" s="42"/>
      <c r="M1465" s="42"/>
      <c r="N1465" s="25"/>
      <c r="O1465" s="54"/>
      <c r="P1465"/>
      <c r="Q1465" s="25"/>
      <c r="R1465" s="54"/>
      <c r="W1465" s="23"/>
      <c r="X1465" s="23"/>
      <c r="Y1465" s="23"/>
      <c r="Z1465" s="43"/>
      <c r="AA1465" s="23"/>
      <c r="AB1465" s="23"/>
      <c r="AC1465" s="23"/>
      <c r="AD1465" s="23"/>
      <c r="AE1465" s="23"/>
      <c r="AF1465" s="23"/>
      <c r="AG1465" s="23"/>
      <c r="AH1465" s="23"/>
      <c r="AI1465" s="49"/>
    </row>
    <row r="1466" spans="1:35">
      <c r="A1466" s="23"/>
      <c r="B1466" s="42"/>
      <c r="C1466" s="49"/>
      <c r="E1466" s="49"/>
      <c r="G1466" s="43"/>
      <c r="H1466" s="44"/>
      <c r="L1466" s="42"/>
      <c r="M1466" s="42"/>
      <c r="N1466" s="25"/>
      <c r="O1466" s="54"/>
      <c r="P1466"/>
      <c r="Q1466" s="25"/>
      <c r="R1466" s="54"/>
      <c r="W1466" s="23"/>
      <c r="X1466" s="23"/>
      <c r="Y1466" s="23"/>
      <c r="Z1466" s="43"/>
      <c r="AA1466" s="23"/>
      <c r="AB1466" s="23"/>
      <c r="AC1466" s="23"/>
      <c r="AD1466" s="23"/>
      <c r="AE1466" s="23"/>
      <c r="AF1466" s="23"/>
      <c r="AG1466" s="23"/>
      <c r="AH1466" s="23"/>
      <c r="AI1466" s="49"/>
    </row>
    <row r="1467" spans="1:35">
      <c r="A1467" s="23"/>
      <c r="B1467" s="42"/>
      <c r="C1467" s="49"/>
      <c r="E1467" s="49"/>
      <c r="G1467" s="43"/>
      <c r="H1467" s="44"/>
      <c r="L1467" s="42"/>
      <c r="M1467" s="42"/>
      <c r="N1467" s="25"/>
      <c r="O1467" s="54"/>
      <c r="P1467"/>
      <c r="Q1467" s="25"/>
      <c r="R1467" s="54"/>
      <c r="W1467" s="23"/>
      <c r="X1467" s="23"/>
      <c r="Y1467" s="23"/>
      <c r="Z1467" s="43"/>
      <c r="AA1467" s="23"/>
      <c r="AB1467" s="23"/>
      <c r="AC1467" s="23"/>
      <c r="AD1467" s="23"/>
      <c r="AE1467" s="23"/>
      <c r="AF1467" s="23"/>
      <c r="AG1467" s="23"/>
      <c r="AH1467" s="23"/>
      <c r="AI1467" s="49"/>
    </row>
    <row r="1468" spans="1:35">
      <c r="A1468" s="23"/>
      <c r="B1468" s="42"/>
      <c r="C1468" s="49"/>
      <c r="E1468" s="49"/>
      <c r="G1468" s="43"/>
      <c r="H1468" s="44"/>
      <c r="L1468" s="42"/>
      <c r="M1468" s="42"/>
      <c r="N1468" s="25"/>
      <c r="O1468" s="54"/>
      <c r="P1468"/>
      <c r="Q1468" s="25"/>
      <c r="R1468" s="54"/>
      <c r="W1468" s="23"/>
      <c r="X1468" s="23"/>
      <c r="Y1468" s="23"/>
      <c r="Z1468" s="43"/>
      <c r="AA1468" s="23"/>
      <c r="AB1468" s="23"/>
      <c r="AC1468" s="23"/>
      <c r="AD1468" s="23"/>
      <c r="AE1468" s="23"/>
      <c r="AF1468" s="23"/>
      <c r="AG1468" s="23"/>
      <c r="AH1468" s="23"/>
      <c r="AI1468" s="49"/>
    </row>
    <row r="1469" spans="1:35">
      <c r="A1469" s="23"/>
      <c r="B1469" s="42"/>
      <c r="C1469" s="49"/>
      <c r="E1469" s="49"/>
      <c r="G1469" s="43"/>
      <c r="H1469" s="44"/>
      <c r="L1469" s="42"/>
      <c r="M1469" s="42"/>
      <c r="N1469" s="25"/>
      <c r="O1469" s="54"/>
      <c r="P1469"/>
      <c r="Q1469" s="25"/>
      <c r="R1469" s="54"/>
      <c r="W1469" s="23"/>
      <c r="X1469" s="23"/>
      <c r="Y1469" s="23"/>
      <c r="Z1469" s="43"/>
      <c r="AA1469" s="23"/>
      <c r="AB1469" s="23"/>
      <c r="AC1469" s="23"/>
      <c r="AD1469" s="23"/>
      <c r="AE1469" s="23"/>
      <c r="AF1469" s="23"/>
      <c r="AG1469" s="23"/>
      <c r="AH1469" s="23"/>
      <c r="AI1469" s="49"/>
    </row>
    <row r="1470" spans="1:35">
      <c r="A1470" s="23"/>
      <c r="B1470" s="42"/>
      <c r="C1470" s="49"/>
      <c r="E1470" s="49"/>
      <c r="G1470" s="43"/>
      <c r="H1470" s="44"/>
      <c r="L1470" s="42"/>
      <c r="M1470" s="42"/>
      <c r="N1470" s="25"/>
      <c r="O1470" s="54"/>
      <c r="P1470"/>
      <c r="Q1470" s="25"/>
      <c r="R1470" s="54"/>
      <c r="W1470" s="23"/>
      <c r="X1470" s="23"/>
      <c r="Y1470" s="23"/>
      <c r="Z1470" s="43"/>
      <c r="AA1470" s="23"/>
      <c r="AB1470" s="23"/>
      <c r="AC1470" s="23"/>
      <c r="AD1470" s="23"/>
      <c r="AE1470" s="23"/>
      <c r="AF1470" s="23"/>
      <c r="AG1470" s="23"/>
      <c r="AH1470" s="23"/>
      <c r="AI1470" s="49"/>
    </row>
    <row r="1471" spans="1:35">
      <c r="A1471" s="23"/>
      <c r="B1471" s="42"/>
      <c r="C1471" s="49"/>
      <c r="E1471" s="49"/>
      <c r="G1471" s="43"/>
      <c r="H1471" s="44"/>
      <c r="L1471" s="42"/>
      <c r="M1471" s="42"/>
      <c r="N1471" s="25"/>
      <c r="O1471" s="54"/>
      <c r="P1471"/>
      <c r="Q1471" s="25"/>
      <c r="R1471" s="54"/>
      <c r="W1471" s="23"/>
      <c r="X1471" s="23"/>
      <c r="Y1471" s="23"/>
      <c r="Z1471" s="43"/>
      <c r="AA1471" s="23"/>
      <c r="AB1471" s="23"/>
      <c r="AC1471" s="23"/>
      <c r="AD1471" s="23"/>
      <c r="AE1471" s="23"/>
      <c r="AF1471" s="23"/>
      <c r="AG1471" s="23"/>
      <c r="AH1471" s="23"/>
      <c r="AI1471" s="49"/>
    </row>
    <row r="1472" spans="1:35">
      <c r="A1472" s="23"/>
      <c r="B1472" s="42"/>
      <c r="C1472" s="49"/>
      <c r="E1472" s="49"/>
      <c r="G1472" s="43"/>
      <c r="H1472" s="44"/>
      <c r="L1472" s="42"/>
      <c r="M1472" s="42"/>
      <c r="N1472" s="25"/>
      <c r="O1472" s="54"/>
      <c r="P1472"/>
      <c r="Q1472" s="25"/>
      <c r="R1472" s="54"/>
      <c r="W1472" s="23"/>
      <c r="X1472" s="23"/>
      <c r="Y1472" s="23"/>
      <c r="Z1472" s="43"/>
      <c r="AA1472" s="23"/>
      <c r="AB1472" s="23"/>
      <c r="AC1472" s="23"/>
      <c r="AD1472" s="23"/>
      <c r="AE1472" s="23"/>
      <c r="AF1472" s="23"/>
      <c r="AG1472" s="23"/>
      <c r="AH1472" s="23"/>
      <c r="AI1472" s="49"/>
    </row>
    <row r="1473" spans="1:35">
      <c r="A1473" s="23"/>
      <c r="B1473" s="42"/>
      <c r="C1473" s="49"/>
      <c r="E1473" s="49"/>
      <c r="G1473" s="43"/>
      <c r="H1473" s="44"/>
      <c r="L1473" s="42"/>
      <c r="M1473" s="42"/>
      <c r="N1473" s="25"/>
      <c r="O1473" s="54"/>
      <c r="P1473"/>
      <c r="Q1473" s="25"/>
      <c r="R1473" s="54"/>
      <c r="W1473" s="23"/>
      <c r="X1473" s="23"/>
      <c r="Y1473" s="23"/>
      <c r="Z1473" s="43"/>
      <c r="AA1473" s="23"/>
      <c r="AB1473" s="23"/>
      <c r="AC1473" s="23"/>
      <c r="AD1473" s="23"/>
      <c r="AE1473" s="23"/>
      <c r="AF1473" s="23"/>
      <c r="AG1473" s="23"/>
      <c r="AH1473" s="23"/>
      <c r="AI1473" s="49"/>
    </row>
    <row r="1474" spans="1:35">
      <c r="A1474" s="23"/>
      <c r="B1474" s="42"/>
      <c r="C1474" s="49"/>
      <c r="E1474" s="49"/>
      <c r="G1474" s="43"/>
      <c r="H1474" s="44"/>
      <c r="L1474" s="42"/>
      <c r="M1474" s="42"/>
      <c r="N1474" s="25"/>
      <c r="O1474" s="54"/>
      <c r="P1474"/>
      <c r="Q1474" s="25"/>
      <c r="R1474" s="54"/>
      <c r="W1474" s="23"/>
      <c r="X1474" s="23"/>
      <c r="Y1474" s="23"/>
      <c r="Z1474" s="43"/>
      <c r="AA1474" s="23"/>
      <c r="AB1474" s="23"/>
      <c r="AC1474" s="23"/>
      <c r="AD1474" s="23"/>
      <c r="AE1474" s="23"/>
      <c r="AF1474" s="23"/>
      <c r="AG1474" s="23"/>
      <c r="AH1474" s="23"/>
      <c r="AI1474" s="49"/>
    </row>
    <row r="1475" spans="1:35">
      <c r="A1475" s="23"/>
      <c r="B1475" s="42"/>
      <c r="C1475" s="49"/>
      <c r="E1475" s="49"/>
      <c r="G1475" s="43"/>
      <c r="H1475" s="44"/>
      <c r="L1475" s="42"/>
      <c r="M1475" s="42"/>
      <c r="N1475" s="25"/>
      <c r="O1475" s="54"/>
      <c r="P1475"/>
      <c r="Q1475" s="25"/>
      <c r="R1475" s="54"/>
      <c r="W1475" s="23"/>
      <c r="X1475" s="23"/>
      <c r="Y1475" s="23"/>
      <c r="Z1475" s="43"/>
      <c r="AA1475" s="23"/>
      <c r="AB1475" s="23"/>
      <c r="AC1475" s="23"/>
      <c r="AD1475" s="23"/>
      <c r="AE1475" s="23"/>
      <c r="AF1475" s="23"/>
      <c r="AG1475" s="23"/>
      <c r="AH1475" s="23"/>
      <c r="AI1475" s="49"/>
    </row>
    <row r="1476" spans="1:35">
      <c r="A1476" s="23"/>
      <c r="B1476" s="42"/>
      <c r="C1476" s="49"/>
      <c r="E1476" s="49"/>
      <c r="G1476" s="43"/>
      <c r="H1476" s="44"/>
      <c r="L1476" s="42"/>
      <c r="M1476" s="42"/>
      <c r="N1476" s="25"/>
      <c r="O1476" s="54"/>
      <c r="P1476"/>
      <c r="Q1476" s="25"/>
      <c r="R1476" s="54"/>
      <c r="W1476" s="23"/>
      <c r="X1476" s="23"/>
      <c r="Y1476" s="23"/>
      <c r="Z1476" s="43"/>
      <c r="AA1476" s="23"/>
      <c r="AB1476" s="23"/>
      <c r="AC1476" s="23"/>
      <c r="AD1476" s="23"/>
      <c r="AE1476" s="23"/>
      <c r="AF1476" s="23"/>
      <c r="AG1476" s="23"/>
      <c r="AH1476" s="23"/>
      <c r="AI1476" s="49"/>
    </row>
    <row r="1477" spans="1:35">
      <c r="A1477" s="23"/>
      <c r="B1477" s="42"/>
      <c r="C1477" s="49"/>
      <c r="E1477" s="49"/>
      <c r="G1477" s="43"/>
      <c r="H1477" s="44"/>
      <c r="L1477" s="42"/>
      <c r="M1477" s="42"/>
      <c r="N1477" s="25"/>
      <c r="O1477" s="54"/>
      <c r="P1477"/>
      <c r="Q1477" s="25"/>
      <c r="R1477" s="54"/>
      <c r="W1477" s="23"/>
      <c r="X1477" s="23"/>
      <c r="Y1477" s="23"/>
      <c r="Z1477" s="43"/>
      <c r="AA1477" s="23"/>
      <c r="AB1477" s="23"/>
      <c r="AC1477" s="23"/>
      <c r="AD1477" s="23"/>
      <c r="AE1477" s="23"/>
      <c r="AF1477" s="23"/>
      <c r="AG1477" s="23"/>
      <c r="AH1477" s="23"/>
      <c r="AI1477" s="49"/>
    </row>
    <row r="1478" spans="1:35">
      <c r="A1478" s="23"/>
      <c r="B1478" s="42"/>
      <c r="C1478" s="49"/>
      <c r="E1478" s="49"/>
      <c r="G1478" s="43"/>
      <c r="H1478" s="44"/>
      <c r="L1478" s="42"/>
      <c r="M1478" s="42"/>
      <c r="N1478" s="25"/>
      <c r="O1478" s="54"/>
      <c r="P1478"/>
      <c r="Q1478" s="25"/>
      <c r="R1478" s="54"/>
      <c r="W1478" s="23"/>
      <c r="X1478" s="23"/>
      <c r="Y1478" s="23"/>
      <c r="Z1478" s="43"/>
      <c r="AA1478" s="23"/>
      <c r="AB1478" s="23"/>
      <c r="AC1478" s="23"/>
      <c r="AD1478" s="23"/>
      <c r="AE1478" s="23"/>
      <c r="AF1478" s="23"/>
      <c r="AG1478" s="23"/>
      <c r="AH1478" s="23"/>
      <c r="AI1478" s="49"/>
    </row>
    <row r="1479" spans="1:35">
      <c r="A1479" s="23"/>
      <c r="B1479" s="42"/>
      <c r="C1479" s="49"/>
      <c r="E1479" s="49"/>
      <c r="G1479" s="43"/>
      <c r="H1479" s="44"/>
      <c r="L1479" s="42"/>
      <c r="M1479" s="42"/>
      <c r="N1479" s="25"/>
      <c r="O1479" s="54"/>
      <c r="P1479"/>
      <c r="Q1479" s="25"/>
      <c r="R1479" s="54"/>
      <c r="W1479" s="23"/>
      <c r="X1479" s="23"/>
      <c r="Y1479" s="23"/>
      <c r="Z1479" s="43"/>
      <c r="AA1479" s="23"/>
      <c r="AB1479" s="23"/>
      <c r="AC1479" s="23"/>
      <c r="AD1479" s="23"/>
      <c r="AE1479" s="23"/>
      <c r="AF1479" s="23"/>
      <c r="AG1479" s="23"/>
      <c r="AH1479" s="23"/>
      <c r="AI1479" s="49"/>
    </row>
    <row r="1480" spans="1:35">
      <c r="A1480" s="23"/>
      <c r="B1480" s="42"/>
      <c r="C1480" s="49"/>
      <c r="E1480" s="49"/>
      <c r="G1480" s="43"/>
      <c r="H1480" s="44"/>
      <c r="L1480" s="42"/>
      <c r="M1480" s="42"/>
      <c r="N1480" s="25"/>
      <c r="O1480" s="54"/>
      <c r="P1480"/>
      <c r="Q1480" s="25"/>
      <c r="R1480" s="54"/>
      <c r="W1480" s="23"/>
      <c r="X1480" s="23"/>
      <c r="Y1480" s="23"/>
      <c r="Z1480" s="43"/>
      <c r="AA1480" s="23"/>
      <c r="AB1480" s="23"/>
      <c r="AC1480" s="23"/>
      <c r="AD1480" s="23"/>
      <c r="AE1480" s="23"/>
      <c r="AF1480" s="23"/>
      <c r="AG1480" s="23"/>
      <c r="AH1480" s="23"/>
      <c r="AI1480" s="49"/>
    </row>
    <row r="1481" spans="1:35">
      <c r="A1481" s="23"/>
      <c r="B1481" s="42"/>
      <c r="C1481" s="49"/>
      <c r="E1481" s="49"/>
      <c r="G1481" s="43"/>
      <c r="H1481" s="44"/>
      <c r="L1481" s="42"/>
      <c r="M1481" s="42"/>
      <c r="N1481" s="25"/>
      <c r="O1481" s="54"/>
      <c r="P1481"/>
      <c r="Q1481" s="25"/>
      <c r="R1481" s="54"/>
      <c r="W1481" s="23"/>
      <c r="X1481" s="23"/>
      <c r="Y1481" s="23"/>
      <c r="Z1481" s="43"/>
      <c r="AA1481" s="23"/>
      <c r="AB1481" s="23"/>
      <c r="AC1481" s="23"/>
      <c r="AD1481" s="23"/>
      <c r="AE1481" s="23"/>
      <c r="AF1481" s="23"/>
      <c r="AG1481" s="23"/>
      <c r="AH1481" s="23"/>
      <c r="AI1481" s="49"/>
    </row>
    <row r="1482" spans="1:35">
      <c r="A1482" s="23"/>
      <c r="B1482" s="42"/>
      <c r="C1482" s="49"/>
      <c r="E1482" s="49"/>
      <c r="G1482" s="43"/>
      <c r="H1482" s="44"/>
      <c r="L1482" s="42"/>
      <c r="M1482" s="42"/>
      <c r="N1482" s="25"/>
      <c r="O1482" s="54"/>
      <c r="P1482"/>
      <c r="Q1482" s="25"/>
      <c r="R1482" s="54"/>
      <c r="W1482" s="23"/>
      <c r="X1482" s="23"/>
      <c r="Y1482" s="23"/>
      <c r="Z1482" s="43"/>
      <c r="AA1482" s="23"/>
      <c r="AB1482" s="23"/>
      <c r="AC1482" s="23"/>
      <c r="AD1482" s="23"/>
      <c r="AE1482" s="23"/>
      <c r="AF1482" s="23"/>
      <c r="AG1482" s="23"/>
      <c r="AH1482" s="23"/>
      <c r="AI1482" s="49"/>
    </row>
    <row r="1483" spans="1:35">
      <c r="A1483" s="23"/>
      <c r="B1483" s="42"/>
      <c r="C1483" s="49"/>
      <c r="E1483" s="49"/>
      <c r="G1483" s="43"/>
      <c r="H1483" s="44"/>
      <c r="L1483" s="42"/>
      <c r="M1483" s="42"/>
      <c r="N1483" s="25"/>
      <c r="O1483" s="54"/>
      <c r="P1483"/>
      <c r="Q1483" s="25"/>
      <c r="R1483" s="54"/>
      <c r="W1483" s="23"/>
      <c r="X1483" s="23"/>
      <c r="Y1483" s="23"/>
      <c r="Z1483" s="43"/>
      <c r="AA1483" s="23"/>
      <c r="AB1483" s="23"/>
      <c r="AC1483" s="23"/>
      <c r="AD1483" s="23"/>
      <c r="AE1483" s="23"/>
      <c r="AF1483" s="23"/>
      <c r="AG1483" s="23"/>
      <c r="AH1483" s="23"/>
      <c r="AI1483" s="49"/>
    </row>
    <row r="1484" spans="1:35">
      <c r="A1484" s="23"/>
      <c r="B1484" s="42"/>
      <c r="C1484" s="49"/>
      <c r="E1484" s="49"/>
      <c r="G1484" s="43"/>
      <c r="H1484" s="44"/>
      <c r="L1484" s="42"/>
      <c r="M1484" s="42"/>
      <c r="N1484" s="25"/>
      <c r="O1484" s="54"/>
      <c r="P1484"/>
      <c r="Q1484" s="25"/>
      <c r="R1484" s="54"/>
      <c r="W1484" s="23"/>
      <c r="X1484" s="23"/>
      <c r="Y1484" s="23"/>
      <c r="Z1484" s="43"/>
      <c r="AA1484" s="23"/>
      <c r="AB1484" s="23"/>
      <c r="AC1484" s="23"/>
      <c r="AD1484" s="23"/>
      <c r="AE1484" s="23"/>
      <c r="AF1484" s="23"/>
      <c r="AG1484" s="23"/>
      <c r="AH1484" s="23"/>
      <c r="AI1484" s="49"/>
    </row>
    <row r="1485" spans="1:35">
      <c r="A1485" s="23"/>
      <c r="B1485" s="42"/>
      <c r="C1485" s="49"/>
      <c r="E1485" s="49"/>
      <c r="G1485" s="43"/>
      <c r="H1485" s="44"/>
      <c r="L1485" s="42"/>
      <c r="M1485" s="42"/>
      <c r="N1485" s="25"/>
      <c r="O1485" s="54"/>
      <c r="P1485"/>
      <c r="Q1485" s="25"/>
      <c r="R1485" s="54"/>
      <c r="W1485" s="23"/>
      <c r="X1485" s="23"/>
      <c r="Y1485" s="23"/>
      <c r="Z1485" s="43"/>
      <c r="AA1485" s="23"/>
      <c r="AB1485" s="23"/>
      <c r="AC1485" s="23"/>
      <c r="AD1485" s="23"/>
      <c r="AE1485" s="23"/>
      <c r="AF1485" s="23"/>
      <c r="AG1485" s="23"/>
      <c r="AH1485" s="23"/>
      <c r="AI1485" s="49"/>
    </row>
    <row r="1486" spans="1:35">
      <c r="A1486" s="23"/>
      <c r="B1486" s="42"/>
      <c r="C1486" s="49"/>
      <c r="E1486" s="49"/>
      <c r="G1486" s="43"/>
      <c r="H1486" s="44"/>
      <c r="L1486" s="42"/>
      <c r="M1486" s="42"/>
      <c r="N1486" s="25"/>
      <c r="O1486" s="54"/>
      <c r="P1486"/>
      <c r="Q1486" s="25"/>
      <c r="R1486" s="54"/>
      <c r="W1486" s="23"/>
      <c r="X1486" s="23"/>
      <c r="Y1486" s="23"/>
      <c r="Z1486" s="43"/>
      <c r="AA1486" s="23"/>
      <c r="AB1486" s="23"/>
      <c r="AC1486" s="23"/>
      <c r="AD1486" s="23"/>
      <c r="AE1486" s="23"/>
      <c r="AF1486" s="23"/>
      <c r="AG1486" s="23"/>
      <c r="AH1486" s="23"/>
      <c r="AI1486" s="49"/>
    </row>
    <row r="1487" spans="1:35">
      <c r="A1487" s="23"/>
      <c r="B1487" s="42"/>
      <c r="C1487" s="49"/>
      <c r="E1487" s="49"/>
      <c r="G1487" s="43"/>
      <c r="H1487" s="44"/>
      <c r="L1487" s="42"/>
      <c r="M1487" s="42"/>
      <c r="N1487" s="25"/>
      <c r="O1487" s="54"/>
      <c r="P1487"/>
      <c r="Q1487" s="25"/>
      <c r="R1487" s="54"/>
      <c r="W1487" s="23"/>
      <c r="X1487" s="23"/>
      <c r="Y1487" s="23"/>
      <c r="Z1487" s="43"/>
      <c r="AA1487" s="23"/>
      <c r="AB1487" s="23"/>
      <c r="AC1487" s="23"/>
      <c r="AD1487" s="23"/>
      <c r="AE1487" s="23"/>
      <c r="AF1487" s="23"/>
      <c r="AG1487" s="23"/>
      <c r="AH1487" s="23"/>
      <c r="AI1487" s="49"/>
    </row>
    <row r="1488" spans="1:35">
      <c r="A1488" s="23"/>
      <c r="B1488" s="42"/>
      <c r="C1488" s="49"/>
      <c r="E1488" s="49"/>
      <c r="G1488" s="43"/>
      <c r="H1488" s="44"/>
      <c r="L1488" s="42"/>
      <c r="M1488" s="42"/>
      <c r="N1488" s="25"/>
      <c r="O1488" s="54"/>
      <c r="P1488"/>
      <c r="Q1488" s="25"/>
      <c r="R1488" s="54"/>
      <c r="W1488" s="23"/>
      <c r="X1488" s="23"/>
      <c r="Y1488" s="23"/>
      <c r="Z1488" s="43"/>
      <c r="AA1488" s="23"/>
      <c r="AB1488" s="23"/>
      <c r="AC1488" s="23"/>
      <c r="AD1488" s="23"/>
      <c r="AE1488" s="23"/>
      <c r="AF1488" s="23"/>
      <c r="AG1488" s="23"/>
      <c r="AH1488" s="23"/>
      <c r="AI1488" s="49"/>
    </row>
    <row r="1489" spans="1:35">
      <c r="A1489" s="23"/>
      <c r="B1489" s="42"/>
      <c r="C1489" s="49"/>
      <c r="E1489" s="49"/>
      <c r="G1489" s="43"/>
      <c r="H1489" s="44"/>
      <c r="L1489" s="42"/>
      <c r="M1489" s="42"/>
      <c r="N1489" s="25"/>
      <c r="O1489" s="54"/>
      <c r="P1489"/>
      <c r="Q1489" s="25"/>
      <c r="R1489" s="54"/>
      <c r="W1489" s="23"/>
      <c r="X1489" s="23"/>
      <c r="Y1489" s="23"/>
      <c r="Z1489" s="43"/>
      <c r="AA1489" s="23"/>
      <c r="AB1489" s="23"/>
      <c r="AC1489" s="23"/>
      <c r="AD1489" s="23"/>
      <c r="AE1489" s="23"/>
      <c r="AF1489" s="23"/>
      <c r="AG1489" s="23"/>
      <c r="AH1489" s="23"/>
      <c r="AI1489" s="49"/>
    </row>
    <row r="1490" spans="1:35">
      <c r="A1490" s="23"/>
      <c r="B1490" s="42"/>
      <c r="C1490" s="49"/>
      <c r="E1490" s="49"/>
      <c r="G1490" s="43"/>
      <c r="H1490" s="44"/>
      <c r="L1490" s="42"/>
      <c r="M1490" s="42"/>
      <c r="N1490" s="25"/>
      <c r="O1490" s="54"/>
      <c r="P1490"/>
      <c r="Q1490" s="25"/>
      <c r="R1490" s="54"/>
      <c r="W1490" s="23"/>
      <c r="X1490" s="23"/>
      <c r="Y1490" s="23"/>
      <c r="Z1490" s="43"/>
      <c r="AA1490" s="23"/>
      <c r="AB1490" s="23"/>
      <c r="AC1490" s="23"/>
      <c r="AD1490" s="23"/>
      <c r="AE1490" s="23"/>
      <c r="AF1490" s="23"/>
      <c r="AG1490" s="23"/>
      <c r="AH1490" s="23"/>
      <c r="AI1490" s="49"/>
    </row>
    <row r="1491" spans="1:35">
      <c r="A1491" s="23"/>
      <c r="B1491" s="42"/>
      <c r="C1491" s="49"/>
      <c r="E1491" s="49"/>
      <c r="G1491" s="43"/>
      <c r="H1491" s="44"/>
      <c r="L1491" s="42"/>
      <c r="M1491" s="42"/>
      <c r="N1491" s="25"/>
      <c r="O1491" s="54"/>
      <c r="P1491"/>
      <c r="Q1491" s="25"/>
      <c r="R1491" s="54"/>
      <c r="W1491" s="23"/>
      <c r="X1491" s="23"/>
      <c r="Y1491" s="23"/>
      <c r="Z1491" s="43"/>
      <c r="AA1491" s="23"/>
      <c r="AB1491" s="23"/>
      <c r="AC1491" s="23"/>
      <c r="AD1491" s="23"/>
      <c r="AE1491" s="23"/>
      <c r="AF1491" s="23"/>
      <c r="AG1491" s="23"/>
      <c r="AH1491" s="23"/>
      <c r="AI1491" s="49"/>
    </row>
    <row r="1492" spans="1:35">
      <c r="A1492" s="23"/>
      <c r="B1492" s="42"/>
      <c r="C1492" s="49"/>
      <c r="E1492" s="49"/>
      <c r="G1492" s="43"/>
      <c r="H1492" s="44"/>
      <c r="L1492" s="42"/>
      <c r="M1492" s="42"/>
      <c r="N1492" s="25"/>
      <c r="O1492" s="54"/>
      <c r="P1492"/>
      <c r="Q1492" s="25"/>
      <c r="R1492" s="54"/>
      <c r="W1492" s="23"/>
      <c r="X1492" s="23"/>
      <c r="Y1492" s="23"/>
      <c r="Z1492" s="43"/>
      <c r="AA1492" s="23"/>
      <c r="AB1492" s="23"/>
      <c r="AC1492" s="23"/>
      <c r="AD1492" s="23"/>
      <c r="AE1492" s="23"/>
      <c r="AF1492" s="23"/>
      <c r="AG1492" s="23"/>
      <c r="AH1492" s="23"/>
      <c r="AI1492" s="49"/>
    </row>
    <row r="1493" spans="1:35">
      <c r="A1493" s="23"/>
      <c r="B1493" s="42"/>
      <c r="C1493" s="49"/>
      <c r="E1493" s="49"/>
      <c r="G1493" s="43"/>
      <c r="H1493" s="44"/>
      <c r="L1493" s="42"/>
      <c r="M1493" s="42"/>
      <c r="N1493" s="25"/>
      <c r="O1493" s="54"/>
      <c r="P1493"/>
      <c r="Q1493" s="25"/>
      <c r="R1493" s="54"/>
      <c r="W1493" s="23"/>
      <c r="X1493" s="23"/>
      <c r="Y1493" s="23"/>
      <c r="Z1493" s="43"/>
      <c r="AA1493" s="23"/>
      <c r="AB1493" s="23"/>
      <c r="AC1493" s="23"/>
      <c r="AD1493" s="23"/>
      <c r="AE1493" s="23"/>
      <c r="AF1493" s="23"/>
      <c r="AG1493" s="23"/>
      <c r="AH1493" s="23"/>
      <c r="AI1493" s="49"/>
    </row>
    <row r="1494" spans="1:35">
      <c r="A1494" s="23"/>
      <c r="B1494" s="42"/>
      <c r="C1494" s="49"/>
      <c r="E1494" s="49"/>
      <c r="G1494" s="43"/>
      <c r="H1494" s="44"/>
      <c r="L1494" s="42"/>
      <c r="M1494" s="42"/>
      <c r="N1494" s="25"/>
      <c r="O1494" s="54"/>
      <c r="P1494"/>
      <c r="Q1494" s="25"/>
      <c r="R1494" s="54"/>
      <c r="W1494" s="23"/>
      <c r="X1494" s="23"/>
      <c r="Y1494" s="23"/>
      <c r="Z1494" s="43"/>
      <c r="AA1494" s="23"/>
      <c r="AB1494" s="23"/>
      <c r="AC1494" s="23"/>
      <c r="AD1494" s="23"/>
      <c r="AE1494" s="23"/>
      <c r="AF1494" s="23"/>
      <c r="AG1494" s="23"/>
      <c r="AH1494" s="23"/>
      <c r="AI1494" s="49"/>
    </row>
    <row r="1495" spans="1:35">
      <c r="A1495" s="23"/>
      <c r="B1495" s="42"/>
      <c r="C1495" s="49"/>
      <c r="E1495" s="49"/>
      <c r="G1495" s="43"/>
      <c r="H1495" s="44"/>
      <c r="L1495" s="42"/>
      <c r="M1495" s="42"/>
      <c r="N1495" s="25"/>
      <c r="O1495" s="54"/>
      <c r="P1495"/>
      <c r="Q1495" s="25"/>
      <c r="R1495" s="54"/>
      <c r="W1495" s="23"/>
      <c r="X1495" s="23"/>
      <c r="Y1495" s="23"/>
      <c r="Z1495" s="43"/>
      <c r="AA1495" s="23"/>
      <c r="AB1495" s="23"/>
      <c r="AC1495" s="23"/>
      <c r="AD1495" s="23"/>
      <c r="AE1495" s="23"/>
      <c r="AF1495" s="23"/>
      <c r="AG1495" s="23"/>
      <c r="AH1495" s="23"/>
      <c r="AI1495" s="49"/>
    </row>
    <row r="1496" spans="1:35">
      <c r="A1496" s="23"/>
      <c r="B1496" s="42"/>
      <c r="C1496" s="49"/>
      <c r="E1496" s="49"/>
      <c r="G1496" s="43"/>
      <c r="H1496" s="44"/>
      <c r="L1496" s="42"/>
      <c r="M1496" s="42"/>
      <c r="N1496" s="25"/>
      <c r="O1496" s="54"/>
      <c r="P1496"/>
      <c r="Q1496" s="25"/>
      <c r="R1496" s="54"/>
      <c r="W1496" s="23"/>
      <c r="X1496" s="23"/>
      <c r="Y1496" s="23"/>
      <c r="Z1496" s="43"/>
      <c r="AA1496" s="23"/>
      <c r="AB1496" s="23"/>
      <c r="AC1496" s="23"/>
      <c r="AD1496" s="23"/>
      <c r="AE1496" s="23"/>
      <c r="AF1496" s="23"/>
      <c r="AG1496" s="23"/>
      <c r="AH1496" s="23"/>
      <c r="AI1496" s="49"/>
    </row>
    <row r="1497" spans="1:35">
      <c r="A1497" s="23"/>
      <c r="B1497" s="42"/>
      <c r="C1497" s="49"/>
      <c r="E1497" s="49"/>
      <c r="G1497" s="43"/>
      <c r="H1497" s="44"/>
      <c r="L1497" s="42"/>
      <c r="M1497" s="42"/>
      <c r="N1497" s="25"/>
      <c r="O1497" s="54"/>
      <c r="P1497"/>
      <c r="Q1497" s="25"/>
      <c r="R1497" s="54"/>
      <c r="W1497" s="23"/>
      <c r="X1497" s="23"/>
      <c r="Y1497" s="23"/>
      <c r="Z1497" s="43"/>
      <c r="AA1497" s="23"/>
      <c r="AB1497" s="23"/>
      <c r="AC1497" s="23"/>
      <c r="AD1497" s="23"/>
      <c r="AE1497" s="23"/>
      <c r="AF1497" s="23"/>
      <c r="AG1497" s="23"/>
      <c r="AH1497" s="23"/>
      <c r="AI1497" s="49"/>
    </row>
    <row r="1498" spans="1:35">
      <c r="A1498" s="23"/>
      <c r="B1498" s="42"/>
      <c r="C1498" s="49"/>
      <c r="E1498" s="49"/>
      <c r="G1498" s="43"/>
      <c r="H1498" s="44"/>
      <c r="L1498" s="42"/>
      <c r="M1498" s="42"/>
      <c r="N1498" s="25"/>
      <c r="O1498" s="54"/>
      <c r="P1498"/>
      <c r="Q1498" s="25"/>
      <c r="R1498" s="54"/>
      <c r="W1498" s="23"/>
      <c r="X1498" s="23"/>
      <c r="Y1498" s="23"/>
      <c r="Z1498" s="43"/>
      <c r="AA1498" s="23"/>
      <c r="AB1498" s="23"/>
      <c r="AC1498" s="23"/>
      <c r="AD1498" s="23"/>
      <c r="AE1498" s="23"/>
      <c r="AF1498" s="23"/>
      <c r="AG1498" s="23"/>
      <c r="AH1498" s="23"/>
      <c r="AI1498" s="49"/>
    </row>
    <row r="1499" spans="1:35">
      <c r="A1499" s="23"/>
      <c r="B1499" s="42"/>
      <c r="C1499" s="49"/>
      <c r="E1499" s="49"/>
      <c r="G1499" s="43"/>
      <c r="H1499" s="44"/>
      <c r="L1499" s="42"/>
      <c r="M1499" s="42"/>
      <c r="N1499" s="25"/>
      <c r="O1499" s="54"/>
      <c r="P1499"/>
      <c r="Q1499" s="25"/>
      <c r="R1499" s="54"/>
      <c r="W1499" s="23"/>
      <c r="X1499" s="23"/>
      <c r="Y1499" s="23"/>
      <c r="Z1499" s="43"/>
      <c r="AA1499" s="23"/>
      <c r="AB1499" s="23"/>
      <c r="AC1499" s="23"/>
      <c r="AD1499" s="23"/>
      <c r="AE1499" s="23"/>
      <c r="AF1499" s="23"/>
      <c r="AG1499" s="23"/>
      <c r="AH1499" s="23"/>
      <c r="AI1499" s="49"/>
    </row>
    <row r="1500" spans="1:35">
      <c r="A1500" s="23"/>
      <c r="B1500" s="42"/>
      <c r="C1500" s="49"/>
      <c r="E1500" s="49"/>
      <c r="G1500" s="43"/>
      <c r="H1500" s="44"/>
      <c r="L1500" s="42"/>
      <c r="M1500" s="42"/>
      <c r="N1500" s="25"/>
      <c r="O1500" s="54"/>
      <c r="P1500"/>
      <c r="Q1500" s="25"/>
      <c r="R1500" s="54"/>
      <c r="W1500" s="23"/>
      <c r="X1500" s="23"/>
      <c r="Y1500" s="23"/>
      <c r="Z1500" s="43"/>
      <c r="AA1500" s="23"/>
      <c r="AB1500" s="23"/>
      <c r="AC1500" s="23"/>
      <c r="AD1500" s="23"/>
      <c r="AE1500" s="23"/>
      <c r="AF1500" s="23"/>
      <c r="AG1500" s="23"/>
      <c r="AH1500" s="23"/>
      <c r="AI1500" s="49"/>
    </row>
    <row r="1501" spans="1:35">
      <c r="A1501" s="23"/>
      <c r="B1501" s="42"/>
      <c r="C1501" s="49"/>
      <c r="E1501" s="49"/>
      <c r="G1501" s="43"/>
      <c r="H1501" s="44"/>
      <c r="L1501" s="42"/>
      <c r="M1501" s="42"/>
      <c r="N1501" s="25"/>
      <c r="O1501" s="54"/>
      <c r="P1501"/>
      <c r="Q1501" s="25"/>
      <c r="R1501" s="54"/>
      <c r="W1501" s="23"/>
      <c r="X1501" s="23"/>
      <c r="Y1501" s="23"/>
      <c r="Z1501" s="43"/>
      <c r="AA1501" s="23"/>
      <c r="AB1501" s="23"/>
      <c r="AC1501" s="23"/>
      <c r="AD1501" s="23"/>
      <c r="AE1501" s="23"/>
      <c r="AF1501" s="23"/>
      <c r="AG1501" s="23"/>
      <c r="AH1501" s="23"/>
      <c r="AI1501" s="49"/>
    </row>
    <row r="1502" spans="1:35">
      <c r="A1502" s="23"/>
      <c r="B1502" s="42"/>
      <c r="C1502" s="49"/>
      <c r="E1502" s="49"/>
      <c r="G1502" s="43"/>
      <c r="H1502" s="44"/>
      <c r="L1502" s="42"/>
      <c r="M1502" s="42"/>
      <c r="N1502" s="25"/>
      <c r="O1502" s="54"/>
      <c r="P1502"/>
      <c r="Q1502" s="25"/>
      <c r="R1502" s="54"/>
      <c r="W1502" s="23"/>
      <c r="X1502" s="23"/>
      <c r="Y1502" s="23"/>
      <c r="Z1502" s="43"/>
      <c r="AA1502" s="23"/>
      <c r="AB1502" s="23"/>
      <c r="AC1502" s="23"/>
      <c r="AD1502" s="23"/>
      <c r="AE1502" s="23"/>
      <c r="AF1502" s="23"/>
      <c r="AG1502" s="23"/>
      <c r="AH1502" s="23"/>
      <c r="AI1502" s="49"/>
    </row>
    <row r="1503" spans="1:35">
      <c r="A1503" s="23"/>
      <c r="B1503" s="42"/>
      <c r="C1503" s="49"/>
      <c r="E1503" s="49"/>
      <c r="G1503" s="43"/>
      <c r="H1503" s="44"/>
      <c r="L1503" s="42"/>
      <c r="M1503" s="42"/>
      <c r="N1503" s="25"/>
      <c r="O1503" s="54"/>
      <c r="P1503"/>
      <c r="Q1503" s="25"/>
      <c r="R1503" s="54"/>
      <c r="W1503" s="23"/>
      <c r="X1503" s="23"/>
      <c r="Y1503" s="23"/>
      <c r="Z1503" s="43"/>
      <c r="AA1503" s="23"/>
      <c r="AB1503" s="23"/>
      <c r="AC1503" s="23"/>
      <c r="AD1503" s="23"/>
      <c r="AE1503" s="23"/>
      <c r="AF1503" s="23"/>
      <c r="AG1503" s="23"/>
      <c r="AH1503" s="23"/>
      <c r="AI1503" s="49"/>
    </row>
    <row r="1504" spans="1:35">
      <c r="A1504" s="23"/>
      <c r="B1504" s="42"/>
      <c r="C1504" s="49"/>
      <c r="E1504" s="49"/>
      <c r="G1504" s="43"/>
      <c r="H1504" s="44"/>
      <c r="L1504" s="42"/>
      <c r="M1504" s="42"/>
      <c r="N1504" s="25"/>
      <c r="O1504" s="54"/>
      <c r="P1504"/>
      <c r="Q1504" s="25"/>
      <c r="R1504" s="54"/>
      <c r="W1504" s="23"/>
      <c r="X1504" s="23"/>
      <c r="Y1504" s="23"/>
      <c r="Z1504" s="43"/>
      <c r="AA1504" s="23"/>
      <c r="AB1504" s="23"/>
      <c r="AC1504" s="23"/>
      <c r="AD1504" s="23"/>
      <c r="AE1504" s="23"/>
      <c r="AF1504" s="23"/>
      <c r="AG1504" s="23"/>
      <c r="AH1504" s="23"/>
      <c r="AI1504" s="49"/>
    </row>
    <row r="1505" spans="1:35">
      <c r="A1505" s="23"/>
      <c r="B1505" s="42"/>
      <c r="C1505" s="49"/>
      <c r="E1505" s="49"/>
      <c r="G1505" s="43"/>
      <c r="H1505" s="44"/>
      <c r="L1505" s="42"/>
      <c r="M1505" s="42"/>
      <c r="N1505" s="25"/>
      <c r="O1505" s="54"/>
      <c r="P1505"/>
      <c r="Q1505" s="25"/>
      <c r="R1505" s="54"/>
      <c r="W1505" s="23"/>
      <c r="X1505" s="23"/>
      <c r="Y1505" s="23"/>
      <c r="Z1505" s="43"/>
      <c r="AA1505" s="23"/>
      <c r="AB1505" s="23"/>
      <c r="AC1505" s="23"/>
      <c r="AD1505" s="23"/>
      <c r="AE1505" s="23"/>
      <c r="AF1505" s="23"/>
      <c r="AG1505" s="23"/>
      <c r="AH1505" s="23"/>
      <c r="AI1505" s="49"/>
    </row>
    <row r="1506" spans="1:35">
      <c r="A1506" s="23"/>
      <c r="B1506" s="42"/>
      <c r="C1506" s="49"/>
      <c r="E1506" s="49"/>
      <c r="G1506" s="43"/>
      <c r="H1506" s="44"/>
      <c r="L1506" s="42"/>
      <c r="M1506" s="42"/>
      <c r="N1506" s="25"/>
      <c r="O1506" s="54"/>
      <c r="P1506"/>
      <c r="Q1506" s="25"/>
      <c r="R1506" s="54"/>
      <c r="W1506" s="23"/>
      <c r="X1506" s="23"/>
      <c r="Y1506" s="23"/>
      <c r="Z1506" s="43"/>
      <c r="AA1506" s="23"/>
      <c r="AB1506" s="23"/>
      <c r="AC1506" s="23"/>
      <c r="AD1506" s="23"/>
      <c r="AE1506" s="23"/>
      <c r="AF1506" s="23"/>
      <c r="AG1506" s="23"/>
      <c r="AH1506" s="23"/>
      <c r="AI1506" s="49"/>
    </row>
    <row r="1507" spans="1:35">
      <c r="A1507" s="23"/>
      <c r="B1507" s="42"/>
      <c r="C1507" s="49"/>
      <c r="E1507" s="49"/>
      <c r="G1507" s="43"/>
      <c r="H1507" s="44"/>
      <c r="L1507" s="42"/>
      <c r="M1507" s="42"/>
      <c r="N1507" s="25"/>
      <c r="O1507" s="54"/>
      <c r="P1507"/>
      <c r="Q1507" s="25"/>
      <c r="R1507" s="54"/>
      <c r="W1507" s="23"/>
      <c r="X1507" s="23"/>
      <c r="Y1507" s="23"/>
      <c r="Z1507" s="43"/>
      <c r="AA1507" s="23"/>
      <c r="AB1507" s="23"/>
      <c r="AC1507" s="23"/>
      <c r="AD1507" s="23"/>
      <c r="AE1507" s="23"/>
      <c r="AF1507" s="23"/>
      <c r="AG1507" s="23"/>
      <c r="AH1507" s="23"/>
      <c r="AI1507" s="49"/>
    </row>
    <row r="1508" spans="1:35">
      <c r="A1508" s="23"/>
      <c r="B1508" s="42"/>
      <c r="C1508" s="49"/>
      <c r="E1508" s="49"/>
      <c r="G1508" s="43"/>
      <c r="H1508" s="44"/>
      <c r="L1508" s="42"/>
      <c r="M1508" s="42"/>
      <c r="N1508" s="25"/>
      <c r="O1508" s="54"/>
      <c r="P1508"/>
      <c r="Q1508" s="25"/>
      <c r="R1508" s="54"/>
      <c r="W1508" s="23"/>
      <c r="X1508" s="23"/>
      <c r="Y1508" s="23"/>
      <c r="Z1508" s="43"/>
      <c r="AA1508" s="23"/>
      <c r="AB1508" s="23"/>
      <c r="AC1508" s="23"/>
      <c r="AD1508" s="23"/>
      <c r="AE1508" s="23"/>
      <c r="AF1508" s="23"/>
      <c r="AG1508" s="23"/>
      <c r="AH1508" s="23"/>
      <c r="AI1508" s="49"/>
    </row>
    <row r="1509" spans="1:35">
      <c r="A1509" s="23"/>
      <c r="B1509" s="42"/>
      <c r="C1509" s="49"/>
      <c r="E1509" s="49"/>
      <c r="G1509" s="43"/>
      <c r="H1509" s="44"/>
      <c r="L1509" s="42"/>
      <c r="M1509" s="42"/>
      <c r="N1509" s="25"/>
      <c r="O1509" s="54"/>
      <c r="P1509"/>
      <c r="Q1509" s="25"/>
      <c r="R1509" s="54"/>
      <c r="W1509" s="23"/>
      <c r="X1509" s="23"/>
      <c r="Y1509" s="23"/>
      <c r="Z1509" s="43"/>
      <c r="AA1509" s="23"/>
      <c r="AB1509" s="23"/>
      <c r="AC1509" s="23"/>
      <c r="AD1509" s="23"/>
      <c r="AE1509" s="23"/>
      <c r="AF1509" s="23"/>
      <c r="AG1509" s="23"/>
      <c r="AH1509" s="23"/>
      <c r="AI1509" s="49"/>
    </row>
    <row r="1510" spans="1:35">
      <c r="A1510" s="23"/>
      <c r="B1510" s="42"/>
      <c r="C1510" s="49"/>
      <c r="E1510" s="49"/>
      <c r="G1510" s="43"/>
      <c r="H1510" s="44"/>
      <c r="L1510" s="42"/>
      <c r="M1510" s="42"/>
      <c r="N1510" s="25"/>
      <c r="O1510" s="54"/>
      <c r="P1510"/>
      <c r="Q1510" s="25"/>
      <c r="R1510" s="54"/>
      <c r="W1510" s="23"/>
      <c r="X1510" s="23"/>
      <c r="Y1510" s="23"/>
      <c r="Z1510" s="43"/>
      <c r="AA1510" s="23"/>
      <c r="AB1510" s="23"/>
      <c r="AC1510" s="23"/>
      <c r="AD1510" s="23"/>
      <c r="AE1510" s="23"/>
      <c r="AF1510" s="23"/>
      <c r="AG1510" s="23"/>
      <c r="AH1510" s="23"/>
      <c r="AI1510" s="49"/>
    </row>
    <row r="1511" spans="1:35">
      <c r="A1511" s="23"/>
      <c r="B1511" s="42"/>
      <c r="C1511" s="49"/>
      <c r="E1511" s="49"/>
      <c r="G1511" s="43"/>
      <c r="H1511" s="44"/>
      <c r="L1511" s="42"/>
      <c r="M1511" s="42"/>
      <c r="N1511" s="25"/>
      <c r="O1511" s="54"/>
      <c r="P1511"/>
      <c r="Q1511" s="25"/>
      <c r="R1511" s="54"/>
      <c r="W1511" s="23"/>
      <c r="X1511" s="23"/>
      <c r="Y1511" s="23"/>
      <c r="Z1511" s="43"/>
      <c r="AA1511" s="23"/>
      <c r="AB1511" s="23"/>
      <c r="AC1511" s="23"/>
      <c r="AD1511" s="23"/>
      <c r="AE1511" s="23"/>
      <c r="AF1511" s="23"/>
      <c r="AG1511" s="23"/>
      <c r="AH1511" s="23"/>
      <c r="AI1511" s="49"/>
    </row>
    <row r="1512" spans="1:35">
      <c r="A1512" s="23"/>
      <c r="B1512" s="42"/>
      <c r="C1512" s="49"/>
      <c r="E1512" s="49"/>
      <c r="G1512" s="43"/>
      <c r="H1512" s="44"/>
      <c r="L1512" s="42"/>
      <c r="M1512" s="42"/>
      <c r="N1512" s="25"/>
      <c r="O1512" s="54"/>
      <c r="P1512"/>
      <c r="Q1512" s="25"/>
      <c r="R1512" s="54"/>
      <c r="W1512" s="23"/>
      <c r="X1512" s="23"/>
      <c r="Y1512" s="23"/>
      <c r="Z1512" s="43"/>
      <c r="AA1512" s="23"/>
      <c r="AB1512" s="23"/>
      <c r="AC1512" s="23"/>
      <c r="AD1512" s="23"/>
      <c r="AE1512" s="23"/>
      <c r="AF1512" s="23"/>
      <c r="AG1512" s="23"/>
      <c r="AH1512" s="23"/>
      <c r="AI1512" s="49"/>
    </row>
    <row r="1513" spans="1:35">
      <c r="A1513" s="23"/>
      <c r="B1513" s="42"/>
      <c r="C1513" s="49"/>
      <c r="E1513" s="49"/>
      <c r="G1513" s="43"/>
      <c r="H1513" s="44"/>
      <c r="L1513" s="42"/>
      <c r="M1513" s="42"/>
      <c r="N1513" s="25"/>
      <c r="O1513" s="54"/>
      <c r="P1513"/>
      <c r="Q1513" s="25"/>
      <c r="R1513" s="54"/>
      <c r="W1513" s="23"/>
      <c r="X1513" s="23"/>
      <c r="Y1513" s="23"/>
      <c r="Z1513" s="43"/>
      <c r="AA1513" s="23"/>
      <c r="AB1513" s="23"/>
      <c r="AC1513" s="23"/>
      <c r="AD1513" s="23"/>
      <c r="AE1513" s="23"/>
      <c r="AF1513" s="23"/>
      <c r="AG1513" s="23"/>
      <c r="AH1513" s="23"/>
      <c r="AI1513" s="49"/>
    </row>
    <row r="1514" spans="1:35">
      <c r="A1514" s="23"/>
      <c r="B1514" s="42"/>
      <c r="C1514" s="49"/>
      <c r="E1514" s="49"/>
      <c r="G1514" s="43"/>
      <c r="H1514" s="44"/>
      <c r="L1514" s="42"/>
      <c r="M1514" s="42"/>
      <c r="N1514" s="25"/>
      <c r="O1514" s="54"/>
      <c r="P1514"/>
      <c r="Q1514" s="25"/>
      <c r="R1514" s="54"/>
      <c r="W1514" s="23"/>
      <c r="X1514" s="23"/>
      <c r="Y1514" s="23"/>
      <c r="Z1514" s="43"/>
      <c r="AA1514" s="23"/>
      <c r="AB1514" s="23"/>
      <c r="AC1514" s="23"/>
      <c r="AD1514" s="23"/>
      <c r="AE1514" s="23"/>
      <c r="AF1514" s="23"/>
      <c r="AG1514" s="23"/>
      <c r="AH1514" s="23"/>
      <c r="AI1514" s="49"/>
    </row>
    <row r="1515" spans="1:35">
      <c r="A1515" s="23"/>
      <c r="B1515" s="42"/>
      <c r="C1515" s="49"/>
      <c r="E1515" s="49"/>
      <c r="G1515" s="43"/>
      <c r="H1515" s="44"/>
      <c r="L1515" s="42"/>
      <c r="M1515" s="42"/>
      <c r="N1515" s="25"/>
      <c r="O1515" s="54"/>
      <c r="P1515"/>
      <c r="Q1515" s="25"/>
      <c r="R1515" s="54"/>
      <c r="W1515" s="23"/>
      <c r="X1515" s="23"/>
      <c r="Y1515" s="23"/>
      <c r="Z1515" s="43"/>
      <c r="AA1515" s="23"/>
      <c r="AB1515" s="23"/>
      <c r="AC1515" s="23"/>
      <c r="AD1515" s="23"/>
      <c r="AE1515" s="23"/>
      <c r="AF1515" s="23"/>
      <c r="AG1515" s="23"/>
      <c r="AH1515" s="23"/>
      <c r="AI1515" s="49"/>
    </row>
    <row r="1516" spans="1:35">
      <c r="A1516" s="23"/>
      <c r="B1516" s="42"/>
      <c r="C1516" s="49"/>
      <c r="E1516" s="49"/>
      <c r="G1516" s="43"/>
      <c r="H1516" s="44"/>
      <c r="L1516" s="42"/>
      <c r="M1516" s="42"/>
      <c r="N1516" s="25"/>
      <c r="O1516" s="54"/>
      <c r="P1516"/>
      <c r="Q1516" s="25"/>
      <c r="R1516" s="54"/>
      <c r="W1516" s="23"/>
      <c r="X1516" s="23"/>
      <c r="Y1516" s="23"/>
      <c r="Z1516" s="43"/>
      <c r="AA1516" s="23"/>
      <c r="AB1516" s="23"/>
      <c r="AC1516" s="23"/>
      <c r="AD1516" s="23"/>
      <c r="AE1516" s="23"/>
      <c r="AF1516" s="23"/>
      <c r="AG1516" s="23"/>
      <c r="AH1516" s="23"/>
      <c r="AI1516" s="49"/>
    </row>
    <row r="1517" spans="1:35">
      <c r="A1517" s="23"/>
      <c r="B1517" s="42"/>
      <c r="C1517" s="49"/>
      <c r="E1517" s="49"/>
      <c r="G1517" s="43"/>
      <c r="H1517" s="44"/>
      <c r="L1517" s="42"/>
      <c r="M1517" s="42"/>
      <c r="N1517" s="25"/>
      <c r="O1517" s="54"/>
      <c r="P1517"/>
      <c r="Q1517" s="25"/>
      <c r="R1517" s="54"/>
      <c r="W1517" s="23"/>
      <c r="X1517" s="23"/>
      <c r="Y1517" s="23"/>
      <c r="Z1517" s="43"/>
      <c r="AA1517" s="23"/>
      <c r="AB1517" s="23"/>
      <c r="AC1517" s="23"/>
      <c r="AD1517" s="23"/>
      <c r="AE1517" s="23"/>
      <c r="AF1517" s="23"/>
      <c r="AG1517" s="23"/>
      <c r="AH1517" s="23"/>
      <c r="AI1517" s="49"/>
    </row>
    <row r="1518" spans="1:35">
      <c r="A1518" s="23"/>
      <c r="B1518" s="42"/>
      <c r="C1518" s="49"/>
      <c r="E1518" s="49"/>
      <c r="G1518" s="43"/>
      <c r="H1518" s="44"/>
      <c r="L1518" s="42"/>
      <c r="M1518" s="42"/>
      <c r="N1518" s="25"/>
      <c r="O1518" s="54"/>
      <c r="P1518"/>
      <c r="Q1518" s="25"/>
      <c r="R1518" s="54"/>
      <c r="W1518" s="23"/>
      <c r="X1518" s="23"/>
      <c r="Y1518" s="23"/>
      <c r="Z1518" s="43"/>
      <c r="AA1518" s="23"/>
      <c r="AB1518" s="23"/>
      <c r="AC1518" s="23"/>
      <c r="AD1518" s="23"/>
      <c r="AE1518" s="23"/>
      <c r="AF1518" s="23"/>
      <c r="AG1518" s="23"/>
      <c r="AH1518" s="23"/>
      <c r="AI1518" s="49"/>
    </row>
    <row r="1519" spans="1:35">
      <c r="A1519" s="23"/>
      <c r="B1519" s="42"/>
      <c r="C1519" s="49"/>
      <c r="E1519" s="49"/>
      <c r="G1519" s="43"/>
      <c r="H1519" s="44"/>
      <c r="L1519" s="42"/>
      <c r="M1519" s="42"/>
      <c r="N1519" s="25"/>
      <c r="O1519" s="54"/>
      <c r="P1519"/>
      <c r="Q1519" s="25"/>
      <c r="R1519" s="54"/>
      <c r="W1519" s="23"/>
      <c r="X1519" s="23"/>
      <c r="Y1519" s="23"/>
      <c r="Z1519" s="43"/>
      <c r="AA1519" s="23"/>
      <c r="AB1519" s="23"/>
      <c r="AC1519" s="23"/>
      <c r="AD1519" s="23"/>
      <c r="AE1519" s="23"/>
      <c r="AF1519" s="23"/>
      <c r="AG1519" s="23"/>
      <c r="AH1519" s="23"/>
      <c r="AI1519" s="49"/>
    </row>
    <row r="1520" spans="1:35">
      <c r="A1520" s="23"/>
      <c r="B1520" s="42"/>
      <c r="C1520" s="49"/>
      <c r="E1520" s="49"/>
      <c r="G1520" s="43"/>
      <c r="H1520" s="44"/>
      <c r="L1520" s="42"/>
      <c r="M1520" s="42"/>
      <c r="N1520" s="25"/>
      <c r="O1520" s="54"/>
      <c r="P1520"/>
      <c r="Q1520" s="25"/>
      <c r="R1520" s="54"/>
      <c r="W1520" s="23"/>
      <c r="X1520" s="23"/>
      <c r="Y1520" s="23"/>
      <c r="Z1520" s="43"/>
      <c r="AA1520" s="23"/>
      <c r="AB1520" s="23"/>
      <c r="AC1520" s="23"/>
      <c r="AD1520" s="23"/>
      <c r="AE1520" s="23"/>
      <c r="AF1520" s="23"/>
      <c r="AG1520" s="23"/>
      <c r="AH1520" s="23"/>
      <c r="AI1520" s="49"/>
    </row>
    <row r="1521" spans="1:35">
      <c r="A1521" s="23"/>
      <c r="B1521" s="42"/>
      <c r="C1521" s="49"/>
      <c r="E1521" s="49"/>
      <c r="G1521" s="43"/>
      <c r="H1521" s="44"/>
      <c r="L1521" s="42"/>
      <c r="M1521" s="42"/>
      <c r="N1521" s="25"/>
      <c r="O1521" s="54"/>
      <c r="P1521"/>
      <c r="Q1521" s="25"/>
      <c r="R1521" s="54"/>
      <c r="W1521" s="23"/>
      <c r="X1521" s="23"/>
      <c r="Y1521" s="23"/>
      <c r="Z1521" s="43"/>
      <c r="AA1521" s="23"/>
      <c r="AB1521" s="23"/>
      <c r="AC1521" s="23"/>
      <c r="AD1521" s="23"/>
      <c r="AE1521" s="23"/>
      <c r="AF1521" s="23"/>
      <c r="AG1521" s="23"/>
      <c r="AH1521" s="23"/>
      <c r="AI1521" s="49"/>
    </row>
    <row r="1522" spans="1:35">
      <c r="A1522" s="23"/>
      <c r="B1522" s="42"/>
      <c r="C1522" s="49"/>
      <c r="E1522" s="49"/>
      <c r="G1522" s="43"/>
      <c r="H1522" s="44"/>
      <c r="L1522" s="42"/>
      <c r="M1522" s="42"/>
      <c r="N1522" s="25"/>
      <c r="O1522" s="54"/>
      <c r="P1522"/>
      <c r="Q1522" s="25"/>
      <c r="R1522" s="54"/>
      <c r="W1522" s="23"/>
      <c r="X1522" s="23"/>
      <c r="Y1522" s="23"/>
      <c r="Z1522" s="43"/>
      <c r="AA1522" s="23"/>
      <c r="AB1522" s="23"/>
      <c r="AC1522" s="23"/>
      <c r="AD1522" s="23"/>
      <c r="AE1522" s="23"/>
      <c r="AF1522" s="23"/>
      <c r="AG1522" s="23"/>
      <c r="AH1522" s="23"/>
      <c r="AI1522" s="49"/>
    </row>
    <row r="1523" spans="1:35">
      <c r="A1523" s="23"/>
      <c r="B1523" s="42"/>
      <c r="C1523" s="49"/>
      <c r="E1523" s="49"/>
      <c r="G1523" s="43"/>
      <c r="H1523" s="44"/>
      <c r="L1523" s="42"/>
      <c r="M1523" s="42"/>
      <c r="N1523" s="25"/>
      <c r="O1523" s="54"/>
      <c r="P1523"/>
      <c r="Q1523" s="25"/>
      <c r="R1523" s="54"/>
      <c r="W1523" s="23"/>
      <c r="X1523" s="23"/>
      <c r="Y1523" s="23"/>
      <c r="Z1523" s="43"/>
      <c r="AA1523" s="23"/>
      <c r="AB1523" s="23"/>
      <c r="AC1523" s="23"/>
      <c r="AD1523" s="23"/>
      <c r="AE1523" s="23"/>
      <c r="AF1523" s="23"/>
      <c r="AG1523" s="23"/>
      <c r="AH1523" s="23"/>
      <c r="AI1523" s="49"/>
    </row>
    <row r="1524" spans="1:35">
      <c r="A1524" s="23"/>
      <c r="B1524" s="42"/>
      <c r="C1524" s="49"/>
      <c r="E1524" s="49"/>
      <c r="G1524" s="43"/>
      <c r="H1524" s="44"/>
      <c r="L1524" s="42"/>
      <c r="M1524" s="42"/>
      <c r="N1524" s="25"/>
      <c r="O1524" s="54"/>
      <c r="P1524"/>
      <c r="Q1524" s="25"/>
      <c r="R1524" s="54"/>
      <c r="W1524" s="23"/>
      <c r="X1524" s="23"/>
      <c r="Y1524" s="23"/>
      <c r="Z1524" s="43"/>
      <c r="AA1524" s="23"/>
      <c r="AB1524" s="23"/>
      <c r="AC1524" s="23"/>
      <c r="AD1524" s="23"/>
      <c r="AE1524" s="23"/>
      <c r="AF1524" s="23"/>
      <c r="AG1524" s="23"/>
      <c r="AH1524" s="23"/>
      <c r="AI1524" s="49"/>
    </row>
    <row r="1525" spans="1:35">
      <c r="A1525" s="23"/>
      <c r="B1525" s="42"/>
      <c r="C1525" s="49"/>
      <c r="E1525" s="49"/>
      <c r="G1525" s="43"/>
      <c r="H1525" s="44"/>
      <c r="L1525" s="42"/>
      <c r="M1525" s="42"/>
      <c r="N1525" s="25"/>
      <c r="O1525" s="54"/>
      <c r="P1525"/>
      <c r="Q1525" s="25"/>
      <c r="R1525" s="54"/>
      <c r="W1525" s="23"/>
      <c r="X1525" s="23"/>
      <c r="Y1525" s="23"/>
      <c r="Z1525" s="43"/>
      <c r="AA1525" s="23"/>
      <c r="AB1525" s="23"/>
      <c r="AC1525" s="23"/>
      <c r="AD1525" s="23"/>
      <c r="AE1525" s="23"/>
      <c r="AF1525" s="23"/>
      <c r="AG1525" s="23"/>
      <c r="AH1525" s="23"/>
      <c r="AI1525" s="49"/>
    </row>
    <row r="1526" spans="1:35">
      <c r="A1526" s="23"/>
      <c r="B1526" s="42"/>
      <c r="C1526" s="49"/>
      <c r="E1526" s="49"/>
      <c r="G1526" s="43"/>
      <c r="H1526" s="44"/>
      <c r="L1526" s="42"/>
      <c r="M1526" s="42"/>
      <c r="N1526" s="25"/>
      <c r="O1526" s="54"/>
      <c r="P1526"/>
      <c r="Q1526" s="25"/>
      <c r="R1526" s="54"/>
      <c r="W1526" s="23"/>
      <c r="X1526" s="23"/>
      <c r="Y1526" s="23"/>
      <c r="Z1526" s="43"/>
      <c r="AA1526" s="23"/>
      <c r="AB1526" s="23"/>
      <c r="AC1526" s="23"/>
      <c r="AD1526" s="23"/>
      <c r="AE1526" s="23"/>
      <c r="AF1526" s="23"/>
      <c r="AG1526" s="23"/>
      <c r="AH1526" s="23"/>
      <c r="AI1526" s="49"/>
    </row>
    <row r="1527" spans="1:35">
      <c r="A1527" s="23"/>
      <c r="B1527" s="42"/>
      <c r="C1527" s="49"/>
      <c r="E1527" s="49"/>
      <c r="G1527" s="43"/>
      <c r="H1527" s="44"/>
      <c r="L1527" s="42"/>
      <c r="M1527" s="42"/>
      <c r="N1527" s="25"/>
      <c r="O1527" s="54"/>
      <c r="P1527"/>
      <c r="Q1527" s="25"/>
      <c r="R1527" s="54"/>
      <c r="W1527" s="23"/>
      <c r="X1527" s="23"/>
      <c r="Y1527" s="23"/>
      <c r="Z1527" s="43"/>
      <c r="AA1527" s="23"/>
      <c r="AB1527" s="23"/>
      <c r="AC1527" s="23"/>
      <c r="AD1527" s="23"/>
      <c r="AE1527" s="23"/>
      <c r="AF1527" s="23"/>
      <c r="AG1527" s="23"/>
      <c r="AH1527" s="23"/>
      <c r="AI1527" s="49"/>
    </row>
    <row r="1528" spans="1:35">
      <c r="A1528" s="23"/>
      <c r="B1528" s="42"/>
      <c r="C1528" s="49"/>
      <c r="E1528" s="49"/>
      <c r="G1528" s="43"/>
      <c r="H1528" s="44"/>
      <c r="L1528" s="42"/>
      <c r="M1528" s="42"/>
      <c r="N1528" s="25"/>
      <c r="O1528" s="54"/>
      <c r="P1528"/>
      <c r="Q1528" s="25"/>
      <c r="R1528" s="54"/>
      <c r="W1528" s="23"/>
      <c r="X1528" s="23"/>
      <c r="Y1528" s="23"/>
      <c r="Z1528" s="43"/>
      <c r="AA1528" s="23"/>
      <c r="AB1528" s="23"/>
      <c r="AC1528" s="23"/>
      <c r="AD1528" s="23"/>
      <c r="AE1528" s="23"/>
      <c r="AF1528" s="23"/>
      <c r="AG1528" s="23"/>
      <c r="AH1528" s="23"/>
      <c r="AI1528" s="49"/>
    </row>
    <row r="1529" spans="1:35">
      <c r="A1529" s="23"/>
      <c r="B1529" s="42"/>
      <c r="C1529" s="49"/>
      <c r="E1529" s="49"/>
      <c r="G1529" s="43"/>
      <c r="H1529" s="44"/>
      <c r="L1529" s="42"/>
      <c r="M1529" s="42"/>
      <c r="N1529" s="25"/>
      <c r="O1529" s="54"/>
      <c r="P1529"/>
      <c r="Q1529" s="25"/>
      <c r="R1529" s="54"/>
      <c r="W1529" s="23"/>
      <c r="X1529" s="23"/>
      <c r="Y1529" s="23"/>
      <c r="Z1529" s="43"/>
      <c r="AA1529" s="23"/>
      <c r="AB1529" s="23"/>
      <c r="AC1529" s="23"/>
      <c r="AD1529" s="23"/>
      <c r="AE1529" s="23"/>
      <c r="AF1529" s="23"/>
      <c r="AG1529" s="23"/>
      <c r="AH1529" s="23"/>
      <c r="AI1529" s="49"/>
    </row>
    <row r="1530" spans="1:35">
      <c r="A1530" s="23"/>
      <c r="B1530" s="42"/>
      <c r="C1530" s="49"/>
      <c r="E1530" s="49"/>
      <c r="G1530" s="43"/>
      <c r="H1530" s="44"/>
      <c r="L1530" s="42"/>
      <c r="M1530" s="42"/>
      <c r="N1530" s="25"/>
      <c r="O1530" s="54"/>
      <c r="P1530"/>
      <c r="Q1530" s="25"/>
      <c r="R1530" s="54"/>
      <c r="W1530" s="23"/>
      <c r="X1530" s="23"/>
      <c r="Y1530" s="23"/>
      <c r="Z1530" s="43"/>
      <c r="AA1530" s="23"/>
      <c r="AB1530" s="23"/>
      <c r="AC1530" s="23"/>
      <c r="AD1530" s="23"/>
      <c r="AE1530" s="23"/>
      <c r="AF1530" s="23"/>
      <c r="AG1530" s="23"/>
      <c r="AH1530" s="23"/>
      <c r="AI1530" s="49"/>
    </row>
    <row r="1531" spans="1:35">
      <c r="A1531" s="23"/>
      <c r="B1531" s="42"/>
      <c r="C1531" s="49"/>
      <c r="E1531" s="49"/>
      <c r="G1531" s="43"/>
      <c r="H1531" s="44"/>
      <c r="L1531" s="42"/>
      <c r="M1531" s="42"/>
      <c r="N1531" s="25"/>
      <c r="O1531" s="54"/>
      <c r="P1531"/>
      <c r="Q1531" s="25"/>
      <c r="R1531" s="54"/>
      <c r="W1531" s="23"/>
      <c r="X1531" s="23"/>
      <c r="Y1531" s="23"/>
      <c r="Z1531" s="43"/>
      <c r="AA1531" s="23"/>
      <c r="AB1531" s="23"/>
      <c r="AC1531" s="23"/>
      <c r="AD1531" s="23"/>
      <c r="AE1531" s="23"/>
      <c r="AF1531" s="23"/>
      <c r="AG1531" s="23"/>
      <c r="AH1531" s="23"/>
      <c r="AI1531" s="49"/>
    </row>
    <row r="1532" spans="1:35">
      <c r="A1532" s="23"/>
      <c r="B1532" s="42"/>
      <c r="C1532" s="49"/>
      <c r="E1532" s="49"/>
      <c r="G1532" s="43"/>
      <c r="H1532" s="44"/>
      <c r="L1532" s="42"/>
      <c r="M1532" s="42"/>
      <c r="N1532" s="25"/>
      <c r="O1532" s="54"/>
      <c r="P1532"/>
      <c r="Q1532" s="25"/>
      <c r="R1532" s="54"/>
      <c r="W1532" s="23"/>
      <c r="X1532" s="23"/>
      <c r="Y1532" s="23"/>
      <c r="Z1532" s="43"/>
      <c r="AA1532" s="23"/>
      <c r="AB1532" s="23"/>
      <c r="AC1532" s="23"/>
      <c r="AD1532" s="23"/>
      <c r="AE1532" s="23"/>
      <c r="AF1532" s="23"/>
      <c r="AG1532" s="23"/>
      <c r="AH1532" s="23"/>
      <c r="AI1532" s="49"/>
    </row>
    <row r="1533" spans="1:35">
      <c r="A1533" s="23"/>
      <c r="B1533" s="42"/>
      <c r="C1533" s="49"/>
      <c r="E1533" s="49"/>
      <c r="G1533" s="43"/>
      <c r="H1533" s="44"/>
      <c r="L1533" s="42"/>
      <c r="M1533" s="42"/>
      <c r="N1533" s="25"/>
      <c r="O1533" s="54"/>
      <c r="P1533"/>
      <c r="Q1533" s="25"/>
      <c r="R1533" s="54"/>
      <c r="W1533" s="23"/>
      <c r="X1533" s="23"/>
      <c r="Y1533" s="23"/>
      <c r="Z1533" s="43"/>
      <c r="AA1533" s="23"/>
      <c r="AB1533" s="23"/>
      <c r="AC1533" s="23"/>
      <c r="AD1533" s="23"/>
      <c r="AE1533" s="23"/>
      <c r="AF1533" s="23"/>
      <c r="AG1533" s="23"/>
      <c r="AH1533" s="23"/>
      <c r="AI1533" s="49"/>
    </row>
    <row r="1534" spans="1:35">
      <c r="A1534" s="23"/>
      <c r="B1534" s="42"/>
      <c r="C1534" s="49"/>
      <c r="E1534" s="49"/>
      <c r="G1534" s="43"/>
      <c r="H1534" s="44"/>
      <c r="L1534" s="42"/>
      <c r="M1534" s="42"/>
      <c r="N1534" s="25"/>
      <c r="O1534" s="54"/>
      <c r="P1534"/>
      <c r="Q1534" s="25"/>
      <c r="R1534" s="54"/>
      <c r="W1534" s="23"/>
      <c r="X1534" s="23"/>
      <c r="Y1534" s="23"/>
      <c r="Z1534" s="43"/>
      <c r="AA1534" s="23"/>
      <c r="AB1534" s="23"/>
      <c r="AC1534" s="23"/>
      <c r="AD1534" s="23"/>
      <c r="AE1534" s="23"/>
      <c r="AF1534" s="23"/>
      <c r="AG1534" s="23"/>
      <c r="AH1534" s="23"/>
      <c r="AI1534" s="49"/>
    </row>
    <row r="1535" spans="1:35">
      <c r="A1535" s="23"/>
      <c r="B1535" s="42"/>
      <c r="C1535" s="49"/>
      <c r="E1535" s="49"/>
      <c r="G1535" s="43"/>
      <c r="H1535" s="44"/>
      <c r="L1535" s="42"/>
      <c r="M1535" s="42"/>
      <c r="N1535" s="25"/>
      <c r="O1535" s="54"/>
      <c r="P1535"/>
      <c r="Q1535" s="25"/>
      <c r="R1535" s="54"/>
      <c r="W1535" s="23"/>
      <c r="X1535" s="23"/>
      <c r="Y1535" s="23"/>
      <c r="Z1535" s="43"/>
      <c r="AA1535" s="23"/>
      <c r="AB1535" s="23"/>
      <c r="AC1535" s="23"/>
      <c r="AD1535" s="23"/>
      <c r="AE1535" s="23"/>
      <c r="AF1535" s="23"/>
      <c r="AG1535" s="23"/>
      <c r="AH1535" s="23"/>
      <c r="AI1535" s="49"/>
    </row>
    <row r="1536" spans="1:35">
      <c r="A1536" s="23"/>
      <c r="B1536" s="42"/>
      <c r="C1536" s="49"/>
      <c r="E1536" s="49"/>
      <c r="G1536" s="43"/>
      <c r="H1536" s="44"/>
      <c r="L1536" s="42"/>
      <c r="M1536" s="42"/>
      <c r="N1536" s="25"/>
      <c r="O1536" s="54"/>
      <c r="P1536"/>
      <c r="Q1536" s="25"/>
      <c r="R1536" s="54"/>
      <c r="W1536" s="23"/>
      <c r="X1536" s="23"/>
      <c r="Y1536" s="23"/>
      <c r="Z1536" s="43"/>
      <c r="AA1536" s="23"/>
      <c r="AB1536" s="23"/>
      <c r="AC1536" s="23"/>
      <c r="AD1536" s="23"/>
      <c r="AE1536" s="23"/>
      <c r="AF1536" s="23"/>
      <c r="AG1536" s="23"/>
      <c r="AH1536" s="23"/>
      <c r="AI1536" s="49"/>
    </row>
    <row r="1537" spans="1:35">
      <c r="A1537" s="23"/>
      <c r="B1537" s="42"/>
      <c r="C1537" s="49"/>
      <c r="E1537" s="49"/>
      <c r="G1537" s="43"/>
      <c r="H1537" s="44"/>
      <c r="L1537" s="42"/>
      <c r="M1537" s="42"/>
      <c r="N1537" s="25"/>
      <c r="O1537" s="54"/>
      <c r="P1537"/>
      <c r="Q1537" s="25"/>
      <c r="R1537" s="54"/>
      <c r="W1537" s="23"/>
      <c r="X1537" s="23"/>
      <c r="Y1537" s="23"/>
      <c r="Z1537" s="43"/>
      <c r="AA1537" s="23"/>
      <c r="AB1537" s="23"/>
      <c r="AC1537" s="23"/>
      <c r="AD1537" s="23"/>
      <c r="AE1537" s="23"/>
      <c r="AF1537" s="23"/>
      <c r="AG1537" s="23"/>
      <c r="AH1537" s="23"/>
      <c r="AI1537" s="49"/>
    </row>
    <row r="1538" spans="1:35">
      <c r="A1538" s="23"/>
      <c r="B1538" s="42"/>
      <c r="C1538" s="49"/>
      <c r="E1538" s="49"/>
      <c r="G1538" s="43"/>
      <c r="H1538" s="44"/>
      <c r="L1538" s="42"/>
      <c r="M1538" s="42"/>
      <c r="N1538" s="25"/>
      <c r="O1538" s="54"/>
      <c r="P1538"/>
      <c r="Q1538" s="25"/>
      <c r="R1538" s="54"/>
      <c r="W1538" s="23"/>
      <c r="X1538" s="23"/>
      <c r="Y1538" s="23"/>
      <c r="Z1538" s="43"/>
      <c r="AA1538" s="23"/>
      <c r="AB1538" s="23"/>
      <c r="AC1538" s="23"/>
      <c r="AD1538" s="23"/>
      <c r="AE1538" s="23"/>
      <c r="AF1538" s="23"/>
      <c r="AG1538" s="23"/>
      <c r="AH1538" s="23"/>
      <c r="AI1538" s="49"/>
    </row>
    <row r="1539" spans="1:35">
      <c r="A1539" s="23"/>
      <c r="B1539" s="42"/>
      <c r="C1539" s="49"/>
      <c r="E1539" s="49"/>
      <c r="G1539" s="43"/>
      <c r="H1539" s="44"/>
      <c r="L1539" s="42"/>
      <c r="M1539" s="42"/>
      <c r="N1539" s="25"/>
      <c r="O1539" s="54"/>
      <c r="P1539"/>
      <c r="Q1539" s="25"/>
      <c r="R1539" s="54"/>
      <c r="W1539" s="23"/>
      <c r="X1539" s="23"/>
      <c r="Y1539" s="23"/>
      <c r="Z1539" s="43"/>
      <c r="AA1539" s="23"/>
      <c r="AB1539" s="23"/>
      <c r="AC1539" s="23"/>
      <c r="AD1539" s="23"/>
      <c r="AE1539" s="23"/>
      <c r="AF1539" s="23"/>
      <c r="AG1539" s="23"/>
      <c r="AH1539" s="23"/>
      <c r="AI1539" s="49"/>
    </row>
    <row r="1540" spans="1:35">
      <c r="A1540" s="23"/>
      <c r="B1540" s="42"/>
      <c r="C1540" s="49"/>
      <c r="E1540" s="49"/>
      <c r="G1540" s="43"/>
      <c r="H1540" s="44"/>
      <c r="L1540" s="42"/>
      <c r="M1540" s="42"/>
      <c r="N1540" s="25"/>
      <c r="O1540" s="54"/>
      <c r="P1540"/>
      <c r="Q1540" s="25"/>
      <c r="R1540" s="54"/>
      <c r="W1540" s="23"/>
      <c r="X1540" s="23"/>
      <c r="Y1540" s="23"/>
      <c r="Z1540" s="43"/>
      <c r="AA1540" s="23"/>
      <c r="AB1540" s="23"/>
      <c r="AC1540" s="23"/>
      <c r="AD1540" s="23"/>
      <c r="AE1540" s="23"/>
      <c r="AF1540" s="23"/>
      <c r="AG1540" s="23"/>
      <c r="AH1540" s="23"/>
      <c r="AI1540" s="49"/>
    </row>
    <row r="1541" spans="1:35">
      <c r="A1541" s="23"/>
      <c r="B1541" s="42"/>
      <c r="C1541" s="49"/>
      <c r="E1541" s="49"/>
      <c r="G1541" s="43"/>
      <c r="H1541" s="44"/>
      <c r="L1541" s="42"/>
      <c r="M1541" s="42"/>
      <c r="N1541" s="25"/>
      <c r="O1541" s="54"/>
      <c r="P1541"/>
      <c r="Q1541" s="25"/>
      <c r="R1541" s="54"/>
      <c r="W1541" s="23"/>
      <c r="X1541" s="23"/>
      <c r="Y1541" s="23"/>
      <c r="Z1541" s="43"/>
      <c r="AA1541" s="23"/>
      <c r="AB1541" s="23"/>
      <c r="AC1541" s="23"/>
      <c r="AD1541" s="23"/>
      <c r="AE1541" s="23"/>
      <c r="AF1541" s="23"/>
      <c r="AG1541" s="23"/>
      <c r="AH1541" s="23"/>
      <c r="AI1541" s="49"/>
    </row>
    <row r="1542" spans="1:35">
      <c r="A1542" s="23"/>
      <c r="B1542" s="42"/>
      <c r="C1542" s="49"/>
      <c r="E1542" s="49"/>
      <c r="G1542" s="43"/>
      <c r="H1542" s="44"/>
      <c r="L1542" s="42"/>
      <c r="M1542" s="42"/>
      <c r="N1542" s="25"/>
      <c r="O1542" s="54"/>
      <c r="P1542"/>
      <c r="Q1542" s="25"/>
      <c r="R1542" s="54"/>
      <c r="W1542" s="23"/>
      <c r="X1542" s="23"/>
      <c r="Y1542" s="23"/>
      <c r="Z1542" s="43"/>
      <c r="AA1542" s="23"/>
      <c r="AB1542" s="23"/>
      <c r="AC1542" s="23"/>
      <c r="AD1542" s="23"/>
      <c r="AE1542" s="23"/>
      <c r="AF1542" s="23"/>
      <c r="AG1542" s="23"/>
      <c r="AH1542" s="23"/>
      <c r="AI1542" s="49"/>
    </row>
    <row r="1543" spans="1:35">
      <c r="A1543" s="23"/>
      <c r="B1543" s="42"/>
      <c r="C1543" s="49"/>
      <c r="E1543" s="49"/>
      <c r="G1543" s="43"/>
      <c r="H1543" s="44"/>
      <c r="L1543" s="42"/>
      <c r="M1543" s="42"/>
      <c r="N1543" s="25"/>
      <c r="O1543" s="54"/>
      <c r="P1543"/>
      <c r="Q1543" s="25"/>
      <c r="R1543" s="54"/>
      <c r="W1543" s="23"/>
      <c r="X1543" s="23"/>
      <c r="Y1543" s="23"/>
      <c r="Z1543" s="43"/>
      <c r="AA1543" s="23"/>
      <c r="AB1543" s="23"/>
      <c r="AC1543" s="23"/>
      <c r="AD1543" s="23"/>
      <c r="AE1543" s="23"/>
      <c r="AF1543" s="23"/>
      <c r="AG1543" s="23"/>
      <c r="AH1543" s="23"/>
      <c r="AI1543" s="49"/>
    </row>
    <row r="1544" spans="1:35">
      <c r="A1544" s="23"/>
      <c r="B1544" s="42"/>
      <c r="C1544" s="49"/>
      <c r="E1544" s="49"/>
      <c r="G1544" s="43"/>
      <c r="H1544" s="44"/>
      <c r="L1544" s="42"/>
      <c r="M1544" s="42"/>
      <c r="N1544" s="25"/>
      <c r="O1544" s="54"/>
      <c r="P1544"/>
      <c r="Q1544" s="25"/>
      <c r="R1544" s="54"/>
      <c r="W1544" s="23"/>
      <c r="X1544" s="23"/>
      <c r="Y1544" s="23"/>
      <c r="Z1544" s="43"/>
      <c r="AA1544" s="23"/>
      <c r="AB1544" s="23"/>
      <c r="AC1544" s="23"/>
      <c r="AD1544" s="23"/>
      <c r="AE1544" s="23"/>
      <c r="AF1544" s="23"/>
      <c r="AG1544" s="23"/>
      <c r="AH1544" s="23"/>
      <c r="AI1544" s="49"/>
    </row>
    <row r="1545" spans="1:35">
      <c r="A1545" s="23"/>
      <c r="B1545" s="42"/>
      <c r="C1545" s="49"/>
      <c r="E1545" s="49"/>
      <c r="G1545" s="43"/>
      <c r="H1545" s="44"/>
      <c r="L1545" s="42"/>
      <c r="M1545" s="42"/>
      <c r="N1545" s="25"/>
      <c r="O1545" s="54"/>
      <c r="P1545"/>
      <c r="Q1545" s="25"/>
      <c r="R1545" s="54"/>
      <c r="W1545" s="23"/>
      <c r="X1545" s="23"/>
      <c r="Y1545" s="23"/>
      <c r="Z1545" s="43"/>
      <c r="AA1545" s="23"/>
      <c r="AB1545" s="23"/>
      <c r="AC1545" s="23"/>
      <c r="AD1545" s="23"/>
      <c r="AE1545" s="23"/>
      <c r="AF1545" s="23"/>
      <c r="AG1545" s="23"/>
      <c r="AH1545" s="23"/>
      <c r="AI1545" s="49"/>
    </row>
    <row r="1546" spans="1:35">
      <c r="A1546" s="23"/>
      <c r="B1546" s="42"/>
      <c r="C1546" s="49"/>
      <c r="E1546" s="49"/>
      <c r="G1546" s="43"/>
      <c r="H1546" s="44"/>
      <c r="L1546" s="42"/>
      <c r="M1546" s="42"/>
      <c r="N1546" s="25"/>
      <c r="O1546" s="54"/>
      <c r="P1546"/>
      <c r="Q1546" s="25"/>
      <c r="R1546" s="54"/>
      <c r="W1546" s="23"/>
      <c r="X1546" s="23"/>
      <c r="Y1546" s="23"/>
      <c r="Z1546" s="43"/>
      <c r="AA1546" s="23"/>
      <c r="AB1546" s="23"/>
      <c r="AC1546" s="23"/>
      <c r="AD1546" s="23"/>
      <c r="AE1546" s="23"/>
      <c r="AF1546" s="23"/>
      <c r="AG1546" s="23"/>
      <c r="AH1546" s="23"/>
      <c r="AI1546" s="49"/>
    </row>
    <row r="1547" spans="1:35">
      <c r="A1547" s="23"/>
      <c r="B1547" s="42"/>
      <c r="C1547" s="49"/>
      <c r="E1547" s="49"/>
      <c r="G1547" s="43"/>
      <c r="H1547" s="44"/>
      <c r="L1547" s="42"/>
      <c r="M1547" s="42"/>
      <c r="N1547" s="25"/>
      <c r="O1547" s="54"/>
      <c r="P1547"/>
      <c r="Q1547" s="25"/>
      <c r="R1547" s="54"/>
      <c r="W1547" s="23"/>
      <c r="X1547" s="23"/>
      <c r="Y1547" s="23"/>
      <c r="Z1547" s="43"/>
      <c r="AA1547" s="23"/>
      <c r="AB1547" s="23"/>
      <c r="AC1547" s="23"/>
      <c r="AD1547" s="23"/>
      <c r="AE1547" s="23"/>
      <c r="AF1547" s="23"/>
      <c r="AG1547" s="23"/>
      <c r="AH1547" s="23"/>
      <c r="AI1547" s="49"/>
    </row>
    <row r="1548" spans="1:35">
      <c r="A1548" s="23"/>
      <c r="B1548" s="42"/>
      <c r="C1548" s="49"/>
      <c r="E1548" s="49"/>
      <c r="G1548" s="43"/>
      <c r="H1548" s="44"/>
      <c r="L1548" s="42"/>
      <c r="M1548" s="42"/>
      <c r="N1548" s="25"/>
      <c r="O1548" s="54"/>
      <c r="P1548"/>
      <c r="Q1548" s="25"/>
      <c r="R1548" s="54"/>
      <c r="W1548" s="23"/>
      <c r="X1548" s="23"/>
      <c r="Y1548" s="23"/>
      <c r="Z1548" s="43"/>
      <c r="AA1548" s="23"/>
      <c r="AB1548" s="23"/>
      <c r="AC1548" s="23"/>
      <c r="AD1548" s="23"/>
      <c r="AE1548" s="23"/>
      <c r="AF1548" s="23"/>
      <c r="AG1548" s="23"/>
      <c r="AH1548" s="23"/>
      <c r="AI1548" s="49"/>
    </row>
    <row r="1549" spans="1:35">
      <c r="A1549" s="23"/>
      <c r="B1549" s="42"/>
      <c r="C1549" s="49"/>
      <c r="E1549" s="49"/>
      <c r="G1549" s="43"/>
      <c r="H1549" s="44"/>
      <c r="L1549" s="42"/>
      <c r="M1549" s="42"/>
      <c r="N1549" s="25"/>
      <c r="O1549" s="54"/>
      <c r="P1549"/>
      <c r="Q1549" s="25"/>
      <c r="R1549" s="54"/>
      <c r="W1549" s="23"/>
      <c r="X1549" s="23"/>
      <c r="Y1549" s="23"/>
      <c r="Z1549" s="43"/>
      <c r="AA1549" s="23"/>
      <c r="AB1549" s="23"/>
      <c r="AC1549" s="23"/>
      <c r="AD1549" s="23"/>
      <c r="AE1549" s="23"/>
      <c r="AF1549" s="23"/>
      <c r="AG1549" s="23"/>
      <c r="AH1549" s="23"/>
      <c r="AI1549" s="49"/>
    </row>
    <row r="1550" spans="1:35">
      <c r="A1550" s="23"/>
      <c r="B1550" s="42"/>
      <c r="C1550" s="49"/>
      <c r="E1550" s="49"/>
      <c r="G1550" s="43"/>
      <c r="H1550" s="44"/>
      <c r="L1550" s="42"/>
      <c r="M1550" s="42"/>
      <c r="N1550" s="25"/>
      <c r="O1550" s="54"/>
      <c r="P1550"/>
      <c r="Q1550" s="25"/>
      <c r="R1550" s="54"/>
      <c r="W1550" s="23"/>
      <c r="X1550" s="23"/>
      <c r="Y1550" s="23"/>
      <c r="Z1550" s="43"/>
      <c r="AA1550" s="23"/>
      <c r="AB1550" s="23"/>
      <c r="AC1550" s="23"/>
      <c r="AD1550" s="23"/>
      <c r="AE1550" s="23"/>
      <c r="AF1550" s="23"/>
      <c r="AG1550" s="23"/>
      <c r="AH1550" s="23"/>
      <c r="AI1550" s="49"/>
    </row>
    <row r="1551" spans="1:35">
      <c r="A1551" s="23"/>
      <c r="B1551" s="42"/>
      <c r="C1551" s="49"/>
      <c r="E1551" s="49"/>
      <c r="G1551" s="43"/>
      <c r="H1551" s="44"/>
      <c r="L1551" s="42"/>
      <c r="M1551" s="42"/>
      <c r="N1551" s="25"/>
      <c r="O1551" s="54"/>
      <c r="P1551"/>
      <c r="Q1551" s="25"/>
      <c r="R1551" s="54"/>
      <c r="W1551" s="23"/>
      <c r="X1551" s="23"/>
      <c r="Y1551" s="23"/>
      <c r="Z1551" s="43"/>
      <c r="AA1551" s="23"/>
      <c r="AB1551" s="23"/>
      <c r="AC1551" s="23"/>
      <c r="AD1551" s="23"/>
      <c r="AE1551" s="23"/>
      <c r="AF1551" s="23"/>
      <c r="AG1551" s="23"/>
      <c r="AH1551" s="23"/>
      <c r="AI1551" s="49"/>
    </row>
    <row r="1552" spans="1:35">
      <c r="A1552" s="23"/>
      <c r="B1552" s="42"/>
      <c r="C1552" s="49"/>
      <c r="E1552" s="49"/>
      <c r="G1552" s="43"/>
      <c r="H1552" s="44"/>
      <c r="L1552" s="42"/>
      <c r="M1552" s="42"/>
      <c r="N1552" s="25"/>
      <c r="O1552" s="54"/>
      <c r="P1552"/>
      <c r="Q1552" s="25"/>
      <c r="R1552" s="54"/>
      <c r="W1552" s="23"/>
      <c r="X1552" s="23"/>
      <c r="Y1552" s="23"/>
      <c r="Z1552" s="43"/>
      <c r="AA1552" s="23"/>
      <c r="AB1552" s="23"/>
      <c r="AC1552" s="23"/>
      <c r="AD1552" s="23"/>
      <c r="AE1552" s="23"/>
      <c r="AF1552" s="23"/>
      <c r="AG1552" s="23"/>
      <c r="AH1552" s="23"/>
      <c r="AI1552" s="49"/>
    </row>
    <row r="1553" spans="1:35">
      <c r="A1553" s="23"/>
      <c r="B1553" s="42"/>
      <c r="C1553" s="49"/>
      <c r="E1553" s="49"/>
      <c r="G1553" s="43"/>
      <c r="H1553" s="44"/>
      <c r="L1553" s="42"/>
      <c r="M1553" s="42"/>
      <c r="N1553" s="25"/>
      <c r="O1553" s="54"/>
      <c r="P1553"/>
      <c r="Q1553" s="25"/>
      <c r="R1553" s="54"/>
      <c r="W1553" s="23"/>
      <c r="X1553" s="23"/>
      <c r="Y1553" s="23"/>
      <c r="Z1553" s="43"/>
      <c r="AA1553" s="23"/>
      <c r="AB1553" s="23"/>
      <c r="AC1553" s="23"/>
      <c r="AD1553" s="23"/>
      <c r="AE1553" s="23"/>
      <c r="AF1553" s="23"/>
      <c r="AG1553" s="23"/>
      <c r="AH1553" s="23"/>
      <c r="AI1553" s="49"/>
    </row>
    <row r="1554" spans="1:35">
      <c r="A1554" s="23"/>
      <c r="B1554" s="42"/>
      <c r="C1554" s="49"/>
      <c r="E1554" s="49"/>
      <c r="G1554" s="43"/>
      <c r="H1554" s="44"/>
      <c r="L1554" s="42"/>
      <c r="M1554" s="42"/>
      <c r="N1554" s="25"/>
      <c r="O1554" s="54"/>
      <c r="P1554"/>
      <c r="Q1554" s="25"/>
      <c r="R1554" s="54"/>
      <c r="W1554" s="23"/>
      <c r="X1554" s="23"/>
      <c r="Y1554" s="23"/>
      <c r="Z1554" s="43"/>
      <c r="AA1554" s="23"/>
      <c r="AB1554" s="23"/>
      <c r="AC1554" s="23"/>
      <c r="AD1554" s="23"/>
      <c r="AE1554" s="23"/>
      <c r="AF1554" s="23"/>
      <c r="AG1554" s="23"/>
      <c r="AH1554" s="23"/>
      <c r="AI1554" s="49"/>
    </row>
    <row r="1555" spans="1:35">
      <c r="A1555" s="23"/>
      <c r="B1555" s="42"/>
      <c r="C1555" s="49"/>
      <c r="E1555" s="49"/>
      <c r="G1555" s="43"/>
      <c r="H1555" s="44"/>
      <c r="L1555" s="42"/>
      <c r="M1555" s="42"/>
      <c r="N1555" s="25"/>
      <c r="O1555" s="54"/>
      <c r="P1555"/>
      <c r="Q1555" s="25"/>
      <c r="R1555" s="54"/>
      <c r="W1555" s="23"/>
      <c r="X1555" s="23"/>
      <c r="Y1555" s="23"/>
      <c r="Z1555" s="43"/>
      <c r="AA1555" s="23"/>
      <c r="AB1555" s="23"/>
      <c r="AC1555" s="23"/>
      <c r="AD1555" s="23"/>
      <c r="AE1555" s="23"/>
      <c r="AF1555" s="23"/>
      <c r="AG1555" s="23"/>
      <c r="AH1555" s="23"/>
      <c r="AI1555" s="49"/>
    </row>
    <row r="1556" spans="1:35">
      <c r="A1556" s="23"/>
      <c r="B1556" s="42"/>
      <c r="C1556" s="49"/>
      <c r="E1556" s="49"/>
      <c r="G1556" s="43"/>
      <c r="H1556" s="44"/>
      <c r="L1556" s="42"/>
      <c r="M1556" s="42"/>
      <c r="N1556" s="25"/>
      <c r="O1556" s="54"/>
      <c r="P1556"/>
      <c r="Q1556" s="25"/>
      <c r="R1556" s="54"/>
      <c r="W1556" s="23"/>
      <c r="X1556" s="23"/>
      <c r="Y1556" s="23"/>
      <c r="Z1556" s="43"/>
      <c r="AA1556" s="23"/>
      <c r="AB1556" s="23"/>
      <c r="AC1556" s="23"/>
      <c r="AD1556" s="23"/>
      <c r="AE1556" s="23"/>
      <c r="AF1556" s="23"/>
      <c r="AG1556" s="23"/>
      <c r="AH1556" s="23"/>
      <c r="AI1556" s="49"/>
    </row>
    <row r="1557" spans="1:35">
      <c r="A1557" s="23"/>
      <c r="B1557" s="42"/>
      <c r="C1557" s="49"/>
      <c r="E1557" s="49"/>
      <c r="G1557" s="43"/>
      <c r="H1557" s="44"/>
      <c r="L1557" s="42"/>
      <c r="M1557" s="42"/>
      <c r="N1557" s="25"/>
      <c r="O1557" s="54"/>
      <c r="P1557"/>
      <c r="Q1557" s="25"/>
      <c r="R1557" s="54"/>
      <c r="W1557" s="23"/>
      <c r="X1557" s="23"/>
      <c r="Y1557" s="23"/>
      <c r="Z1557" s="43"/>
      <c r="AA1557" s="23"/>
      <c r="AB1557" s="23"/>
      <c r="AC1557" s="23"/>
      <c r="AD1557" s="23"/>
      <c r="AE1557" s="23"/>
      <c r="AF1557" s="23"/>
      <c r="AG1557" s="23"/>
      <c r="AH1557" s="23"/>
      <c r="AI1557" s="49"/>
    </row>
    <row r="1558" spans="1:35">
      <c r="A1558" s="23"/>
      <c r="B1558" s="42"/>
      <c r="C1558" s="49"/>
      <c r="E1558" s="49"/>
      <c r="G1558" s="43"/>
      <c r="H1558" s="44"/>
      <c r="L1558" s="42"/>
      <c r="M1558" s="42"/>
      <c r="N1558" s="25"/>
      <c r="O1558" s="54"/>
      <c r="P1558"/>
      <c r="Q1558" s="25"/>
      <c r="R1558" s="54"/>
      <c r="W1558" s="23"/>
      <c r="X1558" s="23"/>
      <c r="Y1558" s="23"/>
      <c r="Z1558" s="43"/>
      <c r="AA1558" s="23"/>
      <c r="AB1558" s="23"/>
      <c r="AC1558" s="23"/>
      <c r="AD1558" s="23"/>
      <c r="AE1558" s="23"/>
      <c r="AF1558" s="23"/>
      <c r="AG1558" s="23"/>
      <c r="AH1558" s="23"/>
      <c r="AI1558" s="49"/>
    </row>
    <row r="1559" spans="1:35">
      <c r="A1559" s="23"/>
      <c r="B1559" s="42"/>
      <c r="C1559" s="49"/>
      <c r="E1559" s="49"/>
      <c r="G1559" s="43"/>
      <c r="H1559" s="44"/>
      <c r="L1559" s="42"/>
      <c r="M1559" s="42"/>
      <c r="N1559" s="25"/>
      <c r="O1559" s="54"/>
      <c r="P1559"/>
      <c r="Q1559" s="25"/>
      <c r="R1559" s="54"/>
      <c r="W1559" s="23"/>
      <c r="X1559" s="23"/>
      <c r="Y1559" s="23"/>
      <c r="Z1559" s="43"/>
      <c r="AA1559" s="23"/>
      <c r="AB1559" s="23"/>
      <c r="AC1559" s="23"/>
      <c r="AD1559" s="23"/>
      <c r="AE1559" s="23"/>
      <c r="AF1559" s="23"/>
      <c r="AG1559" s="23"/>
      <c r="AH1559" s="23"/>
      <c r="AI1559" s="49"/>
    </row>
    <row r="1560" spans="1:35">
      <c r="A1560" s="23"/>
      <c r="B1560" s="42"/>
      <c r="C1560" s="49"/>
      <c r="E1560" s="49"/>
      <c r="G1560" s="43"/>
      <c r="H1560" s="44"/>
      <c r="L1560" s="42"/>
      <c r="M1560" s="42"/>
      <c r="N1560" s="25"/>
      <c r="O1560" s="54"/>
      <c r="P1560"/>
      <c r="Q1560" s="25"/>
      <c r="R1560" s="54"/>
      <c r="W1560" s="23"/>
      <c r="X1560" s="23"/>
      <c r="Y1560" s="23"/>
      <c r="Z1560" s="43"/>
      <c r="AA1560" s="23"/>
      <c r="AB1560" s="23"/>
      <c r="AC1560" s="23"/>
      <c r="AD1560" s="23"/>
      <c r="AE1560" s="23"/>
      <c r="AF1560" s="23"/>
      <c r="AG1560" s="23"/>
      <c r="AH1560" s="23"/>
      <c r="AI1560" s="49"/>
    </row>
    <row r="1561" spans="1:35">
      <c r="A1561" s="23"/>
      <c r="B1561" s="42"/>
      <c r="C1561" s="49"/>
      <c r="E1561" s="49"/>
      <c r="G1561" s="43"/>
      <c r="H1561" s="44"/>
      <c r="L1561" s="42"/>
      <c r="M1561" s="42"/>
      <c r="N1561" s="25"/>
      <c r="O1561" s="54"/>
      <c r="P1561"/>
      <c r="Q1561" s="25"/>
      <c r="R1561" s="54"/>
      <c r="W1561" s="23"/>
      <c r="X1561" s="23"/>
      <c r="Y1561" s="23"/>
      <c r="Z1561" s="43"/>
      <c r="AA1561" s="23"/>
      <c r="AB1561" s="23"/>
      <c r="AC1561" s="23"/>
      <c r="AD1561" s="23"/>
      <c r="AE1561" s="23"/>
      <c r="AF1561" s="23"/>
      <c r="AG1561" s="23"/>
      <c r="AH1561" s="23"/>
      <c r="AI1561" s="49"/>
    </row>
    <row r="1562" spans="1:35">
      <c r="A1562" s="23"/>
      <c r="B1562" s="42"/>
      <c r="C1562" s="49"/>
      <c r="E1562" s="49"/>
      <c r="G1562" s="43"/>
      <c r="H1562" s="44"/>
      <c r="L1562" s="42"/>
      <c r="M1562" s="42"/>
      <c r="N1562" s="25"/>
      <c r="O1562" s="54"/>
      <c r="P1562"/>
      <c r="Q1562" s="25"/>
      <c r="R1562" s="54"/>
      <c r="W1562" s="23"/>
      <c r="X1562" s="23"/>
      <c r="Y1562" s="23"/>
      <c r="Z1562" s="43"/>
      <c r="AA1562" s="23"/>
      <c r="AB1562" s="23"/>
      <c r="AC1562" s="23"/>
      <c r="AD1562" s="23"/>
      <c r="AE1562" s="23"/>
      <c r="AF1562" s="23"/>
      <c r="AG1562" s="23"/>
      <c r="AH1562" s="23"/>
      <c r="AI1562" s="49"/>
    </row>
    <row r="1563" spans="1:35">
      <c r="A1563" s="23"/>
      <c r="B1563" s="42"/>
      <c r="C1563" s="49"/>
      <c r="E1563" s="49"/>
      <c r="G1563" s="43"/>
      <c r="H1563" s="44"/>
      <c r="L1563" s="42"/>
      <c r="M1563" s="42"/>
      <c r="N1563" s="25"/>
      <c r="O1563" s="54"/>
      <c r="P1563"/>
      <c r="Q1563" s="25"/>
      <c r="R1563" s="54"/>
      <c r="W1563" s="23"/>
      <c r="X1563" s="23"/>
      <c r="Y1563" s="23"/>
      <c r="Z1563" s="43"/>
      <c r="AA1563" s="23"/>
      <c r="AB1563" s="23"/>
      <c r="AC1563" s="23"/>
      <c r="AD1563" s="23"/>
      <c r="AE1563" s="23"/>
      <c r="AF1563" s="23"/>
      <c r="AG1563" s="23"/>
      <c r="AH1563" s="23"/>
      <c r="AI1563" s="49"/>
    </row>
    <row r="1564" spans="1:35">
      <c r="A1564" s="23"/>
      <c r="B1564" s="42"/>
      <c r="C1564" s="49"/>
      <c r="E1564" s="49"/>
      <c r="G1564" s="43"/>
      <c r="H1564" s="44"/>
      <c r="L1564" s="42"/>
      <c r="M1564" s="42"/>
      <c r="N1564" s="25"/>
      <c r="O1564" s="54"/>
      <c r="P1564"/>
      <c r="Q1564" s="25"/>
      <c r="R1564" s="54"/>
      <c r="W1564" s="23"/>
      <c r="X1564" s="23"/>
      <c r="Y1564" s="23"/>
      <c r="Z1564" s="43"/>
      <c r="AA1564" s="23"/>
      <c r="AB1564" s="23"/>
      <c r="AC1564" s="23"/>
      <c r="AD1564" s="23"/>
      <c r="AE1564" s="23"/>
      <c r="AF1564" s="23"/>
      <c r="AG1564" s="23"/>
      <c r="AH1564" s="23"/>
      <c r="AI1564" s="49"/>
    </row>
    <row r="1565" spans="1:35">
      <c r="A1565" s="23"/>
      <c r="B1565" s="42"/>
      <c r="C1565" s="49"/>
      <c r="E1565" s="49"/>
      <c r="G1565" s="43"/>
      <c r="H1565" s="44"/>
      <c r="L1565" s="42"/>
      <c r="M1565" s="42"/>
      <c r="N1565" s="25"/>
      <c r="O1565" s="54"/>
      <c r="P1565"/>
      <c r="Q1565" s="25"/>
      <c r="R1565" s="54"/>
      <c r="W1565" s="23"/>
      <c r="X1565" s="23"/>
      <c r="Y1565" s="23"/>
      <c r="Z1565" s="43"/>
      <c r="AA1565" s="23"/>
      <c r="AB1565" s="23"/>
      <c r="AC1565" s="23"/>
      <c r="AD1565" s="23"/>
      <c r="AE1565" s="23"/>
      <c r="AF1565" s="23"/>
      <c r="AG1565" s="23"/>
      <c r="AH1565" s="23"/>
      <c r="AI1565" s="49"/>
    </row>
    <row r="1566" spans="1:35">
      <c r="A1566" s="23"/>
      <c r="B1566" s="42"/>
      <c r="C1566" s="49"/>
      <c r="E1566" s="49"/>
      <c r="G1566" s="43"/>
      <c r="H1566" s="44"/>
      <c r="L1566" s="42"/>
      <c r="M1566" s="42"/>
      <c r="N1566" s="25"/>
      <c r="O1566" s="54"/>
      <c r="P1566"/>
      <c r="Q1566" s="25"/>
      <c r="R1566" s="54"/>
      <c r="W1566" s="23"/>
      <c r="X1566" s="23"/>
      <c r="Y1566" s="23"/>
      <c r="Z1566" s="43"/>
      <c r="AA1566" s="23"/>
      <c r="AB1566" s="23"/>
      <c r="AC1566" s="23"/>
      <c r="AD1566" s="23"/>
      <c r="AE1566" s="23"/>
      <c r="AF1566" s="23"/>
      <c r="AG1566" s="23"/>
      <c r="AH1566" s="23"/>
      <c r="AI1566" s="49"/>
    </row>
    <row r="1567" spans="1:35">
      <c r="A1567" s="23"/>
      <c r="B1567" s="42"/>
      <c r="C1567" s="49"/>
      <c r="E1567" s="49"/>
      <c r="G1567" s="43"/>
      <c r="H1567" s="44"/>
      <c r="L1567" s="42"/>
      <c r="M1567" s="42"/>
      <c r="N1567" s="25"/>
      <c r="O1567" s="54"/>
      <c r="P1567"/>
      <c r="Q1567" s="25"/>
      <c r="R1567" s="54"/>
      <c r="W1567" s="23"/>
      <c r="X1567" s="23"/>
      <c r="Y1567" s="23"/>
      <c r="Z1567" s="43"/>
      <c r="AA1567" s="23"/>
      <c r="AB1567" s="23"/>
      <c r="AC1567" s="23"/>
      <c r="AD1567" s="23"/>
      <c r="AE1567" s="23"/>
      <c r="AF1567" s="23"/>
      <c r="AG1567" s="23"/>
      <c r="AH1567" s="23"/>
      <c r="AI1567" s="49"/>
    </row>
    <row r="1568" spans="1:35">
      <c r="A1568" s="23"/>
      <c r="B1568" s="42"/>
      <c r="C1568" s="49"/>
      <c r="E1568" s="49"/>
      <c r="G1568" s="43"/>
      <c r="H1568" s="44"/>
      <c r="L1568" s="42"/>
      <c r="M1568" s="42"/>
      <c r="N1568" s="25"/>
      <c r="O1568" s="54"/>
      <c r="P1568"/>
      <c r="Q1568" s="25"/>
      <c r="R1568" s="54"/>
      <c r="W1568" s="23"/>
      <c r="X1568" s="23"/>
      <c r="Y1568" s="23"/>
      <c r="Z1568" s="43"/>
      <c r="AA1568" s="23"/>
      <c r="AB1568" s="23"/>
      <c r="AC1568" s="23"/>
      <c r="AD1568" s="23"/>
      <c r="AE1568" s="23"/>
      <c r="AF1568" s="23"/>
      <c r="AG1568" s="23"/>
      <c r="AH1568" s="23"/>
      <c r="AI1568" s="49"/>
    </row>
    <row r="1569" spans="1:35">
      <c r="A1569" s="23"/>
      <c r="B1569" s="42"/>
      <c r="C1569" s="49"/>
      <c r="E1569" s="49"/>
      <c r="G1569" s="43"/>
      <c r="H1569" s="44"/>
      <c r="L1569" s="42"/>
      <c r="M1569" s="42"/>
      <c r="N1569" s="25"/>
      <c r="O1569" s="54"/>
      <c r="P1569"/>
      <c r="Q1569" s="25"/>
      <c r="R1569" s="54"/>
      <c r="W1569" s="23"/>
      <c r="X1569" s="23"/>
      <c r="Y1569" s="23"/>
      <c r="Z1569" s="43"/>
      <c r="AA1569" s="23"/>
      <c r="AB1569" s="23"/>
      <c r="AC1569" s="23"/>
      <c r="AD1569" s="23"/>
      <c r="AE1569" s="23"/>
      <c r="AF1569" s="23"/>
      <c r="AG1569" s="23"/>
      <c r="AH1569" s="23"/>
      <c r="AI1569" s="49"/>
    </row>
    <row r="1570" spans="1:35">
      <c r="A1570" s="23"/>
      <c r="B1570" s="42"/>
      <c r="C1570" s="49"/>
      <c r="E1570" s="49"/>
      <c r="G1570" s="43"/>
      <c r="H1570" s="44"/>
      <c r="L1570" s="42"/>
      <c r="M1570" s="42"/>
      <c r="N1570" s="25"/>
      <c r="O1570" s="54"/>
      <c r="P1570"/>
      <c r="Q1570" s="25"/>
      <c r="R1570" s="54"/>
      <c r="W1570" s="23"/>
      <c r="X1570" s="23"/>
      <c r="Y1570" s="23"/>
      <c r="Z1570" s="43"/>
      <c r="AA1570" s="23"/>
      <c r="AB1570" s="23"/>
      <c r="AC1570" s="23"/>
      <c r="AD1570" s="23"/>
      <c r="AE1570" s="23"/>
      <c r="AF1570" s="23"/>
      <c r="AG1570" s="23"/>
      <c r="AH1570" s="23"/>
      <c r="AI1570" s="49"/>
    </row>
    <row r="1571" spans="1:35">
      <c r="A1571" s="23"/>
      <c r="B1571" s="42"/>
      <c r="C1571" s="49"/>
      <c r="E1571" s="49"/>
      <c r="G1571" s="43"/>
      <c r="H1571" s="44"/>
      <c r="L1571" s="42"/>
      <c r="M1571" s="42"/>
      <c r="N1571" s="25"/>
      <c r="O1571" s="54"/>
      <c r="P1571"/>
      <c r="Q1571" s="25"/>
      <c r="R1571" s="54"/>
      <c r="W1571" s="23"/>
      <c r="X1571" s="23"/>
      <c r="Y1571" s="23"/>
      <c r="Z1571" s="43"/>
      <c r="AA1571" s="23"/>
      <c r="AB1571" s="23"/>
      <c r="AC1571" s="23"/>
      <c r="AD1571" s="23"/>
      <c r="AE1571" s="23"/>
      <c r="AF1571" s="23"/>
      <c r="AG1571" s="23"/>
      <c r="AH1571" s="23"/>
      <c r="AI1571" s="49"/>
    </row>
    <row r="1572" spans="1:35">
      <c r="A1572" s="23"/>
      <c r="B1572" s="42"/>
      <c r="C1572" s="49"/>
      <c r="E1572" s="49"/>
      <c r="G1572" s="43"/>
      <c r="H1572" s="44"/>
      <c r="L1572" s="42"/>
      <c r="M1572" s="42"/>
      <c r="N1572" s="25"/>
      <c r="O1572" s="54"/>
      <c r="P1572"/>
      <c r="Q1572" s="25"/>
      <c r="R1572" s="54"/>
      <c r="W1572" s="23"/>
      <c r="X1572" s="23"/>
      <c r="Y1572" s="23"/>
      <c r="Z1572" s="43"/>
      <c r="AA1572" s="23"/>
      <c r="AB1572" s="23"/>
      <c r="AC1572" s="23"/>
      <c r="AD1572" s="23"/>
      <c r="AE1572" s="23"/>
      <c r="AF1572" s="23"/>
      <c r="AG1572" s="23"/>
      <c r="AH1572" s="23"/>
      <c r="AI1572" s="49"/>
    </row>
    <row r="1573" spans="1:35">
      <c r="A1573" s="23"/>
      <c r="B1573" s="42"/>
      <c r="C1573" s="49"/>
      <c r="E1573" s="49"/>
      <c r="G1573" s="43"/>
      <c r="H1573" s="44"/>
      <c r="L1573" s="42"/>
      <c r="M1573" s="42"/>
      <c r="N1573" s="25"/>
      <c r="O1573" s="54"/>
      <c r="P1573"/>
      <c r="Q1573" s="25"/>
      <c r="R1573" s="54"/>
      <c r="W1573" s="23"/>
      <c r="X1573" s="23"/>
      <c r="Y1573" s="23"/>
      <c r="Z1573" s="43"/>
      <c r="AA1573" s="23"/>
      <c r="AB1573" s="23"/>
      <c r="AC1573" s="23"/>
      <c r="AD1573" s="23"/>
      <c r="AE1573" s="23"/>
      <c r="AF1573" s="23"/>
      <c r="AG1573" s="23"/>
      <c r="AH1573" s="23"/>
      <c r="AI1573" s="49"/>
    </row>
    <row r="1574" spans="1:35">
      <c r="A1574" s="23"/>
      <c r="B1574" s="42"/>
      <c r="C1574" s="49"/>
      <c r="E1574" s="49"/>
      <c r="G1574" s="43"/>
      <c r="H1574" s="44"/>
      <c r="L1574" s="42"/>
      <c r="M1574" s="42"/>
      <c r="N1574" s="25"/>
      <c r="O1574" s="54"/>
      <c r="P1574"/>
      <c r="Q1574" s="25"/>
      <c r="R1574" s="54"/>
      <c r="W1574" s="23"/>
      <c r="X1574" s="23"/>
      <c r="Y1574" s="23"/>
      <c r="Z1574" s="43"/>
      <c r="AA1574" s="23"/>
      <c r="AB1574" s="23"/>
      <c r="AC1574" s="23"/>
      <c r="AD1574" s="23"/>
      <c r="AE1574" s="23"/>
      <c r="AF1574" s="23"/>
      <c r="AG1574" s="23"/>
      <c r="AH1574" s="23"/>
      <c r="AI1574" s="49"/>
    </row>
    <row r="1575" spans="1:35">
      <c r="A1575" s="23"/>
      <c r="B1575" s="42"/>
      <c r="C1575" s="49"/>
      <c r="E1575" s="49"/>
      <c r="G1575" s="43"/>
      <c r="H1575" s="44"/>
      <c r="L1575" s="42"/>
      <c r="M1575" s="42"/>
      <c r="N1575" s="25"/>
      <c r="O1575" s="54"/>
      <c r="P1575"/>
      <c r="Q1575" s="25"/>
      <c r="R1575" s="54"/>
      <c r="W1575" s="23"/>
      <c r="X1575" s="23"/>
      <c r="Y1575" s="23"/>
      <c r="Z1575" s="43"/>
      <c r="AA1575" s="23"/>
      <c r="AB1575" s="23"/>
      <c r="AC1575" s="23"/>
      <c r="AD1575" s="23"/>
      <c r="AE1575" s="23"/>
      <c r="AF1575" s="23"/>
      <c r="AG1575" s="23"/>
      <c r="AH1575" s="23"/>
      <c r="AI1575" s="49"/>
    </row>
    <row r="1576" spans="1:35">
      <c r="A1576" s="23"/>
      <c r="B1576" s="42"/>
      <c r="C1576" s="49"/>
      <c r="E1576" s="49"/>
      <c r="G1576" s="43"/>
      <c r="H1576" s="44"/>
      <c r="L1576" s="42"/>
      <c r="M1576" s="42"/>
      <c r="N1576" s="25"/>
      <c r="O1576" s="54"/>
      <c r="P1576"/>
      <c r="Q1576" s="25"/>
      <c r="R1576" s="54"/>
      <c r="W1576" s="23"/>
      <c r="X1576" s="23"/>
      <c r="Y1576" s="23"/>
      <c r="Z1576" s="43"/>
      <c r="AA1576" s="23"/>
      <c r="AB1576" s="23"/>
      <c r="AC1576" s="23"/>
      <c r="AD1576" s="23"/>
      <c r="AE1576" s="23"/>
      <c r="AF1576" s="23"/>
      <c r="AG1576" s="23"/>
      <c r="AH1576" s="23"/>
      <c r="AI1576" s="49"/>
    </row>
    <row r="1577" spans="1:35">
      <c r="A1577" s="23"/>
      <c r="B1577" s="42"/>
      <c r="C1577" s="49"/>
      <c r="E1577" s="49"/>
      <c r="G1577" s="43"/>
      <c r="H1577" s="44"/>
      <c r="L1577" s="42"/>
      <c r="M1577" s="42"/>
      <c r="N1577" s="25"/>
      <c r="O1577" s="54"/>
      <c r="P1577"/>
      <c r="Q1577" s="25"/>
      <c r="R1577" s="54"/>
      <c r="W1577" s="23"/>
      <c r="X1577" s="23"/>
      <c r="Y1577" s="23"/>
      <c r="Z1577" s="43"/>
      <c r="AA1577" s="23"/>
      <c r="AB1577" s="23"/>
      <c r="AC1577" s="23"/>
      <c r="AD1577" s="23"/>
      <c r="AE1577" s="23"/>
      <c r="AF1577" s="23"/>
      <c r="AG1577" s="23"/>
      <c r="AH1577" s="23"/>
      <c r="AI1577" s="49"/>
    </row>
    <row r="1578" spans="1:35">
      <c r="A1578" s="23"/>
      <c r="B1578" s="42"/>
      <c r="C1578" s="49"/>
      <c r="E1578" s="49"/>
      <c r="G1578" s="43"/>
      <c r="H1578" s="44"/>
      <c r="L1578" s="42"/>
      <c r="M1578" s="42"/>
      <c r="N1578" s="25"/>
      <c r="O1578" s="54"/>
      <c r="P1578"/>
      <c r="Q1578" s="25"/>
      <c r="R1578" s="54"/>
      <c r="W1578" s="23"/>
      <c r="X1578" s="23"/>
      <c r="Y1578" s="23"/>
      <c r="Z1578" s="43"/>
      <c r="AA1578" s="23"/>
      <c r="AB1578" s="23"/>
      <c r="AC1578" s="23"/>
      <c r="AD1578" s="23"/>
      <c r="AE1578" s="23"/>
      <c r="AF1578" s="23"/>
      <c r="AG1578" s="23"/>
      <c r="AH1578" s="23"/>
      <c r="AI1578" s="49"/>
    </row>
    <row r="1579" spans="1:35">
      <c r="A1579" s="23"/>
      <c r="B1579" s="42"/>
      <c r="C1579" s="49"/>
      <c r="E1579" s="49"/>
      <c r="G1579" s="43"/>
      <c r="H1579" s="44"/>
      <c r="L1579" s="42"/>
      <c r="M1579" s="42"/>
      <c r="N1579" s="25"/>
      <c r="O1579" s="54"/>
      <c r="P1579"/>
      <c r="Q1579" s="25"/>
      <c r="R1579" s="54"/>
      <c r="W1579" s="23"/>
      <c r="X1579" s="23"/>
      <c r="Y1579" s="23"/>
      <c r="Z1579" s="43"/>
      <c r="AA1579" s="23"/>
      <c r="AB1579" s="23"/>
      <c r="AC1579" s="23"/>
      <c r="AD1579" s="23"/>
      <c r="AE1579" s="23"/>
      <c r="AF1579" s="23"/>
      <c r="AG1579" s="23"/>
      <c r="AH1579" s="23"/>
      <c r="AI1579" s="49"/>
    </row>
    <row r="1580" spans="1:35">
      <c r="A1580" s="23"/>
      <c r="B1580" s="42"/>
      <c r="C1580" s="49"/>
      <c r="E1580" s="49"/>
      <c r="G1580" s="43"/>
      <c r="H1580" s="44"/>
      <c r="L1580" s="42"/>
      <c r="M1580" s="42"/>
      <c r="N1580" s="25"/>
      <c r="O1580" s="54"/>
      <c r="P1580"/>
      <c r="Q1580" s="25"/>
      <c r="R1580" s="54"/>
      <c r="W1580" s="23"/>
      <c r="X1580" s="23"/>
      <c r="Y1580" s="23"/>
      <c r="Z1580" s="43"/>
      <c r="AA1580" s="23"/>
      <c r="AB1580" s="23"/>
      <c r="AC1580" s="23"/>
      <c r="AD1580" s="23"/>
      <c r="AE1580" s="23"/>
      <c r="AF1580" s="23"/>
      <c r="AG1580" s="23"/>
      <c r="AH1580" s="23"/>
      <c r="AI1580" s="49"/>
    </row>
    <row r="1581" spans="1:35">
      <c r="A1581" s="23"/>
      <c r="B1581" s="42"/>
      <c r="C1581" s="49"/>
      <c r="E1581" s="49"/>
      <c r="G1581" s="43"/>
      <c r="H1581" s="44"/>
      <c r="L1581" s="42"/>
      <c r="M1581" s="42"/>
      <c r="N1581" s="25"/>
      <c r="O1581" s="54"/>
      <c r="P1581"/>
      <c r="Q1581" s="25"/>
      <c r="R1581" s="54"/>
      <c r="W1581" s="23"/>
      <c r="X1581" s="23"/>
      <c r="Y1581" s="23"/>
      <c r="Z1581" s="43"/>
      <c r="AA1581" s="23"/>
      <c r="AB1581" s="23"/>
      <c r="AC1581" s="23"/>
      <c r="AD1581" s="23"/>
      <c r="AE1581" s="23"/>
      <c r="AF1581" s="23"/>
      <c r="AG1581" s="23"/>
      <c r="AH1581" s="23"/>
      <c r="AI1581" s="49"/>
    </row>
    <row r="1582" spans="1:35">
      <c r="A1582" s="23"/>
      <c r="B1582" s="42"/>
      <c r="C1582" s="49"/>
      <c r="E1582" s="49"/>
      <c r="G1582" s="43"/>
      <c r="H1582" s="44"/>
      <c r="L1582" s="42"/>
      <c r="M1582" s="42"/>
      <c r="N1582" s="25"/>
      <c r="O1582" s="54"/>
      <c r="P1582"/>
      <c r="Q1582" s="25"/>
      <c r="R1582" s="54"/>
      <c r="W1582" s="23"/>
      <c r="X1582" s="23"/>
      <c r="Y1582" s="23"/>
      <c r="Z1582" s="43"/>
      <c r="AA1582" s="23"/>
      <c r="AB1582" s="23"/>
      <c r="AC1582" s="23"/>
      <c r="AD1582" s="23"/>
      <c r="AE1582" s="23"/>
      <c r="AF1582" s="23"/>
      <c r="AG1582" s="23"/>
      <c r="AH1582" s="23"/>
      <c r="AI1582" s="49"/>
    </row>
    <row r="1583" spans="1:35">
      <c r="A1583" s="23"/>
      <c r="B1583" s="42"/>
      <c r="C1583" s="49"/>
      <c r="E1583" s="49"/>
      <c r="G1583" s="43"/>
      <c r="H1583" s="44"/>
      <c r="L1583" s="42"/>
      <c r="M1583" s="42"/>
      <c r="N1583" s="25"/>
      <c r="O1583" s="54"/>
      <c r="P1583"/>
      <c r="Q1583" s="25"/>
      <c r="R1583" s="54"/>
      <c r="W1583" s="23"/>
      <c r="X1583" s="23"/>
      <c r="Y1583" s="23"/>
      <c r="Z1583" s="43"/>
      <c r="AA1583" s="23"/>
      <c r="AB1583" s="23"/>
      <c r="AC1583" s="23"/>
      <c r="AD1583" s="23"/>
      <c r="AE1583" s="23"/>
      <c r="AF1583" s="23"/>
      <c r="AG1583" s="23"/>
      <c r="AH1583" s="23"/>
      <c r="AI1583" s="49"/>
    </row>
    <row r="1584" spans="1:35">
      <c r="A1584" s="23"/>
      <c r="B1584" s="42"/>
      <c r="C1584" s="49"/>
      <c r="E1584" s="49"/>
      <c r="G1584" s="43"/>
      <c r="H1584" s="44"/>
      <c r="L1584" s="42"/>
      <c r="M1584" s="42"/>
      <c r="N1584" s="25"/>
      <c r="O1584" s="54"/>
      <c r="P1584"/>
      <c r="Q1584" s="25"/>
      <c r="R1584" s="54"/>
      <c r="W1584" s="23"/>
      <c r="X1584" s="23"/>
      <c r="Y1584" s="23"/>
      <c r="Z1584" s="43"/>
      <c r="AA1584" s="23"/>
      <c r="AB1584" s="23"/>
      <c r="AC1584" s="23"/>
      <c r="AD1584" s="23"/>
      <c r="AE1584" s="23"/>
      <c r="AF1584" s="23"/>
      <c r="AG1584" s="23"/>
      <c r="AH1584" s="23"/>
      <c r="AI1584" s="49"/>
    </row>
    <row r="1585" spans="1:35">
      <c r="A1585" s="23"/>
      <c r="B1585" s="42"/>
      <c r="C1585" s="49"/>
      <c r="E1585" s="49"/>
      <c r="G1585" s="43"/>
      <c r="H1585" s="44"/>
      <c r="L1585" s="42"/>
      <c r="M1585" s="42"/>
      <c r="N1585" s="25"/>
      <c r="O1585" s="54"/>
      <c r="P1585"/>
      <c r="Q1585" s="25"/>
      <c r="R1585" s="54"/>
      <c r="W1585" s="23"/>
      <c r="X1585" s="23"/>
      <c r="Y1585" s="23"/>
      <c r="Z1585" s="43"/>
      <c r="AA1585" s="23"/>
      <c r="AB1585" s="23"/>
      <c r="AC1585" s="23"/>
      <c r="AD1585" s="23"/>
      <c r="AE1585" s="23"/>
      <c r="AF1585" s="23"/>
      <c r="AG1585" s="23"/>
      <c r="AH1585" s="23"/>
      <c r="AI1585" s="49"/>
    </row>
    <row r="1586" spans="1:35">
      <c r="A1586" s="23"/>
      <c r="B1586" s="42"/>
      <c r="C1586" s="49"/>
      <c r="E1586" s="49"/>
      <c r="G1586" s="43"/>
      <c r="H1586" s="44"/>
      <c r="L1586" s="42"/>
      <c r="M1586" s="42"/>
      <c r="N1586" s="25"/>
      <c r="O1586" s="54"/>
      <c r="P1586"/>
      <c r="Q1586" s="25"/>
      <c r="R1586" s="54"/>
      <c r="W1586" s="23"/>
      <c r="X1586" s="23"/>
      <c r="Y1586" s="23"/>
      <c r="Z1586" s="43"/>
      <c r="AA1586" s="23"/>
      <c r="AB1586" s="23"/>
      <c r="AC1586" s="23"/>
      <c r="AD1586" s="23"/>
      <c r="AE1586" s="23"/>
      <c r="AF1586" s="23"/>
      <c r="AG1586" s="23"/>
      <c r="AH1586" s="23"/>
      <c r="AI1586" s="49"/>
    </row>
    <row r="1587" spans="1:35">
      <c r="A1587" s="23"/>
      <c r="B1587" s="42"/>
      <c r="C1587" s="49"/>
      <c r="E1587" s="49"/>
      <c r="G1587" s="43"/>
      <c r="H1587" s="44"/>
      <c r="L1587" s="42"/>
      <c r="M1587" s="42"/>
      <c r="N1587" s="25"/>
      <c r="O1587" s="54"/>
      <c r="P1587"/>
      <c r="Q1587" s="25"/>
      <c r="R1587" s="54"/>
      <c r="W1587" s="23"/>
      <c r="X1587" s="23"/>
      <c r="Y1587" s="23"/>
      <c r="Z1587" s="43"/>
      <c r="AA1587" s="23"/>
      <c r="AB1587" s="23"/>
      <c r="AC1587" s="23"/>
      <c r="AD1587" s="23"/>
      <c r="AE1587" s="23"/>
      <c r="AF1587" s="23"/>
      <c r="AG1587" s="23"/>
      <c r="AH1587" s="23"/>
      <c r="AI1587" s="49"/>
    </row>
    <row r="1588" spans="1:35">
      <c r="A1588" s="23"/>
      <c r="B1588" s="42"/>
      <c r="C1588" s="49"/>
      <c r="E1588" s="49"/>
      <c r="G1588" s="43"/>
      <c r="H1588" s="44"/>
      <c r="L1588" s="42"/>
      <c r="M1588" s="42"/>
      <c r="N1588" s="25"/>
      <c r="O1588" s="54"/>
      <c r="P1588"/>
      <c r="Q1588" s="25"/>
      <c r="R1588" s="54"/>
      <c r="W1588" s="23"/>
      <c r="X1588" s="23"/>
      <c r="Y1588" s="23"/>
      <c r="Z1588" s="43"/>
      <c r="AA1588" s="23"/>
      <c r="AB1588" s="23"/>
      <c r="AC1588" s="23"/>
      <c r="AD1588" s="23"/>
      <c r="AE1588" s="23"/>
      <c r="AF1588" s="23"/>
      <c r="AG1588" s="23"/>
      <c r="AH1588" s="23"/>
      <c r="AI1588" s="49"/>
    </row>
    <row r="1589" spans="1:35">
      <c r="A1589" s="23"/>
      <c r="B1589" s="42"/>
      <c r="C1589" s="49"/>
      <c r="E1589" s="49"/>
      <c r="G1589" s="43"/>
      <c r="H1589" s="44"/>
      <c r="L1589" s="42"/>
      <c r="M1589" s="42"/>
      <c r="N1589" s="25"/>
      <c r="O1589" s="54"/>
      <c r="P1589"/>
      <c r="Q1589" s="25"/>
      <c r="R1589" s="54"/>
      <c r="W1589" s="23"/>
      <c r="X1589" s="23"/>
      <c r="Y1589" s="23"/>
      <c r="Z1589" s="43"/>
      <c r="AA1589" s="23"/>
      <c r="AB1589" s="23"/>
      <c r="AC1589" s="23"/>
      <c r="AD1589" s="23"/>
      <c r="AE1589" s="23"/>
      <c r="AF1589" s="23"/>
      <c r="AG1589" s="23"/>
      <c r="AH1589" s="23"/>
      <c r="AI1589" s="49"/>
    </row>
    <row r="1590" spans="1:35">
      <c r="A1590" s="23"/>
      <c r="B1590" s="42"/>
      <c r="C1590" s="49"/>
      <c r="E1590" s="49"/>
      <c r="G1590" s="43"/>
      <c r="H1590" s="44"/>
      <c r="L1590" s="42"/>
      <c r="M1590" s="42"/>
      <c r="N1590" s="25"/>
      <c r="O1590" s="54"/>
      <c r="P1590"/>
      <c r="Q1590" s="25"/>
      <c r="R1590" s="54"/>
      <c r="W1590" s="23"/>
      <c r="X1590" s="23"/>
      <c r="Y1590" s="23"/>
      <c r="Z1590" s="43"/>
      <c r="AA1590" s="23"/>
      <c r="AB1590" s="23"/>
      <c r="AC1590" s="23"/>
      <c r="AD1590" s="23"/>
      <c r="AE1590" s="23"/>
      <c r="AF1590" s="23"/>
      <c r="AG1590" s="23"/>
      <c r="AH1590" s="23"/>
      <c r="AI1590" s="49"/>
    </row>
    <row r="1591" spans="1:35">
      <c r="A1591" s="23"/>
      <c r="B1591" s="42"/>
      <c r="C1591" s="49"/>
      <c r="E1591" s="49"/>
      <c r="G1591" s="43"/>
      <c r="H1591" s="44"/>
      <c r="L1591" s="42"/>
      <c r="M1591" s="42"/>
      <c r="N1591" s="25"/>
      <c r="O1591" s="54"/>
      <c r="P1591"/>
      <c r="Q1591" s="25"/>
      <c r="R1591" s="54"/>
      <c r="W1591" s="23"/>
      <c r="X1591" s="23"/>
      <c r="Y1591" s="23"/>
      <c r="Z1591" s="43"/>
      <c r="AA1591" s="23"/>
      <c r="AB1591" s="23"/>
      <c r="AC1591" s="23"/>
      <c r="AD1591" s="23"/>
      <c r="AE1591" s="23"/>
      <c r="AF1591" s="23"/>
      <c r="AG1591" s="23"/>
      <c r="AH1591" s="23"/>
      <c r="AI1591" s="49"/>
    </row>
    <row r="1592" spans="1:35">
      <c r="A1592" s="23"/>
      <c r="B1592" s="42"/>
      <c r="C1592" s="49"/>
      <c r="E1592" s="49"/>
      <c r="G1592" s="43"/>
      <c r="H1592" s="44"/>
      <c r="L1592" s="42"/>
      <c r="M1592" s="42"/>
      <c r="N1592" s="25"/>
      <c r="O1592" s="54"/>
      <c r="P1592"/>
      <c r="Q1592" s="25"/>
      <c r="R1592" s="54"/>
      <c r="W1592" s="23"/>
      <c r="X1592" s="23"/>
      <c r="Y1592" s="23"/>
      <c r="Z1592" s="43"/>
      <c r="AA1592" s="23"/>
      <c r="AB1592" s="23"/>
      <c r="AC1592" s="23"/>
      <c r="AD1592" s="23"/>
      <c r="AE1592" s="23"/>
      <c r="AF1592" s="23"/>
      <c r="AG1592" s="23"/>
      <c r="AH1592" s="23"/>
      <c r="AI1592" s="49"/>
    </row>
    <row r="1593" spans="1:35">
      <c r="A1593" s="23"/>
      <c r="B1593" s="42"/>
      <c r="C1593" s="49"/>
      <c r="E1593" s="49"/>
      <c r="G1593" s="43"/>
      <c r="H1593" s="44"/>
      <c r="L1593" s="42"/>
      <c r="M1593" s="42"/>
      <c r="N1593" s="25"/>
      <c r="O1593" s="54"/>
      <c r="P1593"/>
      <c r="Q1593" s="25"/>
      <c r="R1593" s="54"/>
      <c r="W1593" s="23"/>
      <c r="X1593" s="23"/>
      <c r="Y1593" s="23"/>
      <c r="Z1593" s="43"/>
      <c r="AA1593" s="23"/>
      <c r="AB1593" s="23"/>
      <c r="AC1593" s="23"/>
      <c r="AD1593" s="23"/>
      <c r="AE1593" s="23"/>
      <c r="AF1593" s="23"/>
      <c r="AG1593" s="23"/>
      <c r="AH1593" s="23"/>
      <c r="AI1593" s="49"/>
    </row>
    <row r="1594" spans="1:35">
      <c r="A1594" s="23"/>
      <c r="B1594" s="42"/>
      <c r="C1594" s="49"/>
      <c r="E1594" s="49"/>
      <c r="G1594" s="43"/>
      <c r="H1594" s="44"/>
      <c r="L1594" s="42"/>
      <c r="M1594" s="42"/>
      <c r="N1594" s="25"/>
      <c r="O1594" s="54"/>
      <c r="P1594"/>
      <c r="Q1594" s="25"/>
      <c r="R1594" s="54"/>
      <c r="W1594" s="23"/>
      <c r="X1594" s="23"/>
      <c r="Y1594" s="23"/>
      <c r="Z1594" s="43"/>
      <c r="AA1594" s="23"/>
      <c r="AB1594" s="23"/>
      <c r="AC1594" s="23"/>
      <c r="AD1594" s="23"/>
      <c r="AE1594" s="23"/>
      <c r="AF1594" s="23"/>
      <c r="AG1594" s="23"/>
      <c r="AH1594" s="23"/>
      <c r="AI1594" s="49"/>
    </row>
    <row r="1595" spans="1:35">
      <c r="A1595" s="23"/>
      <c r="B1595" s="42"/>
      <c r="C1595" s="49"/>
      <c r="E1595" s="49"/>
      <c r="G1595" s="43"/>
      <c r="H1595" s="44"/>
      <c r="L1595" s="42"/>
      <c r="M1595" s="42"/>
      <c r="N1595" s="25"/>
      <c r="O1595" s="54"/>
      <c r="P1595"/>
      <c r="Q1595" s="25"/>
      <c r="R1595" s="54"/>
      <c r="W1595" s="23"/>
      <c r="X1595" s="23"/>
      <c r="Y1595" s="23"/>
      <c r="Z1595" s="43"/>
      <c r="AA1595" s="23"/>
      <c r="AB1595" s="23"/>
      <c r="AC1595" s="23"/>
      <c r="AD1595" s="23"/>
      <c r="AE1595" s="23"/>
      <c r="AF1595" s="23"/>
      <c r="AG1595" s="23"/>
      <c r="AH1595" s="23"/>
      <c r="AI1595" s="49"/>
    </row>
    <row r="1596" spans="1:35">
      <c r="A1596" s="23"/>
      <c r="B1596" s="42"/>
      <c r="C1596" s="49"/>
      <c r="E1596" s="49"/>
      <c r="G1596" s="43"/>
      <c r="H1596" s="44"/>
      <c r="L1596" s="42"/>
      <c r="M1596" s="42"/>
      <c r="N1596" s="25"/>
      <c r="O1596" s="54"/>
      <c r="P1596"/>
      <c r="Q1596" s="25"/>
      <c r="R1596" s="54"/>
      <c r="W1596" s="23"/>
      <c r="X1596" s="23"/>
      <c r="Y1596" s="23"/>
      <c r="Z1596" s="43"/>
      <c r="AA1596" s="23"/>
      <c r="AB1596" s="23"/>
      <c r="AC1596" s="23"/>
      <c r="AD1596" s="23"/>
      <c r="AE1596" s="23"/>
      <c r="AF1596" s="23"/>
      <c r="AG1596" s="23"/>
      <c r="AH1596" s="23"/>
      <c r="AI1596" s="49"/>
    </row>
    <row r="1597" spans="1:35">
      <c r="A1597" s="23"/>
      <c r="B1597" s="42"/>
      <c r="C1597" s="49"/>
      <c r="E1597" s="49"/>
      <c r="G1597" s="43"/>
      <c r="H1597" s="44"/>
      <c r="L1597" s="42"/>
      <c r="M1597" s="42"/>
      <c r="N1597" s="25"/>
      <c r="O1597" s="54"/>
      <c r="P1597"/>
      <c r="Q1597" s="25"/>
      <c r="R1597" s="54"/>
      <c r="W1597" s="23"/>
      <c r="X1597" s="23"/>
      <c r="Y1597" s="23"/>
      <c r="Z1597" s="43"/>
      <c r="AA1597" s="23"/>
      <c r="AB1597" s="23"/>
      <c r="AC1597" s="23"/>
      <c r="AD1597" s="23"/>
      <c r="AE1597" s="23"/>
      <c r="AF1597" s="23"/>
      <c r="AG1597" s="23"/>
      <c r="AH1597" s="23"/>
      <c r="AI1597" s="49"/>
    </row>
    <row r="1598" spans="1:35">
      <c r="A1598" s="23"/>
      <c r="B1598" s="42"/>
      <c r="C1598" s="49"/>
      <c r="E1598" s="49"/>
      <c r="G1598" s="43"/>
      <c r="H1598" s="44"/>
      <c r="L1598" s="42"/>
      <c r="M1598" s="42"/>
      <c r="N1598" s="25"/>
      <c r="O1598" s="54"/>
      <c r="P1598"/>
      <c r="Q1598" s="25"/>
      <c r="R1598" s="54"/>
      <c r="W1598" s="23"/>
      <c r="X1598" s="23"/>
      <c r="Y1598" s="23"/>
      <c r="Z1598" s="43"/>
      <c r="AA1598" s="23"/>
      <c r="AB1598" s="23"/>
      <c r="AC1598" s="23"/>
      <c r="AD1598" s="23"/>
      <c r="AE1598" s="23"/>
      <c r="AF1598" s="23"/>
      <c r="AG1598" s="23"/>
      <c r="AH1598" s="23"/>
      <c r="AI1598" s="49"/>
    </row>
    <row r="1599" spans="1:35">
      <c r="A1599" s="23"/>
      <c r="B1599" s="42"/>
      <c r="C1599" s="49"/>
      <c r="E1599" s="49"/>
      <c r="G1599" s="43"/>
      <c r="H1599" s="44"/>
      <c r="L1599" s="42"/>
      <c r="M1599" s="42"/>
      <c r="N1599" s="25"/>
      <c r="O1599" s="54"/>
      <c r="P1599"/>
      <c r="Q1599" s="25"/>
      <c r="R1599" s="54"/>
      <c r="W1599" s="23"/>
      <c r="X1599" s="23"/>
      <c r="Y1599" s="23"/>
      <c r="Z1599" s="43"/>
      <c r="AA1599" s="23"/>
      <c r="AB1599" s="23"/>
      <c r="AC1599" s="23"/>
      <c r="AD1599" s="23"/>
      <c r="AE1599" s="23"/>
      <c r="AF1599" s="23"/>
      <c r="AG1599" s="23"/>
      <c r="AH1599" s="23"/>
      <c r="AI1599" s="49"/>
    </row>
    <row r="1600" spans="1:35">
      <c r="A1600" s="23"/>
      <c r="B1600" s="42"/>
      <c r="C1600" s="49"/>
      <c r="E1600" s="49"/>
      <c r="G1600" s="43"/>
      <c r="H1600" s="44"/>
      <c r="L1600" s="42"/>
      <c r="M1600" s="42"/>
      <c r="N1600" s="25"/>
      <c r="O1600" s="54"/>
      <c r="P1600"/>
      <c r="Q1600" s="25"/>
      <c r="R1600" s="54"/>
      <c r="W1600" s="23"/>
      <c r="X1600" s="23"/>
      <c r="Y1600" s="23"/>
      <c r="Z1600" s="43"/>
      <c r="AA1600" s="23"/>
      <c r="AB1600" s="23"/>
      <c r="AC1600" s="23"/>
      <c r="AD1600" s="23"/>
      <c r="AE1600" s="23"/>
      <c r="AF1600" s="23"/>
      <c r="AG1600" s="23"/>
      <c r="AH1600" s="23"/>
      <c r="AI1600" s="49"/>
    </row>
    <row r="1601" spans="1:35">
      <c r="A1601" s="23"/>
      <c r="B1601" s="42"/>
      <c r="C1601" s="49"/>
      <c r="E1601" s="49"/>
      <c r="G1601" s="43"/>
      <c r="H1601" s="44"/>
      <c r="L1601" s="42"/>
      <c r="M1601" s="42"/>
      <c r="N1601" s="25"/>
      <c r="O1601" s="54"/>
      <c r="P1601"/>
      <c r="Q1601" s="25"/>
      <c r="R1601" s="54"/>
      <c r="W1601" s="23"/>
      <c r="X1601" s="23"/>
      <c r="Y1601" s="23"/>
      <c r="Z1601" s="43"/>
      <c r="AA1601" s="23"/>
      <c r="AB1601" s="23"/>
      <c r="AC1601" s="23"/>
      <c r="AD1601" s="23"/>
      <c r="AE1601" s="23"/>
      <c r="AF1601" s="23"/>
      <c r="AG1601" s="23"/>
      <c r="AH1601" s="23"/>
      <c r="AI1601" s="49"/>
    </row>
    <row r="1602" spans="1:35">
      <c r="A1602" s="23"/>
      <c r="B1602" s="42"/>
      <c r="C1602" s="49"/>
      <c r="E1602" s="49"/>
      <c r="G1602" s="43"/>
      <c r="H1602" s="44"/>
      <c r="L1602" s="42"/>
      <c r="M1602" s="42"/>
      <c r="N1602" s="25"/>
      <c r="O1602" s="54"/>
      <c r="P1602"/>
      <c r="Q1602" s="25"/>
      <c r="R1602" s="54"/>
      <c r="W1602" s="23"/>
      <c r="X1602" s="23"/>
      <c r="Y1602" s="23"/>
      <c r="Z1602" s="43"/>
      <c r="AA1602" s="23"/>
      <c r="AB1602" s="23"/>
      <c r="AC1602" s="23"/>
      <c r="AD1602" s="23"/>
      <c r="AE1602" s="23"/>
      <c r="AF1602" s="23"/>
      <c r="AG1602" s="23"/>
      <c r="AH1602" s="23"/>
      <c r="AI1602" s="49"/>
    </row>
    <row r="1603" spans="1:35">
      <c r="A1603" s="23"/>
      <c r="B1603" s="42"/>
      <c r="C1603" s="49"/>
      <c r="E1603" s="49"/>
      <c r="G1603" s="43"/>
      <c r="H1603" s="44"/>
      <c r="L1603" s="42"/>
      <c r="M1603" s="42"/>
      <c r="N1603" s="25"/>
      <c r="O1603" s="54"/>
      <c r="P1603"/>
      <c r="Q1603" s="25"/>
      <c r="R1603" s="54"/>
      <c r="W1603" s="23"/>
      <c r="X1603" s="23"/>
      <c r="Y1603" s="23"/>
      <c r="Z1603" s="43"/>
      <c r="AA1603" s="23"/>
      <c r="AB1603" s="23"/>
      <c r="AC1603" s="23"/>
      <c r="AD1603" s="23"/>
      <c r="AE1603" s="23"/>
      <c r="AF1603" s="23"/>
      <c r="AG1603" s="23"/>
      <c r="AH1603" s="23"/>
      <c r="AI1603" s="49"/>
    </row>
    <row r="1604" spans="1:35">
      <c r="A1604" s="23"/>
      <c r="B1604" s="42"/>
      <c r="C1604" s="49"/>
      <c r="E1604" s="49"/>
      <c r="G1604" s="43"/>
      <c r="H1604" s="44"/>
      <c r="L1604" s="42"/>
      <c r="M1604" s="42"/>
      <c r="N1604" s="25"/>
      <c r="O1604" s="54"/>
      <c r="P1604"/>
      <c r="Q1604" s="25"/>
      <c r="R1604" s="54"/>
      <c r="W1604" s="23"/>
      <c r="X1604" s="23"/>
      <c r="Y1604" s="23"/>
      <c r="Z1604" s="43"/>
      <c r="AA1604" s="23"/>
      <c r="AB1604" s="23"/>
      <c r="AC1604" s="23"/>
      <c r="AD1604" s="23"/>
      <c r="AE1604" s="23"/>
      <c r="AF1604" s="23"/>
      <c r="AG1604" s="23"/>
      <c r="AH1604" s="23"/>
      <c r="AI1604" s="49"/>
    </row>
    <row r="1605" spans="1:35">
      <c r="A1605" s="23"/>
      <c r="B1605" s="42"/>
      <c r="C1605" s="49"/>
      <c r="E1605" s="49"/>
      <c r="G1605" s="43"/>
      <c r="H1605" s="44"/>
      <c r="L1605" s="42"/>
      <c r="M1605" s="42"/>
      <c r="N1605" s="25"/>
      <c r="O1605" s="54"/>
      <c r="P1605"/>
      <c r="Q1605" s="25"/>
      <c r="R1605" s="54"/>
      <c r="W1605" s="23"/>
      <c r="X1605" s="23"/>
      <c r="Y1605" s="23"/>
      <c r="Z1605" s="43"/>
      <c r="AA1605" s="23"/>
      <c r="AB1605" s="23"/>
      <c r="AC1605" s="23"/>
      <c r="AD1605" s="23"/>
      <c r="AE1605" s="23"/>
      <c r="AF1605" s="23"/>
      <c r="AG1605" s="23"/>
      <c r="AH1605" s="23"/>
      <c r="AI1605" s="49"/>
    </row>
    <row r="1606" spans="1:35">
      <c r="A1606" s="23"/>
      <c r="B1606" s="42"/>
      <c r="C1606" s="49"/>
      <c r="E1606" s="49"/>
      <c r="G1606" s="43"/>
      <c r="H1606" s="44"/>
      <c r="L1606" s="42"/>
      <c r="M1606" s="42"/>
      <c r="N1606" s="25"/>
      <c r="O1606" s="54"/>
      <c r="P1606"/>
      <c r="Q1606" s="25"/>
      <c r="R1606" s="54"/>
      <c r="W1606" s="23"/>
      <c r="X1606" s="23"/>
      <c r="Y1606" s="23"/>
      <c r="Z1606" s="43"/>
      <c r="AA1606" s="23"/>
      <c r="AB1606" s="23"/>
      <c r="AC1606" s="23"/>
      <c r="AD1606" s="23"/>
      <c r="AE1606" s="23"/>
      <c r="AF1606" s="23"/>
      <c r="AG1606" s="23"/>
      <c r="AH1606" s="23"/>
      <c r="AI1606" s="49"/>
    </row>
    <row r="1607" spans="1:35">
      <c r="A1607" s="23"/>
      <c r="B1607" s="42"/>
      <c r="C1607" s="49"/>
      <c r="E1607" s="49"/>
      <c r="G1607" s="43"/>
      <c r="H1607" s="44"/>
      <c r="L1607" s="42"/>
      <c r="M1607" s="42"/>
      <c r="N1607" s="25"/>
      <c r="O1607" s="54"/>
      <c r="P1607"/>
      <c r="Q1607" s="25"/>
      <c r="R1607" s="54"/>
      <c r="W1607" s="23"/>
      <c r="X1607" s="23"/>
      <c r="Y1607" s="23"/>
      <c r="Z1607" s="43"/>
      <c r="AA1607" s="23"/>
      <c r="AB1607" s="23"/>
      <c r="AC1607" s="23"/>
      <c r="AD1607" s="23"/>
      <c r="AE1607" s="23"/>
      <c r="AF1607" s="23"/>
      <c r="AG1607" s="23"/>
      <c r="AH1607" s="23"/>
      <c r="AI1607" s="49"/>
    </row>
    <row r="1608" spans="1:35">
      <c r="A1608" s="23"/>
      <c r="B1608" s="42"/>
      <c r="C1608" s="49"/>
      <c r="E1608" s="49"/>
      <c r="G1608" s="43"/>
      <c r="H1608" s="44"/>
      <c r="L1608" s="42"/>
      <c r="M1608" s="42"/>
      <c r="N1608" s="25"/>
      <c r="O1608" s="54"/>
      <c r="P1608"/>
      <c r="Q1608" s="25"/>
      <c r="R1608" s="54"/>
      <c r="W1608" s="23"/>
      <c r="X1608" s="23"/>
      <c r="Y1608" s="23"/>
      <c r="Z1608" s="43"/>
      <c r="AA1608" s="23"/>
      <c r="AB1608" s="23"/>
      <c r="AC1608" s="23"/>
      <c r="AD1608" s="23"/>
      <c r="AE1608" s="23"/>
      <c r="AF1608" s="23"/>
      <c r="AG1608" s="23"/>
      <c r="AH1608" s="23"/>
      <c r="AI1608" s="49"/>
    </row>
    <row r="1609" spans="1:35">
      <c r="A1609" s="23"/>
      <c r="B1609" s="42"/>
      <c r="C1609" s="49"/>
      <c r="E1609" s="49"/>
      <c r="G1609" s="43"/>
      <c r="H1609" s="44"/>
      <c r="L1609" s="42"/>
      <c r="M1609" s="42"/>
      <c r="N1609" s="25"/>
      <c r="O1609" s="54"/>
      <c r="P1609"/>
      <c r="Q1609" s="25"/>
      <c r="R1609" s="54"/>
      <c r="W1609" s="23"/>
      <c r="X1609" s="23"/>
      <c r="Y1609" s="23"/>
      <c r="Z1609" s="43"/>
      <c r="AA1609" s="23"/>
      <c r="AB1609" s="23"/>
      <c r="AC1609" s="23"/>
      <c r="AD1609" s="23"/>
      <c r="AE1609" s="23"/>
      <c r="AF1609" s="23"/>
      <c r="AG1609" s="23"/>
      <c r="AH1609" s="23"/>
      <c r="AI1609" s="49"/>
    </row>
    <row r="1610" spans="1:35">
      <c r="A1610" s="23"/>
      <c r="B1610" s="42"/>
      <c r="C1610" s="49"/>
      <c r="E1610" s="49"/>
      <c r="G1610" s="43"/>
      <c r="H1610" s="44"/>
      <c r="L1610" s="42"/>
      <c r="M1610" s="42"/>
      <c r="N1610" s="25"/>
      <c r="O1610" s="54"/>
      <c r="P1610"/>
      <c r="Q1610" s="25"/>
      <c r="R1610" s="54"/>
      <c r="W1610" s="23"/>
      <c r="X1610" s="23"/>
      <c r="Y1610" s="23"/>
      <c r="Z1610" s="43"/>
      <c r="AA1610" s="23"/>
      <c r="AB1610" s="23"/>
      <c r="AC1610" s="23"/>
      <c r="AD1610" s="23"/>
      <c r="AE1610" s="23"/>
      <c r="AF1610" s="23"/>
      <c r="AG1610" s="23"/>
      <c r="AH1610" s="23"/>
      <c r="AI1610" s="49"/>
    </row>
    <row r="1611" spans="1:35">
      <c r="A1611" s="23"/>
      <c r="B1611" s="42"/>
      <c r="C1611" s="49"/>
      <c r="E1611" s="49"/>
      <c r="G1611" s="43"/>
      <c r="H1611" s="44"/>
      <c r="L1611" s="42"/>
      <c r="M1611" s="42"/>
      <c r="N1611" s="25"/>
      <c r="O1611" s="54"/>
      <c r="P1611"/>
      <c r="Q1611" s="25"/>
      <c r="R1611" s="54"/>
      <c r="W1611" s="23"/>
      <c r="X1611" s="23"/>
      <c r="Y1611" s="23"/>
      <c r="Z1611" s="43"/>
      <c r="AA1611" s="23"/>
      <c r="AB1611" s="23"/>
      <c r="AC1611" s="23"/>
      <c r="AD1611" s="23"/>
      <c r="AE1611" s="23"/>
      <c r="AF1611" s="23"/>
      <c r="AG1611" s="23"/>
      <c r="AH1611" s="23"/>
      <c r="AI1611" s="49"/>
    </row>
    <row r="1612" spans="1:35">
      <c r="A1612" s="23"/>
      <c r="B1612" s="42"/>
      <c r="C1612" s="49"/>
      <c r="E1612" s="49"/>
      <c r="G1612" s="43"/>
      <c r="H1612" s="44"/>
      <c r="L1612" s="42"/>
      <c r="M1612" s="42"/>
      <c r="N1612" s="25"/>
      <c r="O1612" s="54"/>
      <c r="P1612"/>
      <c r="Q1612" s="25"/>
      <c r="R1612" s="54"/>
      <c r="W1612" s="23"/>
      <c r="X1612" s="23"/>
      <c r="Y1612" s="23"/>
      <c r="Z1612" s="43"/>
      <c r="AA1612" s="23"/>
      <c r="AB1612" s="23"/>
      <c r="AC1612" s="23"/>
      <c r="AD1612" s="23"/>
      <c r="AE1612" s="23"/>
      <c r="AF1612" s="23"/>
      <c r="AG1612" s="23"/>
      <c r="AH1612" s="23"/>
      <c r="AI1612" s="49"/>
    </row>
    <row r="1613" spans="1:35">
      <c r="A1613" s="23"/>
      <c r="B1613" s="42"/>
      <c r="C1613" s="49"/>
      <c r="E1613" s="49"/>
      <c r="G1613" s="43"/>
      <c r="H1613" s="44"/>
      <c r="L1613" s="42"/>
      <c r="M1613" s="42"/>
      <c r="N1613" s="25"/>
      <c r="O1613" s="54"/>
      <c r="P1613"/>
      <c r="Q1613" s="25"/>
      <c r="R1613" s="54"/>
      <c r="W1613" s="23"/>
      <c r="X1613" s="23"/>
      <c r="Y1613" s="23"/>
      <c r="Z1613" s="43"/>
      <c r="AA1613" s="23"/>
      <c r="AB1613" s="23"/>
      <c r="AC1613" s="23"/>
      <c r="AD1613" s="23"/>
      <c r="AE1613" s="23"/>
      <c r="AF1613" s="23"/>
      <c r="AG1613" s="23"/>
      <c r="AH1613" s="23"/>
      <c r="AI1613" s="49"/>
    </row>
    <row r="1614" spans="1:35">
      <c r="A1614" s="23"/>
      <c r="B1614" s="42"/>
      <c r="C1614" s="49"/>
      <c r="E1614" s="49"/>
      <c r="G1614" s="43"/>
      <c r="H1614" s="44"/>
      <c r="L1614" s="42"/>
      <c r="M1614" s="42"/>
      <c r="N1614" s="25"/>
      <c r="O1614" s="54"/>
      <c r="P1614"/>
      <c r="Q1614" s="25"/>
      <c r="R1614" s="54"/>
      <c r="W1614" s="23"/>
      <c r="X1614" s="23"/>
      <c r="Y1614" s="23"/>
      <c r="Z1614" s="43"/>
      <c r="AA1614" s="23"/>
      <c r="AB1614" s="23"/>
      <c r="AC1614" s="23"/>
      <c r="AD1614" s="23"/>
      <c r="AE1614" s="23"/>
      <c r="AF1614" s="23"/>
      <c r="AG1614" s="23"/>
      <c r="AH1614" s="23"/>
      <c r="AI1614" s="49"/>
    </row>
    <row r="1615" spans="1:35">
      <c r="A1615" s="23"/>
      <c r="B1615" s="42"/>
      <c r="C1615" s="49"/>
      <c r="E1615" s="49"/>
      <c r="G1615" s="43"/>
      <c r="H1615" s="44"/>
      <c r="L1615" s="42"/>
      <c r="M1615" s="42"/>
      <c r="N1615" s="25"/>
      <c r="O1615" s="54"/>
      <c r="P1615"/>
      <c r="Q1615" s="25"/>
      <c r="R1615" s="54"/>
      <c r="W1615" s="23"/>
      <c r="X1615" s="23"/>
      <c r="Y1615" s="23"/>
      <c r="Z1615" s="43"/>
      <c r="AA1615" s="23"/>
      <c r="AB1615" s="23"/>
      <c r="AC1615" s="23"/>
      <c r="AD1615" s="23"/>
      <c r="AE1615" s="23"/>
      <c r="AF1615" s="23"/>
      <c r="AG1615" s="23"/>
      <c r="AH1615" s="23"/>
      <c r="AI1615" s="49"/>
    </row>
    <row r="1616" spans="1:35">
      <c r="A1616" s="23"/>
      <c r="B1616" s="42"/>
      <c r="C1616" s="49"/>
      <c r="E1616" s="49"/>
      <c r="G1616" s="43"/>
      <c r="H1616" s="44"/>
      <c r="L1616" s="42"/>
      <c r="M1616" s="42"/>
      <c r="N1616" s="25"/>
      <c r="O1616" s="54"/>
      <c r="P1616"/>
      <c r="Q1616" s="25"/>
      <c r="R1616" s="54"/>
      <c r="W1616" s="23"/>
      <c r="X1616" s="23"/>
      <c r="Y1616" s="23"/>
      <c r="Z1616" s="43"/>
      <c r="AA1616" s="23"/>
      <c r="AB1616" s="23"/>
      <c r="AC1616" s="23"/>
      <c r="AD1616" s="23"/>
      <c r="AE1616" s="23"/>
      <c r="AF1616" s="23"/>
      <c r="AG1616" s="23"/>
      <c r="AH1616" s="23"/>
      <c r="AI1616" s="49"/>
    </row>
    <row r="1617" spans="1:35">
      <c r="A1617" s="23"/>
      <c r="B1617" s="42"/>
      <c r="C1617" s="49"/>
      <c r="E1617" s="49"/>
      <c r="G1617" s="43"/>
      <c r="H1617" s="44"/>
      <c r="L1617" s="42"/>
      <c r="M1617" s="42"/>
      <c r="N1617" s="25"/>
      <c r="O1617" s="54"/>
      <c r="P1617"/>
      <c r="Q1617" s="25"/>
      <c r="R1617" s="54"/>
      <c r="W1617" s="23"/>
      <c r="X1617" s="23"/>
      <c r="Y1617" s="23"/>
      <c r="Z1617" s="43"/>
      <c r="AA1617" s="23"/>
      <c r="AB1617" s="23"/>
      <c r="AC1617" s="23"/>
      <c r="AD1617" s="23"/>
      <c r="AE1617" s="23"/>
      <c r="AF1617" s="23"/>
      <c r="AG1617" s="23"/>
      <c r="AH1617" s="23"/>
      <c r="AI1617" s="49"/>
    </row>
    <row r="1618" spans="1:35">
      <c r="A1618" s="23"/>
      <c r="B1618" s="42"/>
      <c r="C1618" s="49"/>
      <c r="E1618" s="49"/>
      <c r="G1618" s="43"/>
      <c r="H1618" s="44"/>
      <c r="L1618" s="42"/>
      <c r="M1618" s="42"/>
      <c r="N1618" s="25"/>
      <c r="O1618" s="54"/>
      <c r="P1618"/>
      <c r="Q1618" s="25"/>
      <c r="R1618" s="54"/>
      <c r="W1618" s="23"/>
      <c r="X1618" s="23"/>
      <c r="Y1618" s="23"/>
      <c r="Z1618" s="43"/>
      <c r="AA1618" s="23"/>
      <c r="AB1618" s="23"/>
      <c r="AC1618" s="23"/>
      <c r="AD1618" s="23"/>
      <c r="AE1618" s="23"/>
      <c r="AF1618" s="23"/>
      <c r="AG1618" s="23"/>
      <c r="AH1618" s="23"/>
      <c r="AI1618" s="49"/>
    </row>
    <row r="1619" spans="1:35">
      <c r="A1619" s="23"/>
      <c r="B1619" s="42"/>
      <c r="C1619" s="49"/>
      <c r="E1619" s="49"/>
      <c r="G1619" s="43"/>
      <c r="H1619" s="44"/>
      <c r="L1619" s="42"/>
      <c r="M1619" s="42"/>
      <c r="N1619" s="25"/>
      <c r="O1619" s="54"/>
      <c r="P1619"/>
      <c r="Q1619" s="25"/>
      <c r="R1619" s="54"/>
      <c r="W1619" s="23"/>
      <c r="X1619" s="23"/>
      <c r="Y1619" s="23"/>
      <c r="Z1619" s="43"/>
      <c r="AA1619" s="23"/>
      <c r="AB1619" s="23"/>
      <c r="AC1619" s="23"/>
      <c r="AD1619" s="23"/>
      <c r="AE1619" s="23"/>
      <c r="AF1619" s="23"/>
      <c r="AG1619" s="23"/>
      <c r="AH1619" s="23"/>
      <c r="AI1619" s="49"/>
    </row>
    <row r="1620" spans="1:35">
      <c r="A1620" s="23"/>
      <c r="B1620" s="42"/>
      <c r="C1620" s="49"/>
      <c r="E1620" s="49"/>
      <c r="G1620" s="43"/>
      <c r="H1620" s="44"/>
      <c r="L1620" s="42"/>
      <c r="M1620" s="42"/>
      <c r="N1620" s="25"/>
      <c r="O1620" s="54"/>
      <c r="P1620"/>
      <c r="Q1620" s="25"/>
      <c r="R1620" s="54"/>
      <c r="W1620" s="23"/>
      <c r="X1620" s="23"/>
      <c r="Y1620" s="23"/>
      <c r="Z1620" s="43"/>
      <c r="AA1620" s="23"/>
      <c r="AB1620" s="23"/>
      <c r="AC1620" s="23"/>
      <c r="AD1620" s="23"/>
      <c r="AE1620" s="23"/>
      <c r="AF1620" s="23"/>
      <c r="AG1620" s="23"/>
      <c r="AH1620" s="23"/>
      <c r="AI1620" s="49"/>
    </row>
    <row r="1621" spans="1:35">
      <c r="A1621" s="23"/>
      <c r="B1621" s="42"/>
      <c r="C1621" s="49"/>
      <c r="E1621" s="49"/>
      <c r="G1621" s="43"/>
      <c r="H1621" s="44"/>
      <c r="L1621" s="42"/>
      <c r="M1621" s="42"/>
      <c r="N1621" s="25"/>
      <c r="O1621" s="54"/>
      <c r="P1621"/>
      <c r="Q1621" s="25"/>
      <c r="R1621" s="54"/>
      <c r="W1621" s="23"/>
      <c r="X1621" s="23"/>
      <c r="Y1621" s="23"/>
      <c r="Z1621" s="43"/>
      <c r="AA1621" s="23"/>
      <c r="AB1621" s="23"/>
      <c r="AC1621" s="23"/>
      <c r="AD1621" s="23"/>
      <c r="AE1621" s="23"/>
      <c r="AF1621" s="23"/>
      <c r="AG1621" s="23"/>
      <c r="AH1621" s="23"/>
      <c r="AI1621" s="49"/>
    </row>
    <row r="1622" spans="1:35">
      <c r="A1622" s="23"/>
      <c r="B1622" s="42"/>
      <c r="C1622" s="49"/>
      <c r="E1622" s="49"/>
      <c r="G1622" s="43"/>
      <c r="H1622" s="44"/>
      <c r="L1622" s="42"/>
      <c r="M1622" s="42"/>
      <c r="N1622" s="25"/>
      <c r="O1622" s="54"/>
      <c r="P1622"/>
      <c r="Q1622" s="25"/>
      <c r="R1622" s="54"/>
      <c r="W1622" s="23"/>
      <c r="X1622" s="23"/>
      <c r="Y1622" s="23"/>
      <c r="Z1622" s="43"/>
      <c r="AA1622" s="23"/>
      <c r="AB1622" s="23"/>
      <c r="AC1622" s="23"/>
      <c r="AD1622" s="23"/>
      <c r="AE1622" s="23"/>
      <c r="AF1622" s="23"/>
      <c r="AG1622" s="23"/>
      <c r="AH1622" s="23"/>
      <c r="AI1622" s="49"/>
    </row>
    <row r="1623" spans="1:35">
      <c r="A1623" s="23"/>
      <c r="B1623" s="42"/>
      <c r="C1623" s="49"/>
      <c r="E1623" s="49"/>
      <c r="G1623" s="43"/>
      <c r="H1623" s="44"/>
      <c r="L1623" s="42"/>
      <c r="M1623" s="42"/>
      <c r="N1623" s="25"/>
      <c r="O1623" s="54"/>
      <c r="P1623"/>
      <c r="Q1623" s="25"/>
      <c r="R1623" s="54"/>
      <c r="W1623" s="23"/>
      <c r="X1623" s="23"/>
      <c r="Y1623" s="23"/>
      <c r="Z1623" s="43"/>
      <c r="AA1623" s="23"/>
      <c r="AB1623" s="23"/>
      <c r="AC1623" s="23"/>
      <c r="AD1623" s="23"/>
      <c r="AE1623" s="23"/>
      <c r="AF1623" s="23"/>
      <c r="AG1623" s="23"/>
      <c r="AH1623" s="23"/>
      <c r="AI1623" s="49"/>
    </row>
    <row r="1624" spans="1:35">
      <c r="A1624" s="23"/>
      <c r="B1624" s="42"/>
      <c r="C1624" s="49"/>
      <c r="E1624" s="49"/>
      <c r="G1624" s="43"/>
      <c r="H1624" s="44"/>
      <c r="L1624" s="42"/>
      <c r="M1624" s="42"/>
      <c r="N1624" s="25"/>
      <c r="O1624" s="54"/>
      <c r="P1624"/>
      <c r="Q1624" s="25"/>
      <c r="R1624" s="54"/>
      <c r="W1624" s="23"/>
      <c r="X1624" s="23"/>
      <c r="Y1624" s="23"/>
      <c r="Z1624" s="43"/>
      <c r="AA1624" s="23"/>
      <c r="AB1624" s="23"/>
      <c r="AC1624" s="23"/>
      <c r="AD1624" s="23"/>
      <c r="AE1624" s="23"/>
      <c r="AF1624" s="23"/>
      <c r="AG1624" s="23"/>
      <c r="AH1624" s="23"/>
      <c r="AI1624" s="49"/>
    </row>
    <row r="1625" spans="1:35">
      <c r="B1625" s="42"/>
      <c r="G1625" s="43"/>
      <c r="H1625" s="44"/>
      <c r="L1625" s="42"/>
      <c r="M1625" s="42"/>
      <c r="N1625" s="25"/>
      <c r="O1625" s="54"/>
      <c r="P1625"/>
      <c r="Q1625" s="25"/>
      <c r="R1625" s="54"/>
      <c r="W1625" s="23"/>
      <c r="X1625" s="23"/>
      <c r="Y1625" s="23"/>
      <c r="Z1625" s="43"/>
      <c r="AA1625" s="23"/>
      <c r="AB1625" s="23"/>
      <c r="AC1625" s="23"/>
      <c r="AD1625" s="23"/>
      <c r="AE1625" s="23"/>
      <c r="AF1625" s="23"/>
      <c r="AG1625" s="23"/>
      <c r="AH1625" s="23"/>
      <c r="AI1625" s="48"/>
    </row>
    <row r="1626" spans="1:35">
      <c r="A1626" s="23"/>
      <c r="B1626" s="42"/>
      <c r="C1626" s="49"/>
      <c r="E1626" s="49"/>
      <c r="G1626" s="43"/>
      <c r="H1626" s="44"/>
      <c r="L1626" s="42"/>
      <c r="M1626" s="42"/>
      <c r="N1626" s="25"/>
      <c r="O1626" s="54"/>
      <c r="P1626"/>
      <c r="Q1626" s="25"/>
      <c r="R1626" s="54"/>
      <c r="W1626" s="23"/>
      <c r="X1626" s="23"/>
      <c r="Y1626" s="23"/>
      <c r="Z1626" s="43"/>
      <c r="AA1626" s="23"/>
      <c r="AB1626" s="23"/>
      <c r="AC1626" s="23"/>
      <c r="AD1626" s="23"/>
      <c r="AE1626" s="23"/>
      <c r="AF1626" s="23"/>
      <c r="AG1626" s="23"/>
      <c r="AH1626" s="23"/>
      <c r="AI1626" s="49"/>
    </row>
    <row r="1627" spans="1:35">
      <c r="A1627" s="23"/>
      <c r="B1627" s="42"/>
      <c r="C1627" s="49"/>
      <c r="E1627" s="49"/>
      <c r="G1627" s="43"/>
      <c r="H1627" s="44"/>
      <c r="L1627" s="42"/>
      <c r="M1627" s="42"/>
      <c r="N1627" s="25"/>
      <c r="O1627" s="54"/>
      <c r="P1627"/>
      <c r="Q1627" s="25"/>
      <c r="R1627" s="54"/>
      <c r="W1627" s="23"/>
      <c r="X1627" s="23"/>
      <c r="Y1627" s="23"/>
      <c r="Z1627" s="43"/>
      <c r="AA1627" s="23"/>
      <c r="AB1627" s="23"/>
      <c r="AC1627" s="23"/>
      <c r="AD1627" s="23"/>
      <c r="AE1627" s="23"/>
      <c r="AF1627" s="23"/>
      <c r="AG1627" s="23"/>
      <c r="AH1627" s="23"/>
      <c r="AI1627" s="49"/>
    </row>
    <row r="1628" spans="1:35">
      <c r="A1628" s="23"/>
      <c r="B1628" s="42"/>
      <c r="C1628" s="49"/>
      <c r="E1628" s="49"/>
      <c r="G1628" s="43"/>
      <c r="H1628" s="44"/>
      <c r="L1628" s="42"/>
      <c r="M1628" s="42"/>
      <c r="N1628" s="25"/>
      <c r="O1628" s="54"/>
      <c r="P1628"/>
      <c r="Q1628" s="25"/>
      <c r="R1628" s="54"/>
      <c r="W1628" s="23"/>
      <c r="X1628" s="23"/>
      <c r="Y1628" s="23"/>
      <c r="Z1628" s="43"/>
      <c r="AA1628" s="23"/>
      <c r="AB1628" s="23"/>
      <c r="AC1628" s="23"/>
      <c r="AD1628" s="23"/>
      <c r="AE1628" s="23"/>
      <c r="AF1628" s="23"/>
      <c r="AG1628" s="23"/>
      <c r="AH1628" s="23"/>
      <c r="AI1628" s="49"/>
    </row>
    <row r="1629" spans="1:35">
      <c r="A1629" s="23"/>
      <c r="B1629" s="42"/>
      <c r="C1629" s="49"/>
      <c r="E1629" s="49"/>
      <c r="G1629" s="43"/>
      <c r="H1629" s="44"/>
      <c r="L1629" s="42"/>
      <c r="M1629" s="42"/>
      <c r="N1629" s="25"/>
      <c r="O1629" s="54"/>
      <c r="P1629"/>
      <c r="Q1629" s="25"/>
      <c r="R1629" s="54"/>
      <c r="W1629" s="23"/>
      <c r="X1629" s="23"/>
      <c r="Y1629" s="23"/>
      <c r="Z1629" s="43"/>
      <c r="AA1629" s="23"/>
      <c r="AB1629" s="23"/>
      <c r="AC1629" s="23"/>
      <c r="AD1629" s="23"/>
      <c r="AE1629" s="23"/>
      <c r="AF1629" s="23"/>
      <c r="AG1629" s="23"/>
      <c r="AH1629" s="23"/>
      <c r="AI1629" s="49"/>
    </row>
    <row r="1630" spans="1:35">
      <c r="A1630" s="23"/>
      <c r="B1630" s="42"/>
      <c r="C1630" s="49"/>
      <c r="E1630" s="49"/>
      <c r="G1630" s="43"/>
      <c r="H1630" s="44"/>
      <c r="L1630" s="42"/>
      <c r="M1630" s="42"/>
      <c r="N1630" s="25"/>
      <c r="O1630" s="54"/>
      <c r="P1630"/>
      <c r="Q1630" s="25"/>
      <c r="R1630" s="54"/>
      <c r="W1630" s="23"/>
      <c r="X1630" s="23"/>
      <c r="Y1630" s="23"/>
      <c r="Z1630" s="43"/>
      <c r="AA1630" s="23"/>
      <c r="AB1630" s="23"/>
      <c r="AC1630" s="23"/>
      <c r="AD1630" s="23"/>
      <c r="AE1630" s="23"/>
      <c r="AF1630" s="23"/>
      <c r="AG1630" s="23"/>
      <c r="AH1630" s="23"/>
      <c r="AI1630" s="49"/>
    </row>
    <row r="1631" spans="1:35">
      <c r="A1631" s="23"/>
      <c r="B1631" s="42"/>
      <c r="C1631" s="49"/>
      <c r="E1631" s="49"/>
      <c r="G1631" s="43"/>
      <c r="H1631" s="44"/>
      <c r="L1631" s="42"/>
      <c r="M1631" s="42"/>
      <c r="N1631" s="25"/>
      <c r="O1631" s="54"/>
      <c r="P1631"/>
      <c r="Q1631" s="25"/>
      <c r="R1631" s="54"/>
      <c r="W1631" s="23"/>
      <c r="X1631" s="23"/>
      <c r="Y1631" s="23"/>
      <c r="Z1631" s="43"/>
      <c r="AA1631" s="23"/>
      <c r="AB1631" s="23"/>
      <c r="AC1631" s="23"/>
      <c r="AD1631" s="23"/>
      <c r="AE1631" s="23"/>
      <c r="AF1631" s="23"/>
      <c r="AG1631" s="23"/>
      <c r="AH1631" s="23"/>
      <c r="AI1631" s="49"/>
    </row>
    <row r="1632" spans="1:35">
      <c r="A1632" s="23"/>
      <c r="B1632" s="42"/>
      <c r="C1632" s="49"/>
      <c r="E1632" s="49"/>
      <c r="G1632" s="43"/>
      <c r="H1632" s="44"/>
      <c r="L1632" s="42"/>
      <c r="M1632" s="42"/>
      <c r="N1632" s="25"/>
      <c r="O1632" s="54"/>
      <c r="P1632"/>
      <c r="Q1632" s="25"/>
      <c r="R1632" s="54"/>
      <c r="W1632" s="23"/>
      <c r="X1632" s="23"/>
      <c r="Y1632" s="23"/>
      <c r="Z1632" s="43"/>
      <c r="AA1632" s="23"/>
      <c r="AB1632" s="23"/>
      <c r="AC1632" s="23"/>
      <c r="AD1632" s="23"/>
      <c r="AE1632" s="23"/>
      <c r="AF1632" s="23"/>
      <c r="AG1632" s="23"/>
      <c r="AH1632" s="23"/>
      <c r="AI1632" s="49"/>
    </row>
    <row r="1633" spans="1:35">
      <c r="A1633" s="23"/>
      <c r="B1633" s="42"/>
      <c r="C1633" s="49"/>
      <c r="E1633" s="49"/>
      <c r="G1633" s="43"/>
      <c r="H1633" s="44"/>
      <c r="L1633" s="42"/>
      <c r="M1633" s="42"/>
      <c r="N1633" s="25"/>
      <c r="O1633" s="54"/>
      <c r="P1633"/>
      <c r="Q1633" s="25"/>
      <c r="R1633" s="54"/>
      <c r="W1633" s="23"/>
      <c r="X1633" s="23"/>
      <c r="Y1633" s="23"/>
      <c r="Z1633" s="43"/>
      <c r="AA1633" s="23"/>
      <c r="AB1633" s="23"/>
      <c r="AC1633" s="23"/>
      <c r="AD1633" s="23"/>
      <c r="AE1633" s="23"/>
      <c r="AF1633" s="23"/>
      <c r="AG1633" s="23"/>
      <c r="AH1633" s="23"/>
      <c r="AI1633" s="49"/>
    </row>
    <row r="1634" spans="1:35">
      <c r="A1634" s="23"/>
      <c r="B1634" s="42"/>
      <c r="C1634" s="49"/>
      <c r="E1634" s="49"/>
      <c r="G1634" s="43"/>
      <c r="H1634" s="44"/>
      <c r="L1634" s="42"/>
      <c r="M1634" s="42"/>
      <c r="N1634" s="25"/>
      <c r="O1634" s="54"/>
      <c r="P1634"/>
      <c r="Q1634" s="25"/>
      <c r="R1634" s="54"/>
      <c r="W1634" s="23"/>
      <c r="X1634" s="23"/>
      <c r="Y1634" s="23"/>
      <c r="Z1634" s="43"/>
      <c r="AA1634" s="23"/>
      <c r="AB1634" s="23"/>
      <c r="AC1634" s="23"/>
      <c r="AD1634" s="23"/>
      <c r="AE1634" s="23"/>
      <c r="AF1634" s="23"/>
      <c r="AG1634" s="23"/>
      <c r="AH1634" s="23"/>
      <c r="AI1634" s="49"/>
    </row>
    <row r="1635" spans="1:35">
      <c r="A1635" s="23"/>
      <c r="B1635" s="42"/>
      <c r="C1635" s="49"/>
      <c r="E1635" s="49"/>
      <c r="G1635" s="43"/>
      <c r="H1635" s="44"/>
      <c r="L1635" s="42"/>
      <c r="M1635" s="42"/>
      <c r="N1635" s="25"/>
      <c r="O1635" s="54"/>
      <c r="P1635"/>
      <c r="Q1635" s="25"/>
      <c r="R1635" s="54"/>
      <c r="W1635" s="23"/>
      <c r="X1635" s="23"/>
      <c r="Y1635" s="23"/>
      <c r="Z1635" s="43"/>
      <c r="AA1635" s="23"/>
      <c r="AB1635" s="23"/>
      <c r="AC1635" s="23"/>
      <c r="AD1635" s="23"/>
      <c r="AE1635" s="23"/>
      <c r="AF1635" s="23"/>
      <c r="AG1635" s="23"/>
      <c r="AH1635" s="23"/>
      <c r="AI1635" s="49"/>
    </row>
    <row r="1636" spans="1:35">
      <c r="A1636" s="23"/>
      <c r="B1636" s="42"/>
      <c r="C1636" s="49"/>
      <c r="E1636" s="49"/>
      <c r="G1636" s="43"/>
      <c r="H1636" s="44"/>
      <c r="L1636" s="42"/>
      <c r="M1636" s="42"/>
      <c r="N1636" s="25"/>
      <c r="O1636" s="54"/>
      <c r="P1636"/>
      <c r="Q1636" s="25"/>
      <c r="R1636" s="54"/>
      <c r="W1636" s="23"/>
      <c r="X1636" s="23"/>
      <c r="Y1636" s="23"/>
      <c r="Z1636" s="43"/>
      <c r="AA1636" s="23"/>
      <c r="AB1636" s="23"/>
      <c r="AC1636" s="23"/>
      <c r="AD1636" s="23"/>
      <c r="AE1636" s="23"/>
      <c r="AF1636" s="23"/>
      <c r="AG1636" s="23"/>
      <c r="AH1636" s="23"/>
      <c r="AI1636" s="49"/>
    </row>
    <row r="1637" spans="1:35">
      <c r="A1637" s="23"/>
      <c r="B1637" s="42"/>
      <c r="C1637" s="49"/>
      <c r="E1637" s="49"/>
      <c r="G1637" s="43"/>
      <c r="H1637" s="44"/>
      <c r="L1637" s="42"/>
      <c r="M1637" s="42"/>
      <c r="N1637" s="25"/>
      <c r="O1637" s="54"/>
      <c r="P1637"/>
      <c r="Q1637" s="25"/>
      <c r="R1637" s="54"/>
      <c r="W1637" s="23"/>
      <c r="X1637" s="23"/>
      <c r="Y1637" s="23"/>
      <c r="Z1637" s="43"/>
      <c r="AA1637" s="23"/>
      <c r="AB1637" s="23"/>
      <c r="AC1637" s="23"/>
      <c r="AD1637" s="23"/>
      <c r="AE1637" s="23"/>
      <c r="AF1637" s="23"/>
      <c r="AG1637" s="23"/>
      <c r="AH1637" s="23"/>
      <c r="AI1637" s="49"/>
    </row>
    <row r="1638" spans="1:35">
      <c r="A1638" s="23"/>
      <c r="B1638" s="42"/>
      <c r="C1638" s="49"/>
      <c r="E1638" s="49"/>
      <c r="G1638" s="43"/>
      <c r="H1638" s="44"/>
      <c r="L1638" s="42"/>
      <c r="M1638" s="42"/>
      <c r="N1638" s="25"/>
      <c r="O1638" s="54"/>
      <c r="P1638"/>
      <c r="Q1638" s="25"/>
      <c r="R1638" s="54"/>
      <c r="W1638" s="23"/>
      <c r="X1638" s="23"/>
      <c r="Y1638" s="23"/>
      <c r="Z1638" s="43"/>
      <c r="AA1638" s="23"/>
      <c r="AB1638" s="23"/>
      <c r="AC1638" s="23"/>
      <c r="AD1638" s="23"/>
      <c r="AE1638" s="23"/>
      <c r="AF1638" s="23"/>
      <c r="AG1638" s="23"/>
      <c r="AH1638" s="23"/>
      <c r="AI1638" s="49"/>
    </row>
    <row r="1639" spans="1:35">
      <c r="A1639" s="23"/>
      <c r="B1639" s="42"/>
      <c r="C1639" s="49"/>
      <c r="E1639" s="49"/>
      <c r="G1639" s="43"/>
      <c r="H1639" s="44"/>
      <c r="L1639" s="42"/>
      <c r="M1639" s="42"/>
      <c r="N1639" s="25"/>
      <c r="O1639" s="54"/>
      <c r="P1639"/>
      <c r="Q1639" s="25"/>
      <c r="R1639" s="54"/>
      <c r="W1639" s="23"/>
      <c r="X1639" s="23"/>
      <c r="Y1639" s="23"/>
      <c r="Z1639" s="43"/>
      <c r="AA1639" s="23"/>
      <c r="AB1639" s="23"/>
      <c r="AC1639" s="23"/>
      <c r="AD1639" s="23"/>
      <c r="AE1639" s="23"/>
      <c r="AF1639" s="23"/>
      <c r="AG1639" s="23"/>
      <c r="AH1639" s="23"/>
      <c r="AI1639" s="49"/>
    </row>
    <row r="1640" spans="1:35">
      <c r="A1640" s="23"/>
      <c r="B1640" s="42"/>
      <c r="C1640" s="49"/>
      <c r="E1640" s="49"/>
      <c r="G1640" s="43"/>
      <c r="H1640" s="44"/>
      <c r="L1640" s="42"/>
      <c r="M1640" s="42"/>
      <c r="N1640" s="25"/>
      <c r="O1640" s="54"/>
      <c r="P1640"/>
      <c r="Q1640" s="25"/>
      <c r="R1640" s="54"/>
      <c r="W1640" s="23"/>
      <c r="X1640" s="23"/>
      <c r="Y1640" s="23"/>
      <c r="Z1640" s="43"/>
      <c r="AA1640" s="23"/>
      <c r="AB1640" s="23"/>
      <c r="AC1640" s="23"/>
      <c r="AD1640" s="23"/>
      <c r="AE1640" s="23"/>
      <c r="AF1640" s="23"/>
      <c r="AG1640" s="23"/>
      <c r="AH1640" s="23"/>
      <c r="AI1640" s="49"/>
    </row>
    <row r="1641" spans="1:35">
      <c r="A1641" s="23"/>
      <c r="B1641" s="42"/>
      <c r="C1641" s="49"/>
      <c r="E1641" s="49"/>
      <c r="G1641" s="43"/>
      <c r="H1641" s="44"/>
      <c r="L1641" s="42"/>
      <c r="M1641" s="42"/>
      <c r="N1641" s="25"/>
      <c r="O1641" s="54"/>
      <c r="P1641"/>
      <c r="Q1641" s="25"/>
      <c r="R1641" s="54"/>
      <c r="W1641" s="23"/>
      <c r="X1641" s="23"/>
      <c r="Y1641" s="23"/>
      <c r="Z1641" s="43"/>
      <c r="AA1641" s="23"/>
      <c r="AB1641" s="23"/>
      <c r="AC1641" s="23"/>
      <c r="AD1641" s="23"/>
      <c r="AE1641" s="23"/>
      <c r="AF1641" s="23"/>
      <c r="AG1641" s="23"/>
      <c r="AH1641" s="23"/>
      <c r="AI1641" s="49"/>
    </row>
    <row r="1642" spans="1:35">
      <c r="A1642" s="23"/>
      <c r="B1642" s="42"/>
      <c r="C1642" s="49"/>
      <c r="E1642" s="49"/>
      <c r="G1642" s="43"/>
      <c r="H1642" s="44"/>
      <c r="L1642" s="42"/>
      <c r="M1642" s="42"/>
      <c r="N1642" s="25"/>
      <c r="O1642" s="54"/>
      <c r="P1642"/>
      <c r="Q1642" s="25"/>
      <c r="R1642" s="54"/>
      <c r="W1642" s="23"/>
      <c r="X1642" s="23"/>
      <c r="Y1642" s="23"/>
      <c r="Z1642" s="43"/>
      <c r="AA1642" s="23"/>
      <c r="AB1642" s="23"/>
      <c r="AC1642" s="23"/>
      <c r="AD1642" s="23"/>
      <c r="AE1642" s="23"/>
      <c r="AF1642" s="23"/>
      <c r="AG1642" s="23"/>
      <c r="AH1642" s="23"/>
      <c r="AI1642" s="49"/>
    </row>
    <row r="1643" spans="1:35">
      <c r="A1643" s="23"/>
      <c r="B1643" s="42"/>
      <c r="C1643" s="49"/>
      <c r="E1643" s="49"/>
      <c r="G1643" s="43"/>
      <c r="H1643" s="44"/>
      <c r="L1643" s="42"/>
      <c r="M1643" s="42"/>
      <c r="N1643" s="25"/>
      <c r="O1643" s="54"/>
      <c r="P1643"/>
      <c r="Q1643" s="25"/>
      <c r="R1643" s="54"/>
      <c r="W1643" s="23"/>
      <c r="X1643" s="23"/>
      <c r="Y1643" s="23"/>
      <c r="Z1643" s="43"/>
      <c r="AA1643" s="23"/>
      <c r="AB1643" s="23"/>
      <c r="AC1643" s="23"/>
      <c r="AD1643" s="23"/>
      <c r="AE1643" s="23"/>
      <c r="AF1643" s="23"/>
      <c r="AG1643" s="23"/>
      <c r="AH1643" s="23"/>
      <c r="AI1643" s="49"/>
    </row>
    <row r="1644" spans="1:35">
      <c r="A1644" s="23"/>
      <c r="B1644" s="42"/>
      <c r="C1644" s="49"/>
      <c r="E1644" s="49"/>
      <c r="G1644" s="43"/>
      <c r="H1644" s="44"/>
      <c r="L1644" s="42"/>
      <c r="M1644" s="42"/>
      <c r="N1644" s="25"/>
      <c r="O1644" s="54"/>
      <c r="P1644"/>
      <c r="Q1644" s="25"/>
      <c r="R1644" s="54"/>
      <c r="W1644" s="23"/>
      <c r="X1644" s="23"/>
      <c r="Y1644" s="23"/>
      <c r="Z1644" s="43"/>
      <c r="AA1644" s="23"/>
      <c r="AB1644" s="23"/>
      <c r="AC1644" s="23"/>
      <c r="AD1644" s="23"/>
      <c r="AE1644" s="23"/>
      <c r="AF1644" s="23"/>
      <c r="AG1644" s="23"/>
      <c r="AH1644" s="23"/>
      <c r="AI1644" s="49"/>
    </row>
    <row r="1645" spans="1:35">
      <c r="A1645" s="23"/>
      <c r="B1645" s="42"/>
      <c r="C1645" s="49"/>
      <c r="E1645" s="49"/>
      <c r="G1645" s="43"/>
      <c r="H1645" s="44"/>
      <c r="L1645" s="42"/>
      <c r="M1645" s="42"/>
      <c r="N1645" s="25"/>
      <c r="O1645" s="54"/>
      <c r="P1645"/>
      <c r="Q1645" s="25"/>
      <c r="R1645" s="54"/>
      <c r="W1645" s="23"/>
      <c r="X1645" s="23"/>
      <c r="Y1645" s="23"/>
      <c r="Z1645" s="43"/>
      <c r="AA1645" s="23"/>
      <c r="AB1645" s="23"/>
      <c r="AC1645" s="23"/>
      <c r="AD1645" s="23"/>
      <c r="AE1645" s="23"/>
      <c r="AF1645" s="23"/>
      <c r="AG1645" s="23"/>
      <c r="AH1645" s="23"/>
      <c r="AI1645" s="49"/>
    </row>
    <row r="1646" spans="1:35">
      <c r="A1646" s="23"/>
      <c r="B1646" s="42"/>
      <c r="C1646" s="49"/>
      <c r="E1646" s="49"/>
      <c r="G1646" s="43"/>
      <c r="H1646" s="44"/>
      <c r="L1646" s="42"/>
      <c r="M1646" s="42"/>
      <c r="N1646" s="25"/>
      <c r="O1646" s="54"/>
      <c r="P1646"/>
      <c r="Q1646" s="25"/>
      <c r="R1646" s="54"/>
      <c r="W1646" s="23"/>
      <c r="X1646" s="23"/>
      <c r="Y1646" s="23"/>
      <c r="Z1646" s="43"/>
      <c r="AA1646" s="23"/>
      <c r="AB1646" s="23"/>
      <c r="AC1646" s="23"/>
      <c r="AD1646" s="23"/>
      <c r="AE1646" s="23"/>
      <c r="AF1646" s="23"/>
      <c r="AG1646" s="23"/>
      <c r="AH1646" s="23"/>
      <c r="AI1646" s="49"/>
    </row>
    <row r="1647" spans="1:35">
      <c r="A1647" s="23"/>
      <c r="B1647" s="42"/>
      <c r="C1647" s="49"/>
      <c r="E1647" s="49"/>
      <c r="G1647" s="43"/>
      <c r="H1647" s="44"/>
      <c r="L1647" s="42"/>
      <c r="M1647" s="42"/>
      <c r="N1647" s="25"/>
      <c r="O1647" s="54"/>
      <c r="P1647"/>
      <c r="Q1647" s="25"/>
      <c r="R1647" s="54"/>
      <c r="W1647" s="23"/>
      <c r="X1647" s="23"/>
      <c r="Y1647" s="23"/>
      <c r="Z1647" s="43"/>
      <c r="AA1647" s="23"/>
      <c r="AB1647" s="23"/>
      <c r="AC1647" s="23"/>
      <c r="AD1647" s="23"/>
      <c r="AE1647" s="23"/>
      <c r="AF1647" s="23"/>
      <c r="AG1647" s="23"/>
      <c r="AH1647" s="23"/>
      <c r="AI1647" s="49"/>
    </row>
    <row r="1648" spans="1:35">
      <c r="A1648" s="23"/>
      <c r="B1648" s="42"/>
      <c r="C1648" s="49"/>
      <c r="E1648" s="49"/>
      <c r="G1648" s="43"/>
      <c r="H1648" s="44"/>
      <c r="L1648" s="42"/>
      <c r="M1648" s="42"/>
      <c r="N1648" s="25"/>
      <c r="O1648" s="54"/>
      <c r="P1648"/>
      <c r="Q1648" s="25"/>
      <c r="R1648" s="54"/>
      <c r="W1648" s="23"/>
      <c r="X1648" s="23"/>
      <c r="Y1648" s="23"/>
      <c r="Z1648" s="43"/>
      <c r="AA1648" s="23"/>
      <c r="AB1648" s="23"/>
      <c r="AC1648" s="23"/>
      <c r="AD1648" s="23"/>
      <c r="AE1648" s="23"/>
      <c r="AF1648" s="23"/>
      <c r="AG1648" s="23"/>
      <c r="AH1648" s="23"/>
      <c r="AI1648" s="49"/>
    </row>
    <row r="1649" spans="1:35">
      <c r="A1649" s="23"/>
      <c r="B1649" s="42"/>
      <c r="C1649" s="49"/>
      <c r="E1649" s="49"/>
      <c r="G1649" s="43"/>
      <c r="H1649" s="44"/>
      <c r="L1649" s="42"/>
      <c r="M1649" s="42"/>
      <c r="N1649" s="25"/>
      <c r="O1649" s="54"/>
      <c r="P1649"/>
      <c r="Q1649" s="25"/>
      <c r="R1649" s="54"/>
      <c r="W1649" s="23"/>
      <c r="X1649" s="23"/>
      <c r="Y1649" s="23"/>
      <c r="Z1649" s="43"/>
      <c r="AA1649" s="23"/>
      <c r="AB1649" s="23"/>
      <c r="AC1649" s="23"/>
      <c r="AD1649" s="23"/>
      <c r="AE1649" s="23"/>
      <c r="AF1649" s="23"/>
      <c r="AG1649" s="23"/>
      <c r="AH1649" s="23"/>
      <c r="AI1649" s="49"/>
    </row>
    <row r="1650" spans="1:35">
      <c r="A1650" s="23"/>
      <c r="B1650" s="42"/>
      <c r="C1650" s="49"/>
      <c r="E1650" s="49"/>
      <c r="G1650" s="43"/>
      <c r="H1650" s="44"/>
      <c r="L1650" s="42"/>
      <c r="M1650" s="42"/>
      <c r="N1650" s="25"/>
      <c r="O1650" s="54"/>
      <c r="P1650"/>
      <c r="Q1650" s="25"/>
      <c r="R1650" s="54"/>
      <c r="W1650" s="23"/>
      <c r="X1650" s="23"/>
      <c r="Y1650" s="23"/>
      <c r="Z1650" s="43"/>
      <c r="AA1650" s="23"/>
      <c r="AB1650" s="23"/>
      <c r="AC1650" s="23"/>
      <c r="AD1650" s="23"/>
      <c r="AE1650" s="23"/>
      <c r="AF1650" s="23"/>
      <c r="AG1650" s="23"/>
      <c r="AH1650" s="23"/>
      <c r="AI1650" s="49"/>
    </row>
    <row r="1651" spans="1:35">
      <c r="A1651" s="23"/>
      <c r="B1651" s="42"/>
      <c r="C1651" s="49"/>
      <c r="E1651" s="49"/>
      <c r="G1651" s="43"/>
      <c r="H1651" s="44"/>
      <c r="L1651" s="42"/>
      <c r="M1651" s="42"/>
      <c r="N1651" s="25"/>
      <c r="O1651" s="54"/>
      <c r="P1651"/>
      <c r="Q1651" s="25"/>
      <c r="R1651" s="54"/>
      <c r="W1651" s="23"/>
      <c r="X1651" s="23"/>
      <c r="Y1651" s="23"/>
      <c r="Z1651" s="43"/>
      <c r="AA1651" s="23"/>
      <c r="AB1651" s="23"/>
      <c r="AC1651" s="23"/>
      <c r="AD1651" s="23"/>
      <c r="AE1651" s="23"/>
      <c r="AF1651" s="23"/>
      <c r="AG1651" s="23"/>
      <c r="AH1651" s="23"/>
      <c r="AI1651" s="49"/>
    </row>
    <row r="1652" spans="1:35">
      <c r="A1652" s="23"/>
      <c r="B1652" s="42"/>
      <c r="C1652" s="49"/>
      <c r="E1652" s="49"/>
      <c r="G1652" s="43"/>
      <c r="H1652" s="44"/>
      <c r="L1652" s="42"/>
      <c r="M1652" s="42"/>
      <c r="N1652" s="25"/>
      <c r="O1652" s="54"/>
      <c r="P1652"/>
      <c r="Q1652" s="25"/>
      <c r="R1652" s="54"/>
      <c r="W1652" s="23"/>
      <c r="X1652" s="23"/>
      <c r="Y1652" s="23"/>
      <c r="Z1652" s="43"/>
      <c r="AA1652" s="23"/>
      <c r="AB1652" s="23"/>
      <c r="AC1652" s="23"/>
      <c r="AD1652" s="23"/>
      <c r="AE1652" s="23"/>
      <c r="AF1652" s="23"/>
      <c r="AG1652" s="23"/>
      <c r="AH1652" s="23"/>
      <c r="AI1652" s="49"/>
    </row>
    <row r="1653" spans="1:35">
      <c r="A1653" s="23"/>
      <c r="B1653" s="42"/>
      <c r="C1653" s="49"/>
      <c r="E1653" s="49"/>
      <c r="G1653" s="43"/>
      <c r="H1653" s="44"/>
      <c r="L1653" s="42"/>
      <c r="M1653" s="42"/>
      <c r="N1653" s="25"/>
      <c r="O1653" s="54"/>
      <c r="P1653"/>
      <c r="Q1653" s="25"/>
      <c r="R1653" s="54"/>
      <c r="W1653" s="23"/>
      <c r="X1653" s="23"/>
      <c r="Y1653" s="23"/>
      <c r="Z1653" s="43"/>
      <c r="AA1653" s="23"/>
      <c r="AB1653" s="23"/>
      <c r="AC1653" s="23"/>
      <c r="AD1653" s="23"/>
      <c r="AE1653" s="23"/>
      <c r="AF1653" s="23"/>
      <c r="AG1653" s="23"/>
      <c r="AH1653" s="23"/>
      <c r="AI1653" s="49"/>
    </row>
    <row r="1654" spans="1:35">
      <c r="A1654" s="23"/>
      <c r="B1654" s="42"/>
      <c r="C1654" s="49"/>
      <c r="E1654" s="49"/>
      <c r="G1654" s="43"/>
      <c r="H1654" s="44"/>
      <c r="L1654" s="42"/>
      <c r="M1654" s="42"/>
      <c r="N1654" s="25"/>
      <c r="O1654" s="54"/>
      <c r="P1654"/>
      <c r="Q1654" s="25"/>
      <c r="R1654" s="54"/>
      <c r="W1654" s="23"/>
      <c r="X1654" s="23"/>
      <c r="Y1654" s="23"/>
      <c r="Z1654" s="43"/>
      <c r="AA1654" s="23"/>
      <c r="AB1654" s="23"/>
      <c r="AC1654" s="23"/>
      <c r="AD1654" s="23"/>
      <c r="AE1654" s="23"/>
      <c r="AF1654" s="23"/>
      <c r="AG1654" s="23"/>
      <c r="AH1654" s="23"/>
      <c r="AI1654" s="49"/>
    </row>
    <row r="1655" spans="1:35">
      <c r="A1655" s="23"/>
      <c r="B1655" s="42"/>
      <c r="C1655" s="49"/>
      <c r="E1655" s="49"/>
      <c r="G1655" s="43"/>
      <c r="H1655" s="44"/>
      <c r="L1655" s="42"/>
      <c r="M1655" s="42"/>
      <c r="N1655" s="25"/>
      <c r="O1655" s="54"/>
      <c r="P1655"/>
      <c r="Q1655" s="25"/>
      <c r="R1655" s="54"/>
      <c r="W1655" s="23"/>
      <c r="X1655" s="23"/>
      <c r="Y1655" s="23"/>
      <c r="Z1655" s="43"/>
      <c r="AA1655" s="23"/>
      <c r="AB1655" s="23"/>
      <c r="AC1655" s="23"/>
      <c r="AD1655" s="23"/>
      <c r="AE1655" s="23"/>
      <c r="AF1655" s="23"/>
      <c r="AG1655" s="23"/>
      <c r="AH1655" s="23"/>
      <c r="AI1655" s="49"/>
    </row>
    <row r="1656" spans="1:35">
      <c r="A1656" s="23"/>
      <c r="B1656" s="42"/>
      <c r="C1656" s="49"/>
      <c r="E1656" s="49"/>
      <c r="G1656" s="43"/>
      <c r="H1656" s="44"/>
      <c r="L1656" s="42"/>
      <c r="M1656" s="42"/>
      <c r="N1656" s="25"/>
      <c r="O1656" s="54"/>
      <c r="P1656"/>
      <c r="Q1656" s="25"/>
      <c r="R1656" s="54"/>
      <c r="W1656" s="23"/>
      <c r="X1656" s="23"/>
      <c r="Y1656" s="23"/>
      <c r="Z1656" s="43"/>
      <c r="AA1656" s="23"/>
      <c r="AB1656" s="23"/>
      <c r="AC1656" s="23"/>
      <c r="AD1656" s="23"/>
      <c r="AE1656" s="23"/>
      <c r="AF1656" s="23"/>
      <c r="AG1656" s="23"/>
      <c r="AH1656" s="23"/>
      <c r="AI1656" s="49"/>
    </row>
    <row r="1657" spans="1:35">
      <c r="A1657" s="23"/>
      <c r="B1657" s="42"/>
      <c r="C1657" s="49"/>
      <c r="E1657" s="49"/>
      <c r="G1657" s="43"/>
      <c r="H1657" s="44"/>
      <c r="L1657" s="42"/>
      <c r="M1657" s="42"/>
      <c r="N1657" s="25"/>
      <c r="O1657" s="54"/>
      <c r="P1657"/>
      <c r="Q1657" s="25"/>
      <c r="R1657" s="54"/>
      <c r="W1657" s="23"/>
      <c r="X1657" s="23"/>
      <c r="Y1657" s="23"/>
      <c r="Z1657" s="43"/>
      <c r="AA1657" s="23"/>
      <c r="AB1657" s="23"/>
      <c r="AC1657" s="23"/>
      <c r="AD1657" s="23"/>
      <c r="AE1657" s="23"/>
      <c r="AF1657" s="23"/>
      <c r="AG1657" s="23"/>
      <c r="AH1657" s="23"/>
      <c r="AI1657" s="49"/>
    </row>
    <row r="1658" spans="1:35">
      <c r="A1658" s="23"/>
      <c r="B1658" s="42"/>
      <c r="C1658" s="49"/>
      <c r="E1658" s="49"/>
      <c r="G1658" s="43"/>
      <c r="H1658" s="44"/>
      <c r="L1658" s="42"/>
      <c r="M1658" s="42"/>
      <c r="N1658" s="25"/>
      <c r="O1658" s="54"/>
      <c r="P1658"/>
      <c r="Q1658" s="25"/>
      <c r="R1658" s="54"/>
      <c r="W1658" s="23"/>
      <c r="X1658" s="23"/>
      <c r="Y1658" s="23"/>
      <c r="Z1658" s="43"/>
      <c r="AA1658" s="23"/>
      <c r="AB1658" s="23"/>
      <c r="AC1658" s="23"/>
      <c r="AD1658" s="23"/>
      <c r="AE1658" s="23"/>
      <c r="AF1658" s="23"/>
      <c r="AG1658" s="23"/>
      <c r="AH1658" s="23"/>
      <c r="AI1658" s="49"/>
    </row>
    <row r="1659" spans="1:35">
      <c r="A1659" s="23"/>
      <c r="B1659" s="42"/>
      <c r="C1659" s="49"/>
      <c r="E1659" s="49"/>
      <c r="G1659" s="43"/>
      <c r="H1659" s="44"/>
      <c r="L1659" s="42"/>
      <c r="M1659" s="42"/>
      <c r="N1659" s="25"/>
      <c r="O1659" s="54"/>
      <c r="P1659"/>
      <c r="Q1659" s="25"/>
      <c r="R1659" s="54"/>
      <c r="W1659" s="23"/>
      <c r="X1659" s="23"/>
      <c r="Y1659" s="23"/>
      <c r="Z1659" s="43"/>
      <c r="AA1659" s="23"/>
      <c r="AB1659" s="23"/>
      <c r="AC1659" s="23"/>
      <c r="AD1659" s="23"/>
      <c r="AE1659" s="23"/>
      <c r="AF1659" s="23"/>
      <c r="AG1659" s="23"/>
      <c r="AH1659" s="23"/>
      <c r="AI1659" s="49"/>
    </row>
    <row r="1660" spans="1:35">
      <c r="A1660" s="23"/>
      <c r="B1660" s="42"/>
      <c r="C1660" s="49"/>
      <c r="E1660" s="49"/>
      <c r="G1660" s="43"/>
      <c r="H1660" s="44"/>
      <c r="L1660" s="42"/>
      <c r="M1660" s="42"/>
      <c r="N1660" s="25"/>
      <c r="O1660" s="54"/>
      <c r="P1660"/>
      <c r="Q1660" s="25"/>
      <c r="R1660" s="54"/>
      <c r="W1660" s="23"/>
      <c r="X1660" s="23"/>
      <c r="Y1660" s="23"/>
      <c r="Z1660" s="43"/>
      <c r="AA1660" s="23"/>
      <c r="AB1660" s="23"/>
      <c r="AC1660" s="23"/>
      <c r="AD1660" s="23"/>
      <c r="AE1660" s="23"/>
      <c r="AF1660" s="23"/>
      <c r="AG1660" s="23"/>
      <c r="AH1660" s="23"/>
      <c r="AI1660" s="49"/>
    </row>
    <row r="1661" spans="1:35">
      <c r="A1661" s="23"/>
      <c r="B1661" s="42"/>
      <c r="C1661" s="49"/>
      <c r="E1661" s="49"/>
      <c r="G1661" s="43"/>
      <c r="H1661" s="44"/>
      <c r="L1661" s="42"/>
      <c r="M1661" s="42"/>
      <c r="N1661" s="25"/>
      <c r="O1661" s="54"/>
      <c r="P1661"/>
      <c r="Q1661" s="25"/>
      <c r="R1661" s="54"/>
      <c r="W1661" s="23"/>
      <c r="X1661" s="23"/>
      <c r="Y1661" s="23"/>
      <c r="Z1661" s="43"/>
      <c r="AA1661" s="23"/>
      <c r="AB1661" s="23"/>
      <c r="AC1661" s="23"/>
      <c r="AD1661" s="23"/>
      <c r="AE1661" s="23"/>
      <c r="AF1661" s="23"/>
      <c r="AG1661" s="23"/>
      <c r="AH1661" s="23"/>
      <c r="AI1661" s="49"/>
    </row>
    <row r="1662" spans="1:35">
      <c r="A1662" s="23"/>
      <c r="B1662" s="42"/>
      <c r="C1662" s="49"/>
      <c r="E1662" s="49"/>
      <c r="G1662" s="43"/>
      <c r="H1662" s="44"/>
      <c r="L1662" s="42"/>
      <c r="M1662" s="42"/>
      <c r="N1662" s="25"/>
      <c r="O1662" s="54"/>
      <c r="P1662"/>
      <c r="Q1662" s="25"/>
      <c r="R1662" s="54"/>
      <c r="W1662" s="23"/>
      <c r="X1662" s="23"/>
      <c r="Y1662" s="23"/>
      <c r="Z1662" s="43"/>
      <c r="AA1662" s="23"/>
      <c r="AB1662" s="23"/>
      <c r="AC1662" s="23"/>
      <c r="AD1662" s="23"/>
      <c r="AE1662" s="23"/>
      <c r="AF1662" s="23"/>
      <c r="AG1662" s="23"/>
      <c r="AH1662" s="23"/>
      <c r="AI1662" s="49"/>
    </row>
    <row r="1663" spans="1:35">
      <c r="A1663" s="23"/>
      <c r="B1663" s="42"/>
      <c r="C1663" s="49"/>
      <c r="E1663" s="49"/>
      <c r="G1663" s="43"/>
      <c r="H1663" s="44"/>
      <c r="L1663" s="42"/>
      <c r="M1663" s="42"/>
      <c r="N1663" s="25"/>
      <c r="O1663" s="54"/>
      <c r="P1663"/>
      <c r="Q1663" s="25"/>
      <c r="R1663" s="54"/>
      <c r="W1663" s="23"/>
      <c r="X1663" s="23"/>
      <c r="Y1663" s="23"/>
      <c r="Z1663" s="43"/>
      <c r="AA1663" s="23"/>
      <c r="AB1663" s="23"/>
      <c r="AC1663" s="23"/>
      <c r="AD1663" s="23"/>
      <c r="AE1663" s="23"/>
      <c r="AF1663" s="23"/>
      <c r="AG1663" s="23"/>
      <c r="AH1663" s="23"/>
      <c r="AI1663" s="49"/>
    </row>
    <row r="1664" spans="1:35">
      <c r="A1664" s="23"/>
      <c r="B1664" s="42"/>
      <c r="C1664" s="49"/>
      <c r="E1664" s="49"/>
      <c r="G1664" s="43"/>
      <c r="H1664" s="44"/>
      <c r="L1664" s="42"/>
      <c r="M1664" s="42"/>
      <c r="N1664" s="25"/>
      <c r="O1664" s="54"/>
      <c r="P1664"/>
      <c r="Q1664" s="25"/>
      <c r="R1664" s="54"/>
      <c r="W1664" s="23"/>
      <c r="X1664" s="23"/>
      <c r="Y1664" s="23"/>
      <c r="Z1664" s="43"/>
      <c r="AA1664" s="23"/>
      <c r="AB1664" s="23"/>
      <c r="AC1664" s="23"/>
      <c r="AD1664" s="23"/>
      <c r="AE1664" s="23"/>
      <c r="AF1664" s="23"/>
      <c r="AG1664" s="23"/>
      <c r="AH1664" s="23"/>
      <c r="AI1664" s="49"/>
    </row>
    <row r="1665" spans="1:35">
      <c r="A1665" s="23"/>
      <c r="B1665" s="42"/>
      <c r="C1665" s="49"/>
      <c r="E1665" s="49"/>
      <c r="G1665" s="43"/>
      <c r="H1665" s="44"/>
      <c r="L1665" s="42"/>
      <c r="M1665" s="42"/>
      <c r="N1665" s="25"/>
      <c r="O1665" s="54"/>
      <c r="P1665"/>
      <c r="Q1665" s="25"/>
      <c r="R1665" s="54"/>
      <c r="W1665" s="23"/>
      <c r="X1665" s="23"/>
      <c r="Y1665" s="23"/>
      <c r="Z1665" s="43"/>
      <c r="AA1665" s="23"/>
      <c r="AB1665" s="23"/>
      <c r="AC1665" s="23"/>
      <c r="AD1665" s="23"/>
      <c r="AE1665" s="23"/>
      <c r="AF1665" s="23"/>
      <c r="AG1665" s="23"/>
      <c r="AH1665" s="23"/>
      <c r="AI1665" s="49"/>
    </row>
    <row r="1666" spans="1:35">
      <c r="A1666" s="23"/>
      <c r="B1666" s="42"/>
      <c r="C1666" s="49"/>
      <c r="E1666" s="49"/>
      <c r="G1666" s="43"/>
      <c r="H1666" s="44"/>
      <c r="L1666" s="42"/>
      <c r="M1666" s="42"/>
      <c r="N1666" s="25"/>
      <c r="O1666" s="54"/>
      <c r="P1666"/>
      <c r="Q1666" s="25"/>
      <c r="R1666" s="54"/>
      <c r="W1666" s="23"/>
      <c r="X1666" s="23"/>
      <c r="Y1666" s="23"/>
      <c r="Z1666" s="43"/>
      <c r="AA1666" s="23"/>
      <c r="AB1666" s="23"/>
      <c r="AC1666" s="23"/>
      <c r="AD1666" s="23"/>
      <c r="AE1666" s="23"/>
      <c r="AF1666" s="23"/>
      <c r="AG1666" s="23"/>
      <c r="AH1666" s="23"/>
      <c r="AI1666" s="49"/>
    </row>
    <row r="1667" spans="1:35">
      <c r="A1667" s="23"/>
      <c r="B1667" s="42"/>
      <c r="C1667" s="49"/>
      <c r="E1667" s="49"/>
      <c r="G1667" s="43"/>
      <c r="H1667" s="44"/>
      <c r="L1667" s="42"/>
      <c r="M1667" s="42"/>
      <c r="N1667" s="25"/>
      <c r="O1667" s="54"/>
      <c r="P1667"/>
      <c r="Q1667" s="25"/>
      <c r="R1667" s="54"/>
      <c r="W1667" s="23"/>
      <c r="X1667" s="23"/>
      <c r="Y1667" s="23"/>
      <c r="Z1667" s="43"/>
      <c r="AA1667" s="23"/>
      <c r="AB1667" s="23"/>
      <c r="AC1667" s="23"/>
      <c r="AD1667" s="23"/>
      <c r="AE1667" s="23"/>
      <c r="AF1667" s="23"/>
      <c r="AG1667" s="23"/>
      <c r="AH1667" s="23"/>
      <c r="AI1667" s="49"/>
    </row>
    <row r="1668" spans="1:35">
      <c r="A1668" s="23"/>
      <c r="B1668" s="42"/>
      <c r="C1668" s="49"/>
      <c r="E1668" s="49"/>
      <c r="G1668" s="43"/>
      <c r="H1668" s="44"/>
      <c r="L1668" s="42"/>
      <c r="M1668" s="42"/>
      <c r="N1668" s="25"/>
      <c r="O1668" s="54"/>
      <c r="P1668"/>
      <c r="Q1668" s="25"/>
      <c r="R1668" s="54"/>
      <c r="W1668" s="23"/>
      <c r="X1668" s="23"/>
      <c r="Y1668" s="23"/>
      <c r="Z1668" s="43"/>
      <c r="AA1668" s="23"/>
      <c r="AB1668" s="23"/>
      <c r="AC1668" s="23"/>
      <c r="AD1668" s="23"/>
      <c r="AE1668" s="23"/>
      <c r="AF1668" s="23"/>
      <c r="AG1668" s="23"/>
      <c r="AH1668" s="23"/>
      <c r="AI1668" s="49"/>
    </row>
    <row r="1669" spans="1:35">
      <c r="A1669" s="23"/>
      <c r="B1669" s="42"/>
      <c r="C1669" s="49"/>
      <c r="E1669" s="49"/>
      <c r="G1669" s="43"/>
      <c r="H1669" s="44"/>
      <c r="L1669" s="42"/>
      <c r="M1669" s="42"/>
      <c r="N1669" s="25"/>
      <c r="O1669" s="54"/>
      <c r="P1669"/>
      <c r="Q1669" s="25"/>
      <c r="R1669" s="54"/>
      <c r="W1669" s="23"/>
      <c r="X1669" s="23"/>
      <c r="Y1669" s="23"/>
      <c r="Z1669" s="43"/>
      <c r="AA1669" s="23"/>
      <c r="AB1669" s="23"/>
      <c r="AC1669" s="23"/>
      <c r="AD1669" s="23"/>
      <c r="AE1669" s="23"/>
      <c r="AF1669" s="23"/>
      <c r="AG1669" s="23"/>
      <c r="AH1669" s="23"/>
      <c r="AI1669" s="49"/>
    </row>
    <row r="1670" spans="1:35">
      <c r="A1670" s="23"/>
      <c r="B1670" s="42"/>
      <c r="C1670" s="49"/>
      <c r="E1670" s="49"/>
      <c r="G1670" s="43"/>
      <c r="H1670" s="44"/>
      <c r="L1670" s="42"/>
      <c r="M1670" s="42"/>
      <c r="N1670" s="25"/>
      <c r="O1670" s="54"/>
      <c r="P1670"/>
      <c r="Q1670" s="25"/>
      <c r="R1670" s="54"/>
      <c r="W1670" s="23"/>
      <c r="X1670" s="23"/>
      <c r="Y1670" s="23"/>
      <c r="Z1670" s="43"/>
      <c r="AA1670" s="23"/>
      <c r="AB1670" s="23"/>
      <c r="AC1670" s="23"/>
      <c r="AD1670" s="23"/>
      <c r="AE1670" s="23"/>
      <c r="AF1670" s="23"/>
      <c r="AG1670" s="23"/>
      <c r="AH1670" s="23"/>
      <c r="AI1670" s="49"/>
    </row>
    <row r="1671" spans="1:35">
      <c r="A1671" s="23"/>
      <c r="B1671" s="42"/>
      <c r="C1671" s="49"/>
      <c r="E1671" s="49"/>
      <c r="G1671" s="43"/>
      <c r="H1671" s="44"/>
      <c r="L1671" s="42"/>
      <c r="M1671" s="42"/>
      <c r="N1671" s="25"/>
      <c r="O1671" s="54"/>
      <c r="P1671"/>
      <c r="Q1671" s="25"/>
      <c r="R1671" s="54"/>
      <c r="W1671" s="23"/>
      <c r="X1671" s="23"/>
      <c r="Y1671" s="23"/>
      <c r="Z1671" s="43"/>
      <c r="AA1671" s="23"/>
      <c r="AB1671" s="23"/>
      <c r="AC1671" s="23"/>
      <c r="AD1671" s="23"/>
      <c r="AE1671" s="23"/>
      <c r="AF1671" s="23"/>
      <c r="AG1671" s="23"/>
      <c r="AH1671" s="23"/>
      <c r="AI1671" s="49"/>
    </row>
    <row r="1672" spans="1:35">
      <c r="A1672" s="23"/>
      <c r="B1672" s="42"/>
      <c r="C1672" s="49"/>
      <c r="E1672" s="49"/>
      <c r="G1672" s="43"/>
      <c r="H1672" s="44"/>
      <c r="L1672" s="42"/>
      <c r="M1672" s="42"/>
      <c r="N1672" s="25"/>
      <c r="O1672" s="54"/>
      <c r="P1672"/>
      <c r="Q1672" s="25"/>
      <c r="R1672" s="54"/>
      <c r="W1672" s="23"/>
      <c r="X1672" s="23"/>
      <c r="Y1672" s="23"/>
      <c r="Z1672" s="43"/>
      <c r="AA1672" s="23"/>
      <c r="AB1672" s="23"/>
      <c r="AC1672" s="23"/>
      <c r="AD1672" s="23"/>
      <c r="AE1672" s="23"/>
      <c r="AF1672" s="23"/>
      <c r="AG1672" s="23"/>
      <c r="AH1672" s="23"/>
      <c r="AI1672" s="49"/>
    </row>
    <row r="1673" spans="1:35">
      <c r="A1673" s="23"/>
      <c r="B1673" s="42"/>
      <c r="C1673" s="49"/>
      <c r="E1673" s="49"/>
      <c r="G1673" s="43"/>
      <c r="H1673" s="44"/>
      <c r="L1673" s="42"/>
      <c r="M1673" s="42"/>
      <c r="N1673" s="25"/>
      <c r="O1673" s="54"/>
      <c r="P1673"/>
      <c r="Q1673" s="25"/>
      <c r="R1673" s="54"/>
      <c r="W1673" s="23"/>
      <c r="X1673" s="23"/>
      <c r="Y1673" s="23"/>
      <c r="Z1673" s="43"/>
      <c r="AA1673" s="23"/>
      <c r="AB1673" s="23"/>
      <c r="AC1673" s="23"/>
      <c r="AD1673" s="23"/>
      <c r="AE1673" s="23"/>
      <c r="AF1673" s="23"/>
      <c r="AG1673" s="23"/>
      <c r="AH1673" s="23"/>
      <c r="AI1673" s="49"/>
    </row>
    <row r="1674" spans="1:35">
      <c r="A1674" s="23"/>
      <c r="B1674" s="42"/>
      <c r="C1674" s="49"/>
      <c r="E1674" s="49"/>
      <c r="G1674" s="43"/>
      <c r="H1674" s="44"/>
      <c r="L1674" s="42"/>
      <c r="M1674" s="42"/>
      <c r="N1674" s="25"/>
      <c r="O1674" s="54"/>
      <c r="P1674"/>
      <c r="Q1674" s="25"/>
      <c r="R1674" s="54"/>
      <c r="W1674" s="23"/>
      <c r="X1674" s="23"/>
      <c r="Y1674" s="23"/>
      <c r="Z1674" s="43"/>
      <c r="AA1674" s="23"/>
      <c r="AB1674" s="23"/>
      <c r="AC1674" s="23"/>
      <c r="AD1674" s="23"/>
      <c r="AE1674" s="23"/>
      <c r="AF1674" s="23"/>
      <c r="AG1674" s="23"/>
      <c r="AH1674" s="23"/>
      <c r="AI1674" s="49"/>
    </row>
    <row r="1675" spans="1:35">
      <c r="A1675" s="23"/>
      <c r="B1675" s="42"/>
      <c r="C1675" s="49"/>
      <c r="E1675" s="49"/>
      <c r="G1675" s="43"/>
      <c r="H1675" s="44"/>
      <c r="L1675" s="42"/>
      <c r="M1675" s="42"/>
      <c r="N1675" s="25"/>
      <c r="O1675" s="54"/>
      <c r="P1675"/>
      <c r="Q1675" s="25"/>
      <c r="R1675" s="54"/>
      <c r="W1675" s="23"/>
      <c r="X1675" s="23"/>
      <c r="Y1675" s="23"/>
      <c r="Z1675" s="43"/>
      <c r="AA1675" s="23"/>
      <c r="AB1675" s="23"/>
      <c r="AC1675" s="23"/>
      <c r="AD1675" s="23"/>
      <c r="AE1675" s="23"/>
      <c r="AF1675" s="23"/>
      <c r="AG1675" s="23"/>
      <c r="AH1675" s="23"/>
      <c r="AI1675" s="49"/>
    </row>
    <row r="1676" spans="1:35">
      <c r="A1676" s="23"/>
      <c r="B1676" s="42"/>
      <c r="C1676" s="49"/>
      <c r="E1676" s="49"/>
      <c r="G1676" s="43"/>
      <c r="H1676" s="44"/>
      <c r="L1676" s="42"/>
      <c r="M1676" s="42"/>
      <c r="N1676" s="25"/>
      <c r="O1676" s="54"/>
      <c r="P1676"/>
      <c r="Q1676" s="25"/>
      <c r="R1676" s="54"/>
      <c r="W1676" s="23"/>
      <c r="X1676" s="23"/>
      <c r="Y1676" s="23"/>
      <c r="Z1676" s="43"/>
      <c r="AA1676" s="23"/>
      <c r="AB1676" s="23"/>
      <c r="AC1676" s="23"/>
      <c r="AD1676" s="23"/>
      <c r="AE1676" s="23"/>
      <c r="AF1676" s="23"/>
      <c r="AG1676" s="23"/>
      <c r="AH1676" s="23"/>
      <c r="AI1676" s="49"/>
    </row>
    <row r="1677" spans="1:35">
      <c r="A1677" s="23"/>
      <c r="B1677" s="42"/>
      <c r="C1677" s="49"/>
      <c r="E1677" s="49"/>
      <c r="G1677" s="43"/>
      <c r="H1677" s="44"/>
      <c r="L1677" s="42"/>
      <c r="M1677" s="42"/>
      <c r="N1677" s="25"/>
      <c r="O1677" s="54"/>
      <c r="P1677"/>
      <c r="Q1677" s="25"/>
      <c r="R1677" s="54"/>
      <c r="W1677" s="23"/>
      <c r="X1677" s="23"/>
      <c r="Y1677" s="23"/>
      <c r="Z1677" s="43"/>
      <c r="AA1677" s="23"/>
      <c r="AB1677" s="23"/>
      <c r="AC1677" s="23"/>
      <c r="AD1677" s="23"/>
      <c r="AE1677" s="23"/>
      <c r="AF1677" s="23"/>
      <c r="AG1677" s="23"/>
      <c r="AH1677" s="23"/>
      <c r="AI1677" s="49"/>
    </row>
    <row r="1678" spans="1:35">
      <c r="A1678" s="23"/>
      <c r="B1678" s="42"/>
      <c r="C1678" s="49"/>
      <c r="E1678" s="49"/>
      <c r="G1678" s="43"/>
      <c r="H1678" s="44"/>
      <c r="L1678" s="42"/>
      <c r="M1678" s="42"/>
      <c r="N1678" s="25"/>
      <c r="O1678" s="54"/>
      <c r="P1678"/>
      <c r="Q1678" s="25"/>
      <c r="R1678" s="54"/>
      <c r="W1678" s="23"/>
      <c r="X1678" s="23"/>
      <c r="Y1678" s="23"/>
      <c r="Z1678" s="43"/>
      <c r="AA1678" s="23"/>
      <c r="AB1678" s="23"/>
      <c r="AC1678" s="23"/>
      <c r="AD1678" s="23"/>
      <c r="AE1678" s="23"/>
      <c r="AF1678" s="23"/>
      <c r="AG1678" s="23"/>
      <c r="AH1678" s="23"/>
      <c r="AI1678" s="49"/>
    </row>
    <row r="1679" spans="1:35">
      <c r="A1679" s="23"/>
      <c r="B1679" s="42"/>
      <c r="C1679" s="49"/>
      <c r="E1679" s="49"/>
      <c r="G1679" s="43"/>
      <c r="H1679" s="44"/>
      <c r="L1679" s="42"/>
      <c r="M1679" s="42"/>
      <c r="N1679" s="25"/>
      <c r="O1679" s="54"/>
      <c r="P1679"/>
      <c r="Q1679" s="25"/>
      <c r="R1679" s="54"/>
      <c r="W1679" s="23"/>
      <c r="X1679" s="23"/>
      <c r="Y1679" s="23"/>
      <c r="Z1679" s="43"/>
      <c r="AA1679" s="23"/>
      <c r="AB1679" s="23"/>
      <c r="AC1679" s="23"/>
      <c r="AD1679" s="23"/>
      <c r="AE1679" s="23"/>
      <c r="AF1679" s="23"/>
      <c r="AG1679" s="23"/>
      <c r="AH1679" s="23"/>
      <c r="AI1679" s="49"/>
    </row>
    <row r="1680" spans="1:35">
      <c r="A1680" s="23"/>
      <c r="B1680" s="42"/>
      <c r="C1680" s="49"/>
      <c r="E1680" s="49"/>
      <c r="G1680" s="43"/>
      <c r="H1680" s="44"/>
      <c r="L1680" s="42"/>
      <c r="M1680" s="42"/>
      <c r="N1680" s="25"/>
      <c r="O1680" s="54"/>
      <c r="P1680"/>
      <c r="Q1680" s="25"/>
      <c r="R1680" s="54"/>
      <c r="W1680" s="23"/>
      <c r="X1680" s="23"/>
      <c r="Y1680" s="23"/>
      <c r="Z1680" s="43"/>
      <c r="AA1680" s="23"/>
      <c r="AB1680" s="23"/>
      <c r="AC1680" s="23"/>
      <c r="AD1680" s="23"/>
      <c r="AE1680" s="23"/>
      <c r="AF1680" s="23"/>
      <c r="AG1680" s="23"/>
      <c r="AH1680" s="23"/>
      <c r="AI1680" s="49"/>
    </row>
    <row r="1681" spans="1:35">
      <c r="A1681" s="23"/>
      <c r="B1681" s="42"/>
      <c r="C1681" s="49"/>
      <c r="E1681" s="49"/>
      <c r="G1681" s="43"/>
      <c r="H1681" s="44"/>
      <c r="L1681" s="42"/>
      <c r="M1681" s="42"/>
      <c r="N1681" s="25"/>
      <c r="O1681" s="54"/>
      <c r="P1681"/>
      <c r="Q1681" s="25"/>
      <c r="R1681" s="54"/>
      <c r="W1681" s="23"/>
      <c r="X1681" s="23"/>
      <c r="Y1681" s="23"/>
      <c r="Z1681" s="43"/>
      <c r="AA1681" s="23"/>
      <c r="AB1681" s="23"/>
      <c r="AC1681" s="23"/>
      <c r="AD1681" s="23"/>
      <c r="AE1681" s="23"/>
      <c r="AF1681" s="23"/>
      <c r="AG1681" s="23"/>
      <c r="AH1681" s="23"/>
      <c r="AI1681" s="49"/>
    </row>
    <row r="1682" spans="1:35">
      <c r="A1682" s="23"/>
      <c r="B1682" s="42"/>
      <c r="C1682" s="49"/>
      <c r="E1682" s="49"/>
      <c r="G1682" s="43"/>
      <c r="H1682" s="44"/>
      <c r="L1682" s="42"/>
      <c r="M1682" s="42"/>
      <c r="N1682" s="25"/>
      <c r="O1682" s="54"/>
      <c r="P1682"/>
      <c r="Q1682" s="25"/>
      <c r="R1682" s="54"/>
      <c r="W1682" s="23"/>
      <c r="X1682" s="23"/>
      <c r="Y1682" s="23"/>
      <c r="Z1682" s="43"/>
      <c r="AA1682" s="23"/>
      <c r="AB1682" s="23"/>
      <c r="AC1682" s="23"/>
      <c r="AD1682" s="23"/>
      <c r="AE1682" s="23"/>
      <c r="AF1682" s="23"/>
      <c r="AG1682" s="23"/>
      <c r="AH1682" s="23"/>
      <c r="AI1682" s="49"/>
    </row>
    <row r="1683" spans="1:35">
      <c r="A1683" s="23"/>
      <c r="B1683" s="42"/>
      <c r="C1683" s="49"/>
      <c r="E1683" s="49"/>
      <c r="G1683" s="43"/>
      <c r="H1683" s="44"/>
      <c r="L1683" s="42"/>
      <c r="M1683" s="42"/>
      <c r="N1683" s="25"/>
      <c r="O1683" s="54"/>
      <c r="P1683"/>
      <c r="Q1683" s="25"/>
      <c r="R1683" s="54"/>
      <c r="W1683" s="23"/>
      <c r="X1683" s="23"/>
      <c r="Y1683" s="23"/>
      <c r="Z1683" s="43"/>
      <c r="AA1683" s="23"/>
      <c r="AB1683" s="23"/>
      <c r="AC1683" s="23"/>
      <c r="AD1683" s="23"/>
      <c r="AE1683" s="23"/>
      <c r="AF1683" s="23"/>
      <c r="AG1683" s="23"/>
      <c r="AH1683" s="23"/>
      <c r="AI1683" s="49"/>
    </row>
    <row r="1684" spans="1:35">
      <c r="A1684" s="23"/>
      <c r="B1684" s="42"/>
      <c r="C1684" s="49"/>
      <c r="E1684" s="49"/>
      <c r="G1684" s="43"/>
      <c r="H1684" s="44"/>
      <c r="L1684" s="42"/>
      <c r="M1684" s="42"/>
      <c r="N1684" s="25"/>
      <c r="O1684" s="54"/>
      <c r="P1684"/>
      <c r="Q1684" s="25"/>
      <c r="R1684" s="54"/>
      <c r="W1684" s="23"/>
      <c r="X1684" s="23"/>
      <c r="Y1684" s="23"/>
      <c r="Z1684" s="43"/>
      <c r="AA1684" s="23"/>
      <c r="AB1684" s="23"/>
      <c r="AC1684" s="23"/>
      <c r="AD1684" s="23"/>
      <c r="AE1684" s="23"/>
      <c r="AF1684" s="23"/>
      <c r="AG1684" s="23"/>
      <c r="AH1684" s="23"/>
      <c r="AI1684" s="49"/>
    </row>
    <row r="1685" spans="1:35">
      <c r="A1685" s="23"/>
      <c r="B1685" s="42"/>
      <c r="C1685" s="49"/>
      <c r="E1685" s="49"/>
      <c r="G1685" s="43"/>
      <c r="H1685" s="44"/>
      <c r="L1685" s="42"/>
      <c r="M1685" s="42"/>
      <c r="N1685" s="25"/>
      <c r="O1685" s="54"/>
      <c r="P1685"/>
      <c r="Q1685" s="25"/>
      <c r="R1685" s="54"/>
      <c r="W1685" s="23"/>
      <c r="X1685" s="23"/>
      <c r="Y1685" s="23"/>
      <c r="Z1685" s="43"/>
      <c r="AA1685" s="23"/>
      <c r="AB1685" s="23"/>
      <c r="AC1685" s="23"/>
      <c r="AD1685" s="23"/>
      <c r="AE1685" s="23"/>
      <c r="AF1685" s="23"/>
      <c r="AG1685" s="23"/>
      <c r="AH1685" s="23"/>
      <c r="AI1685" s="49"/>
    </row>
    <row r="1686" spans="1:35">
      <c r="A1686" s="23"/>
      <c r="B1686" s="42"/>
      <c r="C1686" s="49"/>
      <c r="E1686" s="49"/>
      <c r="G1686" s="43"/>
      <c r="H1686" s="44"/>
      <c r="L1686" s="42"/>
      <c r="M1686" s="42"/>
      <c r="N1686" s="25"/>
      <c r="O1686" s="54"/>
      <c r="P1686"/>
      <c r="Q1686" s="25"/>
      <c r="R1686" s="54"/>
      <c r="W1686" s="23"/>
      <c r="X1686" s="23"/>
      <c r="Y1686" s="23"/>
      <c r="Z1686" s="43"/>
      <c r="AA1686" s="23"/>
      <c r="AB1686" s="23"/>
      <c r="AC1686" s="23"/>
      <c r="AD1686" s="23"/>
      <c r="AE1686" s="23"/>
      <c r="AF1686" s="23"/>
      <c r="AG1686" s="23"/>
      <c r="AH1686" s="23"/>
      <c r="AI1686" s="49"/>
    </row>
    <row r="1687" spans="1:35">
      <c r="A1687" s="23"/>
      <c r="B1687" s="42"/>
      <c r="C1687" s="49"/>
      <c r="E1687" s="49"/>
      <c r="G1687" s="43"/>
      <c r="H1687" s="44"/>
      <c r="L1687" s="42"/>
      <c r="M1687" s="42"/>
      <c r="N1687" s="25"/>
      <c r="O1687" s="54"/>
      <c r="P1687"/>
      <c r="Q1687" s="25"/>
      <c r="R1687" s="54"/>
      <c r="W1687" s="23"/>
      <c r="X1687" s="23"/>
      <c r="Y1687" s="23"/>
      <c r="Z1687" s="43"/>
      <c r="AA1687" s="23"/>
      <c r="AB1687" s="23"/>
      <c r="AC1687" s="23"/>
      <c r="AD1687" s="23"/>
      <c r="AE1687" s="23"/>
      <c r="AF1687" s="23"/>
      <c r="AG1687" s="23"/>
      <c r="AH1687" s="23"/>
      <c r="AI1687" s="49"/>
    </row>
    <row r="1688" spans="1:35">
      <c r="A1688" s="45"/>
      <c r="B1688" s="42"/>
      <c r="C1688" s="45"/>
      <c r="E1688" s="45"/>
      <c r="G1688" s="43"/>
      <c r="H1688" s="44"/>
      <c r="L1688" s="42"/>
      <c r="M1688" s="42"/>
      <c r="N1688" s="25"/>
      <c r="O1688" s="54"/>
      <c r="P1688"/>
      <c r="Q1688" s="25"/>
      <c r="R1688" s="54"/>
      <c r="W1688" s="23"/>
      <c r="X1688" s="23"/>
      <c r="Y1688" s="23"/>
      <c r="Z1688" s="43"/>
      <c r="AA1688" s="23"/>
      <c r="AB1688" s="23"/>
      <c r="AC1688" s="23"/>
      <c r="AD1688" s="23"/>
      <c r="AE1688" s="23"/>
      <c r="AF1688" s="23"/>
      <c r="AG1688" s="23"/>
      <c r="AH1688" s="23"/>
      <c r="AI1688" s="48"/>
    </row>
    <row r="1689" spans="1:35">
      <c r="A1689" s="45"/>
      <c r="B1689" s="42"/>
      <c r="C1689" s="45"/>
      <c r="E1689" s="45"/>
      <c r="G1689" s="43"/>
      <c r="H1689" s="44"/>
      <c r="L1689" s="42"/>
      <c r="M1689" s="42"/>
      <c r="N1689" s="25"/>
      <c r="O1689" s="54"/>
      <c r="P1689"/>
      <c r="Q1689" s="25"/>
      <c r="R1689" s="54"/>
      <c r="W1689" s="23"/>
      <c r="X1689" s="23"/>
      <c r="Y1689" s="23"/>
      <c r="Z1689" s="43"/>
      <c r="AA1689" s="23"/>
      <c r="AB1689" s="23"/>
      <c r="AC1689" s="23"/>
      <c r="AD1689" s="23"/>
      <c r="AE1689" s="23"/>
      <c r="AF1689" s="23"/>
      <c r="AG1689" s="23"/>
      <c r="AH1689" s="23"/>
      <c r="AI1689" s="48"/>
    </row>
    <row r="1690" spans="1:35">
      <c r="A1690" s="45"/>
      <c r="B1690" s="42"/>
      <c r="C1690" s="45"/>
      <c r="E1690" s="45"/>
      <c r="G1690" s="43"/>
      <c r="H1690" s="44"/>
      <c r="L1690" s="42"/>
      <c r="M1690" s="42"/>
      <c r="N1690" s="25"/>
      <c r="O1690" s="54"/>
      <c r="P1690"/>
      <c r="Q1690" s="25"/>
      <c r="R1690" s="54"/>
      <c r="W1690" s="23"/>
      <c r="X1690" s="23"/>
      <c r="Y1690" s="23"/>
      <c r="Z1690" s="43"/>
      <c r="AA1690" s="23"/>
      <c r="AB1690" s="23"/>
      <c r="AC1690" s="23"/>
      <c r="AD1690" s="23"/>
      <c r="AE1690" s="23"/>
      <c r="AF1690" s="23"/>
      <c r="AG1690" s="23"/>
      <c r="AH1690" s="23"/>
      <c r="AI1690" s="48"/>
    </row>
    <row r="1691" spans="1:35">
      <c r="A1691" s="45"/>
      <c r="B1691" s="42"/>
      <c r="C1691" s="45"/>
      <c r="E1691" s="45"/>
      <c r="G1691" s="43"/>
      <c r="H1691" s="44"/>
      <c r="L1691" s="42"/>
      <c r="M1691" s="42"/>
      <c r="N1691" s="25"/>
      <c r="O1691" s="54"/>
      <c r="P1691"/>
      <c r="Q1691" s="25"/>
      <c r="R1691" s="54"/>
      <c r="W1691" s="23"/>
      <c r="X1691" s="23"/>
      <c r="Y1691" s="23"/>
      <c r="Z1691" s="43"/>
      <c r="AA1691" s="23"/>
      <c r="AB1691" s="23"/>
      <c r="AC1691" s="23"/>
      <c r="AD1691" s="23"/>
      <c r="AE1691" s="23"/>
      <c r="AF1691" s="23"/>
      <c r="AG1691" s="23"/>
      <c r="AH1691" s="23"/>
      <c r="AI1691" s="48"/>
    </row>
    <row r="1692" spans="1:35">
      <c r="A1692" s="45"/>
      <c r="B1692" s="42"/>
      <c r="C1692" s="45"/>
      <c r="E1692" s="45"/>
      <c r="G1692" s="43"/>
      <c r="H1692" s="44"/>
      <c r="L1692" s="42"/>
      <c r="M1692" s="42"/>
      <c r="N1692" s="25"/>
      <c r="O1692" s="54"/>
      <c r="P1692"/>
      <c r="Q1692" s="25"/>
      <c r="R1692" s="54"/>
      <c r="W1692" s="23"/>
      <c r="X1692" s="23"/>
      <c r="Y1692" s="23"/>
      <c r="Z1692" s="43"/>
      <c r="AA1692" s="23"/>
      <c r="AB1692" s="23"/>
      <c r="AC1692" s="23"/>
      <c r="AD1692" s="23"/>
      <c r="AE1692" s="23"/>
      <c r="AF1692" s="23"/>
      <c r="AG1692" s="23"/>
      <c r="AH1692" s="23"/>
      <c r="AI1692" s="48"/>
    </row>
    <row r="1693" spans="1:35">
      <c r="A1693" s="45"/>
      <c r="B1693" s="42"/>
      <c r="C1693" s="45"/>
      <c r="E1693" s="45"/>
      <c r="G1693" s="43"/>
      <c r="H1693" s="44"/>
      <c r="L1693" s="42"/>
      <c r="M1693" s="42"/>
      <c r="N1693" s="25"/>
      <c r="O1693" s="54"/>
      <c r="P1693"/>
      <c r="Q1693" s="25"/>
      <c r="R1693" s="54"/>
      <c r="W1693" s="23"/>
      <c r="X1693" s="23"/>
      <c r="Y1693" s="23"/>
      <c r="Z1693" s="43"/>
      <c r="AA1693" s="23"/>
      <c r="AB1693" s="23"/>
      <c r="AC1693" s="23"/>
      <c r="AD1693" s="23"/>
      <c r="AE1693" s="23"/>
      <c r="AF1693" s="23"/>
      <c r="AG1693" s="23"/>
      <c r="AH1693" s="23"/>
      <c r="AI1693" s="48"/>
    </row>
    <row r="1694" spans="1:35">
      <c r="A1694" s="45"/>
      <c r="B1694" s="42"/>
      <c r="C1694" s="45"/>
      <c r="E1694" s="45"/>
      <c r="G1694" s="43"/>
      <c r="H1694" s="44"/>
      <c r="L1694" s="42"/>
      <c r="M1694" s="42"/>
      <c r="N1694" s="25"/>
      <c r="O1694" s="54"/>
      <c r="P1694"/>
      <c r="Q1694" s="25"/>
      <c r="R1694" s="54"/>
      <c r="W1694" s="23"/>
      <c r="X1694" s="23"/>
      <c r="Y1694" s="23"/>
      <c r="Z1694" s="43"/>
      <c r="AA1694" s="23"/>
      <c r="AB1694" s="23"/>
      <c r="AC1694" s="23"/>
      <c r="AD1694" s="23"/>
      <c r="AE1694" s="23"/>
      <c r="AF1694" s="23"/>
      <c r="AG1694" s="23"/>
      <c r="AH1694" s="23"/>
      <c r="AI1694" s="48"/>
    </row>
    <row r="1695" spans="1:35">
      <c r="A1695" s="45"/>
      <c r="B1695" s="42"/>
      <c r="C1695" s="45"/>
      <c r="E1695" s="45"/>
      <c r="G1695" s="43"/>
      <c r="H1695" s="44"/>
      <c r="L1695" s="42"/>
      <c r="M1695" s="42"/>
      <c r="N1695" s="25"/>
      <c r="O1695" s="54"/>
      <c r="P1695"/>
      <c r="Q1695" s="25"/>
      <c r="R1695" s="54"/>
      <c r="W1695" s="23"/>
      <c r="X1695" s="23"/>
      <c r="Y1695" s="23"/>
      <c r="Z1695" s="43"/>
      <c r="AA1695" s="23"/>
      <c r="AB1695" s="23"/>
      <c r="AC1695" s="23"/>
      <c r="AD1695" s="23"/>
      <c r="AE1695" s="23"/>
      <c r="AF1695" s="23"/>
      <c r="AG1695" s="23"/>
      <c r="AH1695" s="23"/>
      <c r="AI1695" s="48"/>
    </row>
    <row r="1696" spans="1:35">
      <c r="A1696" s="45"/>
      <c r="B1696" s="42"/>
      <c r="C1696" s="45"/>
      <c r="E1696" s="45"/>
      <c r="G1696" s="43"/>
      <c r="H1696" s="44"/>
      <c r="L1696" s="42"/>
      <c r="M1696" s="42"/>
      <c r="N1696" s="25"/>
      <c r="O1696" s="54"/>
      <c r="P1696"/>
      <c r="Q1696" s="25"/>
      <c r="R1696" s="54"/>
      <c r="W1696" s="23"/>
      <c r="X1696" s="23"/>
      <c r="Y1696" s="23"/>
      <c r="Z1696" s="43"/>
      <c r="AA1696" s="23"/>
      <c r="AB1696" s="23"/>
      <c r="AC1696" s="23"/>
      <c r="AD1696" s="23"/>
      <c r="AE1696" s="23"/>
      <c r="AF1696" s="23"/>
      <c r="AG1696" s="23"/>
      <c r="AH1696" s="23"/>
      <c r="AI1696" s="48"/>
    </row>
    <row r="1697" spans="1:35">
      <c r="A1697" s="45"/>
      <c r="B1697" s="42"/>
      <c r="C1697" s="45"/>
      <c r="E1697" s="45"/>
      <c r="G1697" s="43"/>
      <c r="H1697" s="44"/>
      <c r="L1697" s="42"/>
      <c r="M1697" s="42"/>
      <c r="N1697" s="25"/>
      <c r="O1697" s="54"/>
      <c r="P1697"/>
      <c r="Q1697" s="25"/>
      <c r="R1697" s="54"/>
      <c r="W1697" s="23"/>
      <c r="X1697" s="23"/>
      <c r="Y1697" s="23"/>
      <c r="Z1697" s="43"/>
      <c r="AA1697" s="23"/>
      <c r="AB1697" s="23"/>
      <c r="AC1697" s="23"/>
      <c r="AD1697" s="23"/>
      <c r="AE1697" s="23"/>
      <c r="AF1697" s="23"/>
      <c r="AG1697" s="23"/>
      <c r="AH1697" s="23"/>
      <c r="AI1697" s="48"/>
    </row>
    <row r="1698" spans="1:35">
      <c r="A1698" s="45"/>
      <c r="B1698" s="42"/>
      <c r="C1698" s="45"/>
      <c r="E1698" s="45"/>
      <c r="G1698" s="43"/>
      <c r="H1698" s="44"/>
      <c r="L1698" s="42"/>
      <c r="M1698" s="42"/>
      <c r="N1698" s="25"/>
      <c r="O1698" s="54"/>
      <c r="P1698"/>
      <c r="Q1698" s="25"/>
      <c r="R1698" s="54"/>
      <c r="W1698" s="23"/>
      <c r="X1698" s="23"/>
      <c r="Y1698" s="23"/>
      <c r="Z1698" s="43"/>
      <c r="AA1698" s="23"/>
      <c r="AB1698" s="23"/>
      <c r="AC1698" s="23"/>
      <c r="AD1698" s="23"/>
      <c r="AE1698" s="23"/>
      <c r="AF1698" s="23"/>
      <c r="AG1698" s="23"/>
      <c r="AH1698" s="23"/>
      <c r="AI1698" s="48"/>
    </row>
    <row r="1699" spans="1:35">
      <c r="A1699" s="45"/>
      <c r="B1699" s="42"/>
      <c r="C1699" s="45"/>
      <c r="E1699" s="45"/>
      <c r="G1699" s="43"/>
      <c r="H1699" s="44"/>
      <c r="L1699" s="42"/>
      <c r="M1699" s="42"/>
      <c r="N1699" s="25"/>
      <c r="O1699" s="54"/>
      <c r="P1699"/>
      <c r="Q1699" s="25"/>
      <c r="R1699" s="54"/>
      <c r="W1699" s="23"/>
      <c r="X1699" s="23"/>
      <c r="Y1699" s="23"/>
      <c r="Z1699" s="43"/>
      <c r="AA1699" s="23"/>
      <c r="AB1699" s="23"/>
      <c r="AC1699" s="23"/>
      <c r="AD1699" s="23"/>
      <c r="AE1699" s="23"/>
      <c r="AF1699" s="23"/>
      <c r="AG1699" s="23"/>
      <c r="AH1699" s="23"/>
      <c r="AI1699" s="48"/>
    </row>
    <row r="1700" spans="1:35">
      <c r="A1700" s="45"/>
      <c r="B1700" s="42"/>
      <c r="C1700" s="45"/>
      <c r="E1700" s="45"/>
      <c r="G1700" s="43"/>
      <c r="H1700" s="44"/>
      <c r="L1700" s="42"/>
      <c r="M1700" s="42"/>
      <c r="N1700" s="25"/>
      <c r="O1700" s="54"/>
      <c r="P1700"/>
      <c r="Q1700" s="25"/>
      <c r="R1700" s="54"/>
      <c r="W1700" s="23"/>
      <c r="X1700" s="23"/>
      <c r="Y1700" s="23"/>
      <c r="Z1700" s="43"/>
      <c r="AA1700" s="23"/>
      <c r="AB1700" s="23"/>
      <c r="AC1700" s="23"/>
      <c r="AD1700" s="23"/>
      <c r="AE1700" s="23"/>
      <c r="AF1700" s="23"/>
      <c r="AG1700" s="23"/>
      <c r="AH1700" s="23"/>
      <c r="AI1700" s="48"/>
    </row>
    <row r="1701" spans="1:35">
      <c r="A1701" s="45"/>
      <c r="B1701" s="42"/>
      <c r="C1701" s="45"/>
      <c r="E1701" s="45"/>
      <c r="G1701" s="43"/>
      <c r="H1701" s="44"/>
      <c r="L1701" s="42"/>
      <c r="M1701" s="42"/>
      <c r="N1701" s="25"/>
      <c r="O1701" s="54"/>
      <c r="P1701"/>
      <c r="Q1701" s="25"/>
      <c r="R1701" s="54"/>
      <c r="W1701" s="23"/>
      <c r="X1701" s="23"/>
      <c r="Y1701" s="23"/>
      <c r="Z1701" s="43"/>
      <c r="AA1701" s="23"/>
      <c r="AB1701" s="23"/>
      <c r="AC1701" s="23"/>
      <c r="AD1701" s="23"/>
      <c r="AE1701" s="23"/>
      <c r="AF1701" s="23"/>
      <c r="AG1701" s="23"/>
      <c r="AH1701" s="23"/>
      <c r="AI1701" s="48"/>
    </row>
    <row r="1702" spans="1:35">
      <c r="A1702" s="45"/>
      <c r="B1702" s="42"/>
      <c r="C1702" s="45"/>
      <c r="E1702" s="45"/>
      <c r="G1702" s="43"/>
      <c r="H1702" s="44"/>
      <c r="L1702" s="42"/>
      <c r="M1702" s="42"/>
      <c r="N1702" s="25"/>
      <c r="O1702" s="54"/>
      <c r="P1702"/>
      <c r="Q1702" s="25"/>
      <c r="R1702" s="54"/>
      <c r="W1702" s="23"/>
      <c r="X1702" s="23"/>
      <c r="Y1702" s="23"/>
      <c r="Z1702" s="43"/>
      <c r="AA1702" s="23"/>
      <c r="AB1702" s="23"/>
      <c r="AC1702" s="23"/>
      <c r="AD1702" s="23"/>
      <c r="AE1702" s="23"/>
      <c r="AF1702" s="23"/>
      <c r="AG1702" s="23"/>
      <c r="AH1702" s="23"/>
      <c r="AI1702" s="48"/>
    </row>
    <row r="1703" spans="1:35">
      <c r="A1703" s="45"/>
      <c r="B1703" s="42"/>
      <c r="C1703" s="45"/>
      <c r="E1703" s="45"/>
      <c r="G1703" s="43"/>
      <c r="H1703" s="44"/>
      <c r="L1703" s="42"/>
      <c r="M1703" s="42"/>
      <c r="N1703" s="25"/>
      <c r="O1703" s="54"/>
      <c r="P1703"/>
      <c r="Q1703" s="25"/>
      <c r="R1703" s="54"/>
      <c r="W1703" s="23"/>
      <c r="X1703" s="23"/>
      <c r="Y1703" s="23"/>
      <c r="Z1703" s="43"/>
      <c r="AA1703" s="23"/>
      <c r="AB1703" s="23"/>
      <c r="AC1703" s="23"/>
      <c r="AD1703" s="23"/>
      <c r="AE1703" s="23"/>
      <c r="AF1703" s="23"/>
      <c r="AG1703" s="23"/>
      <c r="AH1703" s="23"/>
      <c r="AI1703" s="48"/>
    </row>
    <row r="1704" spans="1:35">
      <c r="A1704" s="45"/>
      <c r="B1704" s="42"/>
      <c r="C1704" s="45"/>
      <c r="E1704" s="45"/>
      <c r="G1704" s="43"/>
      <c r="H1704" s="44"/>
      <c r="L1704" s="42"/>
      <c r="M1704" s="42"/>
      <c r="N1704" s="25"/>
      <c r="O1704" s="54"/>
      <c r="P1704"/>
      <c r="Q1704" s="25"/>
      <c r="R1704" s="54"/>
      <c r="W1704" s="23"/>
      <c r="X1704" s="23"/>
      <c r="Y1704" s="23"/>
      <c r="Z1704" s="43"/>
      <c r="AA1704" s="23"/>
      <c r="AB1704" s="23"/>
      <c r="AC1704" s="23"/>
      <c r="AD1704" s="23"/>
      <c r="AE1704" s="23"/>
      <c r="AF1704" s="23"/>
      <c r="AG1704" s="23"/>
      <c r="AH1704" s="23"/>
      <c r="AI1704" s="48"/>
    </row>
    <row r="1705" spans="1:35">
      <c r="A1705" s="45"/>
      <c r="B1705" s="42"/>
      <c r="C1705" s="45"/>
      <c r="E1705" s="45"/>
      <c r="G1705" s="43"/>
      <c r="H1705" s="44"/>
      <c r="L1705" s="42"/>
      <c r="M1705" s="42"/>
      <c r="N1705" s="25"/>
      <c r="O1705" s="54"/>
      <c r="P1705"/>
      <c r="Q1705" s="25"/>
      <c r="R1705" s="54"/>
      <c r="W1705" s="23"/>
      <c r="X1705" s="23"/>
      <c r="Y1705" s="23"/>
      <c r="Z1705" s="43"/>
      <c r="AA1705" s="23"/>
      <c r="AB1705" s="23"/>
      <c r="AC1705" s="23"/>
      <c r="AD1705" s="23"/>
      <c r="AE1705" s="23"/>
      <c r="AF1705" s="23"/>
      <c r="AG1705" s="23"/>
      <c r="AH1705" s="23"/>
      <c r="AI1705" s="48"/>
    </row>
    <row r="1706" spans="1:35">
      <c r="A1706" s="45"/>
      <c r="B1706" s="42"/>
      <c r="C1706" s="45"/>
      <c r="E1706" s="45"/>
      <c r="G1706" s="43"/>
      <c r="H1706" s="44"/>
      <c r="L1706" s="42"/>
      <c r="M1706" s="42"/>
      <c r="N1706" s="25"/>
      <c r="O1706" s="54"/>
      <c r="P1706"/>
      <c r="Q1706" s="25"/>
      <c r="R1706" s="54"/>
      <c r="W1706" s="23"/>
      <c r="X1706" s="23"/>
      <c r="Y1706" s="23"/>
      <c r="Z1706" s="43"/>
      <c r="AA1706" s="23"/>
      <c r="AB1706" s="23"/>
      <c r="AC1706" s="23"/>
      <c r="AD1706" s="23"/>
      <c r="AE1706" s="23"/>
      <c r="AF1706" s="23"/>
      <c r="AG1706" s="23"/>
      <c r="AH1706" s="23"/>
      <c r="AI1706" s="48"/>
    </row>
    <row r="1707" spans="1:35">
      <c r="A1707" s="45"/>
      <c r="B1707" s="42"/>
      <c r="C1707" s="45"/>
      <c r="E1707" s="45"/>
      <c r="G1707" s="43"/>
      <c r="H1707" s="44"/>
      <c r="L1707" s="42"/>
      <c r="M1707" s="42"/>
      <c r="N1707" s="25"/>
      <c r="O1707" s="54"/>
      <c r="P1707"/>
      <c r="Q1707" s="25"/>
      <c r="R1707" s="54"/>
      <c r="W1707" s="23"/>
      <c r="X1707" s="23"/>
      <c r="Y1707" s="23"/>
      <c r="Z1707" s="43"/>
      <c r="AA1707" s="23"/>
      <c r="AB1707" s="23"/>
      <c r="AC1707" s="23"/>
      <c r="AD1707" s="23"/>
      <c r="AE1707" s="23"/>
      <c r="AF1707" s="23"/>
      <c r="AG1707" s="23"/>
      <c r="AH1707" s="23"/>
      <c r="AI1707" s="48"/>
    </row>
    <row r="1708" spans="1:35">
      <c r="A1708" s="45"/>
      <c r="B1708" s="42"/>
      <c r="C1708" s="45"/>
      <c r="E1708" s="45"/>
      <c r="G1708" s="43"/>
      <c r="H1708" s="44"/>
      <c r="L1708" s="42"/>
      <c r="M1708" s="42"/>
      <c r="N1708" s="25"/>
      <c r="O1708" s="54"/>
      <c r="P1708"/>
      <c r="Q1708" s="25"/>
      <c r="R1708" s="54"/>
      <c r="W1708" s="23"/>
      <c r="X1708" s="23"/>
      <c r="Y1708" s="23"/>
      <c r="Z1708" s="43"/>
      <c r="AA1708" s="23"/>
      <c r="AB1708" s="23"/>
      <c r="AC1708" s="23"/>
      <c r="AD1708" s="23"/>
      <c r="AE1708" s="23"/>
      <c r="AF1708" s="23"/>
      <c r="AG1708" s="23"/>
      <c r="AH1708" s="23"/>
      <c r="AI1708" s="48"/>
    </row>
    <row r="1709" spans="1:35">
      <c r="A1709" s="45"/>
      <c r="B1709" s="42"/>
      <c r="C1709" s="45"/>
      <c r="E1709" s="45"/>
      <c r="G1709" s="43"/>
      <c r="H1709" s="44"/>
      <c r="L1709" s="42"/>
      <c r="M1709" s="42"/>
      <c r="N1709" s="25"/>
      <c r="O1709" s="54"/>
      <c r="P1709"/>
      <c r="Q1709" s="25"/>
      <c r="R1709" s="54"/>
      <c r="W1709" s="23"/>
      <c r="X1709" s="23"/>
      <c r="Y1709" s="23"/>
      <c r="Z1709" s="43"/>
      <c r="AA1709" s="23"/>
      <c r="AB1709" s="23"/>
      <c r="AC1709" s="23"/>
      <c r="AD1709" s="23"/>
      <c r="AE1709" s="23"/>
      <c r="AF1709" s="23"/>
      <c r="AG1709" s="23"/>
      <c r="AH1709" s="23"/>
      <c r="AI1709" s="48"/>
    </row>
    <row r="1710" spans="1:35">
      <c r="A1710" s="45"/>
      <c r="B1710" s="42"/>
      <c r="C1710" s="45"/>
      <c r="E1710" s="45"/>
      <c r="G1710" s="43"/>
      <c r="H1710" s="44"/>
      <c r="L1710" s="42"/>
      <c r="M1710" s="42"/>
      <c r="N1710" s="25"/>
      <c r="O1710" s="54"/>
      <c r="P1710"/>
      <c r="Q1710" s="25"/>
      <c r="R1710" s="54"/>
      <c r="W1710" s="23"/>
      <c r="X1710" s="23"/>
      <c r="Y1710" s="23"/>
      <c r="Z1710" s="43"/>
      <c r="AA1710" s="23"/>
      <c r="AB1710" s="23"/>
      <c r="AC1710" s="23"/>
      <c r="AD1710" s="23"/>
      <c r="AE1710" s="23"/>
      <c r="AF1710" s="23"/>
      <c r="AG1710" s="23"/>
      <c r="AH1710" s="23"/>
      <c r="AI1710" s="48"/>
    </row>
    <row r="1711" spans="1:35">
      <c r="A1711" s="45"/>
      <c r="B1711" s="42"/>
      <c r="C1711" s="45"/>
      <c r="E1711" s="45"/>
      <c r="G1711" s="43"/>
      <c r="H1711" s="44"/>
      <c r="L1711" s="42"/>
      <c r="M1711" s="42"/>
      <c r="N1711" s="25"/>
      <c r="O1711" s="54"/>
      <c r="P1711"/>
      <c r="Q1711" s="25"/>
      <c r="R1711" s="54"/>
      <c r="W1711" s="23"/>
      <c r="X1711" s="23"/>
      <c r="Y1711" s="23"/>
      <c r="Z1711" s="43"/>
      <c r="AA1711" s="23"/>
      <c r="AB1711" s="23"/>
      <c r="AC1711" s="23"/>
      <c r="AD1711" s="23"/>
      <c r="AE1711" s="23"/>
      <c r="AF1711" s="23"/>
      <c r="AG1711" s="23"/>
      <c r="AH1711" s="23"/>
      <c r="AI1711" s="48"/>
    </row>
    <row r="1712" spans="1:35">
      <c r="A1712" s="45"/>
      <c r="B1712" s="42"/>
      <c r="C1712" s="45"/>
      <c r="E1712" s="45"/>
      <c r="G1712" s="43"/>
      <c r="H1712" s="44"/>
      <c r="L1712" s="42"/>
      <c r="M1712" s="42"/>
      <c r="N1712" s="25"/>
      <c r="O1712" s="54"/>
      <c r="P1712"/>
      <c r="Q1712" s="25"/>
      <c r="R1712" s="54"/>
      <c r="W1712" s="23"/>
      <c r="X1712" s="23"/>
      <c r="Y1712" s="23"/>
      <c r="Z1712" s="43"/>
      <c r="AA1712" s="23"/>
      <c r="AB1712" s="23"/>
      <c r="AC1712" s="23"/>
      <c r="AD1712" s="23"/>
      <c r="AE1712" s="23"/>
      <c r="AF1712" s="23"/>
      <c r="AG1712" s="23"/>
      <c r="AH1712" s="23"/>
      <c r="AI1712" s="48"/>
    </row>
    <row r="1713" spans="1:35">
      <c r="A1713" s="45"/>
      <c r="B1713" s="42"/>
      <c r="C1713" s="45"/>
      <c r="E1713" s="45"/>
      <c r="G1713" s="43"/>
      <c r="H1713" s="44"/>
      <c r="L1713" s="42"/>
      <c r="M1713" s="42"/>
      <c r="N1713" s="25"/>
      <c r="O1713" s="54"/>
      <c r="P1713"/>
      <c r="Q1713" s="25"/>
      <c r="R1713" s="54"/>
      <c r="W1713" s="23"/>
      <c r="X1713" s="23"/>
      <c r="Y1713" s="23"/>
      <c r="Z1713" s="43"/>
      <c r="AA1713" s="23"/>
      <c r="AB1713" s="23"/>
      <c r="AC1713" s="23"/>
      <c r="AD1713" s="23"/>
      <c r="AE1713" s="23"/>
      <c r="AF1713" s="23"/>
      <c r="AG1713" s="23"/>
      <c r="AH1713" s="23"/>
      <c r="AI1713" s="48"/>
    </row>
    <row r="1714" spans="1:35">
      <c r="A1714" s="45"/>
      <c r="B1714" s="42"/>
      <c r="C1714" s="45"/>
      <c r="E1714" s="45"/>
      <c r="G1714" s="43"/>
      <c r="H1714" s="44"/>
      <c r="L1714" s="42"/>
      <c r="M1714" s="42"/>
      <c r="N1714" s="25"/>
      <c r="O1714" s="54"/>
      <c r="P1714"/>
      <c r="Q1714" s="25"/>
      <c r="R1714" s="54"/>
      <c r="W1714" s="23"/>
      <c r="X1714" s="23"/>
      <c r="Y1714" s="23"/>
      <c r="Z1714" s="43"/>
      <c r="AA1714" s="23"/>
      <c r="AB1714" s="23"/>
      <c r="AC1714" s="23"/>
      <c r="AD1714" s="23"/>
      <c r="AE1714" s="23"/>
      <c r="AF1714" s="23"/>
      <c r="AG1714" s="23"/>
      <c r="AH1714" s="23"/>
      <c r="AI1714" s="48"/>
    </row>
    <row r="1715" spans="1:35">
      <c r="A1715" s="45"/>
      <c r="B1715" s="42"/>
      <c r="C1715" s="45"/>
      <c r="E1715" s="45"/>
      <c r="G1715" s="43"/>
      <c r="H1715" s="44"/>
      <c r="L1715" s="42"/>
      <c r="M1715" s="42"/>
      <c r="N1715" s="25"/>
      <c r="O1715" s="54"/>
      <c r="P1715"/>
      <c r="Q1715" s="25"/>
      <c r="R1715" s="54"/>
      <c r="W1715" s="23"/>
      <c r="X1715" s="23"/>
      <c r="Y1715" s="23"/>
      <c r="Z1715" s="43"/>
      <c r="AA1715" s="23"/>
      <c r="AB1715" s="23"/>
      <c r="AC1715" s="23"/>
      <c r="AD1715" s="23"/>
      <c r="AE1715" s="23"/>
      <c r="AF1715" s="23"/>
      <c r="AG1715" s="23"/>
      <c r="AH1715" s="23"/>
      <c r="AI1715" s="48"/>
    </row>
    <row r="1716" spans="1:35">
      <c r="A1716" s="45"/>
      <c r="B1716" s="42"/>
      <c r="C1716" s="45"/>
      <c r="E1716" s="45"/>
      <c r="G1716" s="43"/>
      <c r="H1716" s="44"/>
      <c r="L1716" s="42"/>
      <c r="M1716" s="42"/>
      <c r="N1716" s="25"/>
      <c r="O1716" s="54"/>
      <c r="P1716"/>
      <c r="Q1716" s="25"/>
      <c r="R1716" s="54"/>
      <c r="W1716" s="23"/>
      <c r="X1716" s="23"/>
      <c r="Y1716" s="23"/>
      <c r="Z1716" s="43"/>
      <c r="AA1716" s="23"/>
      <c r="AB1716" s="23"/>
      <c r="AC1716" s="23"/>
      <c r="AD1716" s="23"/>
      <c r="AE1716" s="23"/>
      <c r="AF1716" s="23"/>
      <c r="AG1716" s="23"/>
      <c r="AH1716" s="23"/>
      <c r="AI1716" s="48"/>
    </row>
    <row r="1717" spans="1:35">
      <c r="A1717" s="45"/>
      <c r="B1717" s="42"/>
      <c r="C1717" s="45"/>
      <c r="E1717" s="45"/>
      <c r="G1717" s="43"/>
      <c r="H1717" s="44"/>
      <c r="L1717" s="42"/>
      <c r="M1717" s="42"/>
      <c r="N1717" s="25"/>
      <c r="O1717" s="54"/>
      <c r="P1717"/>
      <c r="Q1717" s="25"/>
      <c r="R1717" s="54"/>
      <c r="W1717" s="23"/>
      <c r="X1717" s="23"/>
      <c r="Y1717" s="23"/>
      <c r="Z1717" s="43"/>
      <c r="AA1717" s="23"/>
      <c r="AB1717" s="23"/>
      <c r="AC1717" s="23"/>
      <c r="AD1717" s="23"/>
      <c r="AE1717" s="23"/>
      <c r="AF1717" s="23"/>
      <c r="AG1717" s="23"/>
      <c r="AH1717" s="23"/>
      <c r="AI1717" s="48"/>
    </row>
    <row r="1718" spans="1:35">
      <c r="A1718" s="45"/>
      <c r="B1718" s="42"/>
      <c r="C1718" s="45"/>
      <c r="E1718" s="45"/>
      <c r="G1718" s="43"/>
      <c r="H1718" s="44"/>
      <c r="L1718" s="42"/>
      <c r="M1718" s="42"/>
      <c r="N1718" s="25"/>
      <c r="O1718" s="54"/>
      <c r="P1718"/>
      <c r="Q1718" s="25"/>
      <c r="R1718" s="54"/>
      <c r="W1718" s="23"/>
      <c r="X1718" s="23"/>
      <c r="Y1718" s="23"/>
      <c r="Z1718" s="43"/>
      <c r="AA1718" s="23"/>
      <c r="AB1718" s="23"/>
      <c r="AC1718" s="23"/>
      <c r="AD1718" s="23"/>
      <c r="AE1718" s="23"/>
      <c r="AF1718" s="23"/>
      <c r="AG1718" s="23"/>
      <c r="AH1718" s="23"/>
      <c r="AI1718" s="48"/>
    </row>
    <row r="1719" spans="1:35">
      <c r="A1719" s="45"/>
      <c r="B1719" s="42"/>
      <c r="C1719" s="45"/>
      <c r="E1719" s="45"/>
      <c r="G1719" s="43"/>
      <c r="H1719" s="44"/>
      <c r="L1719" s="42"/>
      <c r="M1719" s="42"/>
      <c r="N1719" s="25"/>
      <c r="O1719" s="54"/>
      <c r="P1719"/>
      <c r="Q1719" s="25"/>
      <c r="R1719" s="54"/>
      <c r="W1719" s="23"/>
      <c r="X1719" s="23"/>
      <c r="Y1719" s="23"/>
      <c r="Z1719" s="43"/>
      <c r="AA1719" s="23"/>
      <c r="AB1719" s="23"/>
      <c r="AC1719" s="23"/>
      <c r="AD1719" s="23"/>
      <c r="AE1719" s="23"/>
      <c r="AF1719" s="23"/>
      <c r="AG1719" s="23"/>
      <c r="AH1719" s="23"/>
      <c r="AI1719" s="48"/>
    </row>
    <row r="1720" spans="1:35">
      <c r="A1720" s="45"/>
      <c r="B1720" s="42"/>
      <c r="C1720" s="45"/>
      <c r="E1720" s="45"/>
      <c r="G1720" s="43"/>
      <c r="H1720" s="44"/>
      <c r="L1720" s="42"/>
      <c r="M1720" s="42"/>
      <c r="N1720" s="25"/>
      <c r="O1720" s="54"/>
      <c r="P1720"/>
      <c r="Q1720" s="25"/>
      <c r="R1720" s="54"/>
      <c r="W1720" s="23"/>
      <c r="X1720" s="23"/>
      <c r="Y1720" s="23"/>
      <c r="Z1720" s="43"/>
      <c r="AA1720" s="23"/>
      <c r="AB1720" s="23"/>
      <c r="AC1720" s="23"/>
      <c r="AD1720" s="23"/>
      <c r="AE1720" s="23"/>
      <c r="AF1720" s="23"/>
      <c r="AG1720" s="23"/>
      <c r="AH1720" s="23"/>
      <c r="AI1720" s="48"/>
    </row>
    <row r="1721" spans="1:35">
      <c r="A1721" s="45"/>
      <c r="B1721" s="42"/>
      <c r="C1721" s="45"/>
      <c r="E1721" s="45"/>
      <c r="G1721" s="43"/>
      <c r="H1721" s="44"/>
      <c r="L1721" s="42"/>
      <c r="M1721" s="42"/>
      <c r="N1721" s="25"/>
      <c r="O1721" s="54"/>
      <c r="P1721"/>
      <c r="Q1721" s="25"/>
      <c r="R1721" s="54"/>
      <c r="W1721" s="23"/>
      <c r="X1721" s="23"/>
      <c r="Y1721" s="23"/>
      <c r="Z1721" s="43"/>
      <c r="AA1721" s="23"/>
      <c r="AB1721" s="23"/>
      <c r="AC1721" s="23"/>
      <c r="AD1721" s="23"/>
      <c r="AE1721" s="23"/>
      <c r="AF1721" s="23"/>
      <c r="AG1721" s="23"/>
      <c r="AH1721" s="23"/>
      <c r="AI1721" s="48"/>
    </row>
    <row r="1722" spans="1:35">
      <c r="A1722" s="45"/>
      <c r="B1722" s="42"/>
      <c r="C1722" s="45"/>
      <c r="E1722" s="45"/>
      <c r="G1722" s="43"/>
      <c r="H1722" s="44"/>
      <c r="L1722" s="42"/>
      <c r="M1722" s="42"/>
      <c r="N1722" s="25"/>
      <c r="O1722" s="54"/>
      <c r="P1722"/>
      <c r="Q1722" s="25"/>
      <c r="R1722" s="54"/>
      <c r="W1722" s="23"/>
      <c r="X1722" s="23"/>
      <c r="Y1722" s="23"/>
      <c r="Z1722" s="43"/>
      <c r="AA1722" s="23"/>
      <c r="AB1722" s="23"/>
      <c r="AC1722" s="23"/>
      <c r="AD1722" s="23"/>
      <c r="AE1722" s="23"/>
      <c r="AF1722" s="23"/>
      <c r="AG1722" s="23"/>
      <c r="AH1722" s="23"/>
      <c r="AI1722" s="48"/>
    </row>
    <row r="1723" spans="1:35">
      <c r="A1723" s="45"/>
      <c r="B1723" s="42"/>
      <c r="C1723" s="45"/>
      <c r="E1723" s="45"/>
      <c r="G1723" s="43"/>
      <c r="H1723" s="44"/>
      <c r="L1723" s="42"/>
      <c r="M1723" s="42"/>
      <c r="N1723" s="25"/>
      <c r="O1723" s="54"/>
      <c r="P1723"/>
      <c r="Q1723" s="25"/>
      <c r="R1723" s="54"/>
      <c r="W1723" s="23"/>
      <c r="X1723" s="23"/>
      <c r="Y1723" s="23"/>
      <c r="Z1723" s="43"/>
      <c r="AA1723" s="23"/>
      <c r="AB1723" s="23"/>
      <c r="AC1723" s="23"/>
      <c r="AD1723" s="23"/>
      <c r="AE1723" s="23"/>
      <c r="AF1723" s="23"/>
      <c r="AG1723" s="23"/>
      <c r="AH1723" s="23"/>
      <c r="AI1723" s="48"/>
    </row>
    <row r="1724" spans="1:35">
      <c r="A1724" s="45"/>
      <c r="B1724" s="42"/>
      <c r="C1724" s="45"/>
      <c r="E1724" s="45"/>
      <c r="G1724" s="43"/>
      <c r="H1724" s="44"/>
      <c r="L1724" s="42"/>
      <c r="M1724" s="42"/>
      <c r="N1724" s="25"/>
      <c r="O1724" s="54"/>
      <c r="P1724"/>
      <c r="Q1724" s="25"/>
      <c r="R1724" s="54"/>
      <c r="W1724" s="23"/>
      <c r="X1724" s="23"/>
      <c r="Y1724" s="23"/>
      <c r="Z1724" s="43"/>
      <c r="AA1724" s="23"/>
      <c r="AB1724" s="23"/>
      <c r="AC1724" s="23"/>
      <c r="AD1724" s="23"/>
      <c r="AE1724" s="23"/>
      <c r="AF1724" s="23"/>
      <c r="AG1724" s="23"/>
      <c r="AH1724" s="23"/>
      <c r="AI1724" s="48"/>
    </row>
    <row r="1725" spans="1:35">
      <c r="A1725" s="45"/>
      <c r="B1725" s="42"/>
      <c r="C1725" s="45"/>
      <c r="E1725" s="45"/>
      <c r="G1725" s="43"/>
      <c r="H1725" s="44"/>
      <c r="L1725" s="42"/>
      <c r="M1725" s="42"/>
      <c r="N1725" s="25"/>
      <c r="O1725" s="54"/>
      <c r="P1725"/>
      <c r="Q1725" s="25"/>
      <c r="R1725" s="54"/>
      <c r="W1725" s="23"/>
      <c r="X1725" s="23"/>
      <c r="Y1725" s="23"/>
      <c r="Z1725" s="43"/>
      <c r="AA1725" s="23"/>
      <c r="AB1725" s="23"/>
      <c r="AC1725" s="23"/>
      <c r="AD1725" s="23"/>
      <c r="AE1725" s="23"/>
      <c r="AF1725" s="23"/>
      <c r="AG1725" s="23"/>
      <c r="AH1725" s="23"/>
      <c r="AI1725" s="48"/>
    </row>
    <row r="1726" spans="1:35">
      <c r="A1726" s="45"/>
      <c r="B1726" s="42"/>
      <c r="C1726" s="45"/>
      <c r="E1726" s="45"/>
      <c r="G1726" s="43"/>
      <c r="H1726" s="44"/>
      <c r="L1726" s="42"/>
      <c r="M1726" s="42"/>
      <c r="N1726" s="25"/>
      <c r="O1726" s="54"/>
      <c r="P1726"/>
      <c r="Q1726" s="25"/>
      <c r="R1726" s="54"/>
      <c r="W1726" s="23"/>
      <c r="X1726" s="23"/>
      <c r="Y1726" s="23"/>
      <c r="Z1726" s="43"/>
      <c r="AA1726" s="23"/>
      <c r="AB1726" s="23"/>
      <c r="AC1726" s="23"/>
      <c r="AD1726" s="23"/>
      <c r="AE1726" s="23"/>
      <c r="AF1726" s="23"/>
      <c r="AG1726" s="23"/>
      <c r="AH1726" s="23"/>
      <c r="AI1726" s="48"/>
    </row>
    <row r="1727" spans="1:35">
      <c r="A1727" s="45"/>
      <c r="B1727" s="42"/>
      <c r="C1727" s="45"/>
      <c r="E1727" s="45"/>
      <c r="G1727" s="43"/>
      <c r="H1727" s="44"/>
      <c r="L1727" s="42"/>
      <c r="M1727" s="42"/>
      <c r="N1727" s="25"/>
      <c r="O1727" s="54"/>
      <c r="P1727"/>
      <c r="Q1727" s="25"/>
      <c r="R1727" s="54"/>
      <c r="W1727" s="23"/>
      <c r="X1727" s="23"/>
      <c r="Y1727" s="23"/>
      <c r="Z1727" s="43"/>
      <c r="AA1727" s="23"/>
      <c r="AB1727" s="23"/>
      <c r="AC1727" s="23"/>
      <c r="AD1727" s="23"/>
      <c r="AE1727" s="23"/>
      <c r="AF1727" s="23"/>
      <c r="AG1727" s="23"/>
      <c r="AH1727" s="23"/>
      <c r="AI1727" s="48"/>
    </row>
    <row r="1728" spans="1:35">
      <c r="A1728" s="45"/>
      <c r="B1728" s="42"/>
      <c r="C1728" s="45"/>
      <c r="E1728" s="45"/>
      <c r="G1728" s="43"/>
      <c r="H1728" s="44"/>
      <c r="L1728" s="42"/>
      <c r="M1728" s="42"/>
      <c r="N1728" s="25"/>
      <c r="O1728" s="54"/>
      <c r="P1728"/>
      <c r="Q1728" s="25"/>
      <c r="R1728" s="54"/>
      <c r="W1728" s="23"/>
      <c r="X1728" s="23"/>
      <c r="Y1728" s="23"/>
      <c r="Z1728" s="43"/>
      <c r="AA1728" s="23"/>
      <c r="AB1728" s="23"/>
      <c r="AC1728" s="23"/>
      <c r="AD1728" s="23"/>
      <c r="AE1728" s="23"/>
      <c r="AF1728" s="23"/>
      <c r="AG1728" s="23"/>
      <c r="AH1728" s="23"/>
      <c r="AI1728" s="48"/>
    </row>
    <row r="1729" spans="1:35">
      <c r="A1729" s="45"/>
      <c r="B1729" s="42"/>
      <c r="C1729" s="45"/>
      <c r="E1729" s="45"/>
      <c r="G1729" s="43"/>
      <c r="H1729" s="44"/>
      <c r="L1729" s="42"/>
      <c r="M1729" s="42"/>
      <c r="N1729" s="25"/>
      <c r="O1729" s="54"/>
      <c r="P1729"/>
      <c r="Q1729" s="25"/>
      <c r="R1729" s="54"/>
      <c r="W1729" s="23"/>
      <c r="X1729" s="23"/>
      <c r="Y1729" s="23"/>
      <c r="Z1729" s="43"/>
      <c r="AA1729" s="23"/>
      <c r="AB1729" s="23"/>
      <c r="AC1729" s="23"/>
      <c r="AD1729" s="23"/>
      <c r="AE1729" s="23"/>
      <c r="AF1729" s="23"/>
      <c r="AG1729" s="23"/>
      <c r="AH1729" s="23"/>
      <c r="AI1729" s="48"/>
    </row>
    <row r="1730" spans="1:35">
      <c r="A1730" s="45"/>
      <c r="B1730" s="42"/>
      <c r="C1730" s="45"/>
      <c r="E1730" s="45"/>
      <c r="G1730" s="43"/>
      <c r="H1730" s="44"/>
      <c r="L1730" s="42"/>
      <c r="M1730" s="42"/>
      <c r="N1730" s="25"/>
      <c r="O1730" s="54"/>
      <c r="P1730"/>
      <c r="Q1730" s="25"/>
      <c r="R1730" s="54"/>
      <c r="W1730" s="23"/>
      <c r="X1730" s="23"/>
      <c r="Y1730" s="23"/>
      <c r="Z1730" s="43"/>
      <c r="AA1730" s="23"/>
      <c r="AB1730" s="23"/>
      <c r="AC1730" s="23"/>
      <c r="AD1730" s="23"/>
      <c r="AE1730" s="23"/>
      <c r="AF1730" s="23"/>
      <c r="AG1730" s="23"/>
      <c r="AH1730" s="23"/>
      <c r="AI1730" s="48"/>
    </row>
    <row r="1731" spans="1:35">
      <c r="A1731" s="45"/>
      <c r="B1731" s="42"/>
      <c r="C1731" s="45"/>
      <c r="E1731" s="45"/>
      <c r="G1731" s="43"/>
      <c r="H1731" s="44"/>
      <c r="L1731" s="42"/>
      <c r="M1731" s="42"/>
      <c r="N1731" s="25"/>
      <c r="O1731" s="54"/>
      <c r="P1731"/>
      <c r="Q1731" s="25"/>
      <c r="R1731" s="54"/>
      <c r="W1731" s="23"/>
      <c r="X1731" s="23"/>
      <c r="Y1731" s="23"/>
      <c r="Z1731" s="43"/>
      <c r="AA1731" s="23"/>
      <c r="AB1731" s="23"/>
      <c r="AC1731" s="23"/>
      <c r="AD1731" s="23"/>
      <c r="AE1731" s="23"/>
      <c r="AF1731" s="23"/>
      <c r="AG1731" s="23"/>
      <c r="AH1731" s="23"/>
      <c r="AI1731" s="48"/>
    </row>
    <row r="1732" spans="1:35">
      <c r="A1732" s="45"/>
      <c r="B1732" s="42"/>
      <c r="C1732" s="45"/>
      <c r="E1732" s="45"/>
      <c r="G1732" s="43"/>
      <c r="H1732" s="44"/>
      <c r="L1732" s="42"/>
      <c r="M1732" s="42"/>
      <c r="N1732" s="25"/>
      <c r="O1732" s="54"/>
      <c r="P1732"/>
      <c r="Q1732" s="25"/>
      <c r="R1732" s="54"/>
      <c r="W1732" s="23"/>
      <c r="X1732" s="23"/>
      <c r="Y1732" s="23"/>
      <c r="Z1732" s="43"/>
      <c r="AA1732" s="23"/>
      <c r="AB1732" s="23"/>
      <c r="AC1732" s="23"/>
      <c r="AD1732" s="23"/>
      <c r="AE1732" s="23"/>
      <c r="AF1732" s="23"/>
      <c r="AG1732" s="23"/>
      <c r="AH1732" s="23"/>
      <c r="AI1732" s="48"/>
    </row>
    <row r="1733" spans="1:35">
      <c r="A1733" s="45"/>
      <c r="B1733" s="42"/>
      <c r="C1733" s="45"/>
      <c r="E1733" s="45"/>
      <c r="G1733" s="43"/>
      <c r="H1733" s="44"/>
      <c r="L1733" s="42"/>
      <c r="M1733" s="42"/>
      <c r="N1733" s="25"/>
      <c r="O1733" s="54"/>
      <c r="P1733"/>
      <c r="Q1733" s="25"/>
      <c r="R1733" s="54"/>
      <c r="W1733" s="23"/>
      <c r="X1733" s="23"/>
      <c r="Y1733" s="23"/>
      <c r="Z1733" s="43"/>
      <c r="AA1733" s="23"/>
      <c r="AB1733" s="23"/>
      <c r="AC1733" s="23"/>
      <c r="AD1733" s="23"/>
      <c r="AE1733" s="23"/>
      <c r="AF1733" s="23"/>
      <c r="AG1733" s="23"/>
      <c r="AH1733" s="23"/>
      <c r="AI1733" s="48"/>
    </row>
    <row r="1734" spans="1:35">
      <c r="A1734" s="45"/>
      <c r="B1734" s="42"/>
      <c r="C1734" s="45"/>
      <c r="E1734" s="45"/>
      <c r="G1734" s="43"/>
      <c r="H1734" s="44"/>
      <c r="L1734" s="42"/>
      <c r="M1734" s="42"/>
      <c r="N1734" s="25"/>
      <c r="O1734" s="54"/>
      <c r="P1734"/>
      <c r="Q1734" s="25"/>
      <c r="R1734" s="54"/>
      <c r="W1734" s="23"/>
      <c r="X1734" s="23"/>
      <c r="Y1734" s="23"/>
      <c r="Z1734" s="43"/>
      <c r="AA1734" s="23"/>
      <c r="AB1734" s="23"/>
      <c r="AC1734" s="23"/>
      <c r="AD1734" s="23"/>
      <c r="AE1734" s="23"/>
      <c r="AF1734" s="23"/>
      <c r="AG1734" s="23"/>
      <c r="AH1734" s="23"/>
      <c r="AI1734" s="48"/>
    </row>
    <row r="1735" spans="1:35">
      <c r="A1735" s="45"/>
      <c r="B1735" s="42"/>
      <c r="C1735" s="45"/>
      <c r="E1735" s="45"/>
      <c r="G1735" s="43"/>
      <c r="H1735" s="44"/>
      <c r="L1735" s="42"/>
      <c r="M1735" s="42"/>
      <c r="N1735" s="25"/>
      <c r="O1735" s="54"/>
      <c r="P1735"/>
      <c r="Q1735" s="25"/>
      <c r="R1735" s="54"/>
      <c r="W1735" s="23"/>
      <c r="X1735" s="23"/>
      <c r="Y1735" s="23"/>
      <c r="Z1735" s="43"/>
      <c r="AA1735" s="23"/>
      <c r="AB1735" s="23"/>
      <c r="AC1735" s="23"/>
      <c r="AD1735" s="23"/>
      <c r="AE1735" s="23"/>
      <c r="AF1735" s="23"/>
      <c r="AG1735" s="23"/>
      <c r="AH1735" s="23"/>
      <c r="AI1735" s="48"/>
    </row>
    <row r="1736" spans="1:35">
      <c r="A1736" s="45"/>
      <c r="B1736" s="42"/>
      <c r="C1736" s="45"/>
      <c r="E1736" s="45"/>
      <c r="G1736" s="43"/>
      <c r="H1736" s="44"/>
      <c r="L1736" s="42"/>
      <c r="M1736" s="42"/>
      <c r="N1736" s="25"/>
      <c r="O1736" s="54"/>
      <c r="P1736"/>
      <c r="Q1736" s="25"/>
      <c r="R1736" s="54"/>
      <c r="W1736" s="23"/>
      <c r="X1736" s="23"/>
      <c r="Y1736" s="23"/>
      <c r="Z1736" s="43"/>
      <c r="AA1736" s="23"/>
      <c r="AB1736" s="23"/>
      <c r="AC1736" s="23"/>
      <c r="AD1736" s="23"/>
      <c r="AE1736" s="23"/>
      <c r="AF1736" s="23"/>
      <c r="AG1736" s="23"/>
      <c r="AH1736" s="23"/>
      <c r="AI1736" s="48"/>
    </row>
    <row r="1737" spans="1:35">
      <c r="A1737" s="45"/>
      <c r="B1737" s="42"/>
      <c r="C1737" s="45"/>
      <c r="E1737" s="45"/>
      <c r="G1737" s="43"/>
      <c r="H1737" s="44"/>
      <c r="L1737" s="42"/>
      <c r="M1737" s="42"/>
      <c r="N1737" s="25"/>
      <c r="O1737" s="54"/>
      <c r="P1737"/>
      <c r="Q1737" s="25"/>
      <c r="R1737" s="54"/>
      <c r="W1737" s="23"/>
      <c r="X1737" s="23"/>
      <c r="Y1737" s="23"/>
      <c r="Z1737" s="43"/>
      <c r="AA1737" s="23"/>
      <c r="AB1737" s="23"/>
      <c r="AC1737" s="23"/>
      <c r="AD1737" s="23"/>
      <c r="AE1737" s="23"/>
      <c r="AF1737" s="23"/>
      <c r="AG1737" s="23"/>
      <c r="AH1737" s="23"/>
      <c r="AI1737" s="48"/>
    </row>
    <row r="1738" spans="1:35">
      <c r="A1738" s="45"/>
      <c r="B1738" s="42"/>
      <c r="C1738" s="45"/>
      <c r="E1738" s="45"/>
      <c r="G1738" s="43"/>
      <c r="H1738" s="44"/>
      <c r="L1738" s="42"/>
      <c r="M1738" s="42"/>
      <c r="N1738" s="25"/>
      <c r="O1738" s="54"/>
      <c r="P1738"/>
      <c r="Q1738" s="25"/>
      <c r="R1738" s="54"/>
      <c r="W1738" s="23"/>
      <c r="X1738" s="23"/>
      <c r="Y1738" s="23"/>
      <c r="Z1738" s="43"/>
      <c r="AA1738" s="23"/>
      <c r="AB1738" s="23"/>
      <c r="AC1738" s="23"/>
      <c r="AD1738" s="23"/>
      <c r="AE1738" s="23"/>
      <c r="AF1738" s="23"/>
      <c r="AG1738" s="23"/>
      <c r="AH1738" s="23"/>
      <c r="AI1738" s="48"/>
    </row>
    <row r="1739" spans="1:35">
      <c r="A1739" s="45"/>
      <c r="B1739" s="42"/>
      <c r="C1739" s="45"/>
      <c r="E1739" s="45"/>
      <c r="G1739" s="43"/>
      <c r="H1739" s="44"/>
      <c r="L1739" s="42"/>
      <c r="M1739" s="42"/>
      <c r="N1739" s="25"/>
      <c r="O1739" s="54"/>
      <c r="P1739"/>
      <c r="Q1739" s="25"/>
      <c r="R1739" s="54"/>
      <c r="W1739" s="23"/>
      <c r="X1739" s="23"/>
      <c r="Y1739" s="23"/>
      <c r="Z1739" s="43"/>
      <c r="AA1739" s="23"/>
      <c r="AB1739" s="23"/>
      <c r="AC1739" s="23"/>
      <c r="AD1739" s="23"/>
      <c r="AE1739" s="23"/>
      <c r="AF1739" s="23"/>
      <c r="AG1739" s="23"/>
      <c r="AH1739" s="23"/>
      <c r="AI1739" s="48"/>
    </row>
    <row r="1740" spans="1:35">
      <c r="A1740" s="45"/>
      <c r="B1740" s="42"/>
      <c r="C1740" s="45"/>
      <c r="E1740" s="45"/>
      <c r="G1740" s="43"/>
      <c r="H1740" s="44"/>
      <c r="L1740" s="42"/>
      <c r="M1740" s="42"/>
      <c r="N1740" s="25"/>
      <c r="O1740" s="54"/>
      <c r="P1740"/>
      <c r="Q1740" s="25"/>
      <c r="R1740" s="54"/>
      <c r="W1740" s="23"/>
      <c r="X1740" s="23"/>
      <c r="Y1740" s="23"/>
      <c r="Z1740" s="43"/>
      <c r="AA1740" s="23"/>
      <c r="AB1740" s="23"/>
      <c r="AC1740" s="23"/>
      <c r="AD1740" s="23"/>
      <c r="AE1740" s="23"/>
      <c r="AF1740" s="23"/>
      <c r="AG1740" s="23"/>
      <c r="AH1740" s="23"/>
      <c r="AI1740" s="48"/>
    </row>
    <row r="1741" spans="1:35">
      <c r="A1741" s="45"/>
      <c r="B1741" s="42"/>
      <c r="C1741" s="45"/>
      <c r="E1741" s="45"/>
      <c r="G1741" s="43"/>
      <c r="H1741" s="44"/>
      <c r="L1741" s="42"/>
      <c r="M1741" s="42"/>
      <c r="N1741" s="25"/>
      <c r="O1741" s="54"/>
      <c r="P1741"/>
      <c r="Q1741" s="25"/>
      <c r="R1741" s="54"/>
      <c r="W1741" s="23"/>
      <c r="X1741" s="23"/>
      <c r="Y1741" s="23"/>
      <c r="Z1741" s="43"/>
      <c r="AA1741" s="23"/>
      <c r="AB1741" s="23"/>
      <c r="AC1741" s="23"/>
      <c r="AD1741" s="23"/>
      <c r="AE1741" s="23"/>
      <c r="AF1741" s="23"/>
      <c r="AG1741" s="23"/>
      <c r="AH1741" s="23"/>
      <c r="AI1741" s="48"/>
    </row>
    <row r="1742" spans="1:35">
      <c r="A1742" s="45"/>
      <c r="B1742" s="42"/>
      <c r="C1742" s="45"/>
      <c r="E1742" s="45"/>
      <c r="G1742" s="43"/>
      <c r="H1742" s="44"/>
      <c r="L1742" s="42"/>
      <c r="M1742" s="42"/>
      <c r="N1742" s="25"/>
      <c r="O1742" s="54"/>
      <c r="P1742"/>
      <c r="Q1742" s="25"/>
      <c r="R1742" s="54"/>
      <c r="W1742" s="23"/>
      <c r="X1742" s="23"/>
      <c r="Y1742" s="23"/>
      <c r="Z1742" s="43"/>
      <c r="AA1742" s="23"/>
      <c r="AB1742" s="23"/>
      <c r="AC1742" s="23"/>
      <c r="AD1742" s="23"/>
      <c r="AE1742" s="23"/>
      <c r="AF1742" s="23"/>
      <c r="AG1742" s="23"/>
      <c r="AH1742" s="23"/>
      <c r="AI1742" s="48"/>
    </row>
    <row r="1743" spans="1:35">
      <c r="A1743" s="45"/>
      <c r="B1743" s="42"/>
      <c r="C1743" s="45"/>
      <c r="E1743" s="45"/>
      <c r="G1743" s="43"/>
      <c r="H1743" s="44"/>
      <c r="L1743" s="42"/>
      <c r="M1743" s="42"/>
      <c r="N1743" s="25"/>
      <c r="O1743" s="54"/>
      <c r="P1743"/>
      <c r="Q1743" s="25"/>
      <c r="R1743" s="54"/>
      <c r="W1743" s="23"/>
      <c r="X1743" s="23"/>
      <c r="Y1743" s="23"/>
      <c r="Z1743" s="43"/>
      <c r="AA1743" s="23"/>
      <c r="AB1743" s="23"/>
      <c r="AC1743" s="23"/>
      <c r="AD1743" s="23"/>
      <c r="AE1743" s="23"/>
      <c r="AF1743" s="23"/>
      <c r="AG1743" s="23"/>
      <c r="AH1743" s="23"/>
      <c r="AI1743" s="48"/>
    </row>
    <row r="1744" spans="1:35">
      <c r="A1744" s="45"/>
      <c r="B1744" s="42"/>
      <c r="C1744" s="45"/>
      <c r="E1744" s="45"/>
      <c r="G1744" s="43"/>
      <c r="H1744" s="44"/>
      <c r="L1744" s="42"/>
      <c r="M1744" s="42"/>
      <c r="N1744" s="25"/>
      <c r="O1744" s="54"/>
      <c r="P1744"/>
      <c r="Q1744" s="25"/>
      <c r="R1744" s="54"/>
      <c r="W1744" s="23"/>
      <c r="X1744" s="23"/>
      <c r="Y1744" s="23"/>
      <c r="Z1744" s="43"/>
      <c r="AA1744" s="23"/>
      <c r="AB1744" s="23"/>
      <c r="AC1744" s="23"/>
      <c r="AD1744" s="23"/>
      <c r="AE1744" s="23"/>
      <c r="AF1744" s="23"/>
      <c r="AG1744" s="23"/>
      <c r="AH1744" s="23"/>
      <c r="AI1744" s="48"/>
    </row>
    <row r="1745" spans="1:35">
      <c r="A1745" s="45"/>
      <c r="B1745" s="42"/>
      <c r="C1745" s="45"/>
      <c r="E1745" s="45"/>
      <c r="G1745" s="43"/>
      <c r="H1745" s="44"/>
      <c r="L1745" s="42"/>
      <c r="M1745" s="42"/>
      <c r="N1745" s="25"/>
      <c r="O1745" s="54"/>
      <c r="P1745"/>
      <c r="Q1745" s="25"/>
      <c r="R1745" s="54"/>
      <c r="W1745" s="23"/>
      <c r="X1745" s="23"/>
      <c r="Y1745" s="23"/>
      <c r="Z1745" s="43"/>
      <c r="AA1745" s="23"/>
      <c r="AB1745" s="23"/>
      <c r="AC1745" s="23"/>
      <c r="AD1745" s="23"/>
      <c r="AE1745" s="23"/>
      <c r="AF1745" s="23"/>
      <c r="AG1745" s="23"/>
      <c r="AH1745" s="23"/>
      <c r="AI1745" s="48"/>
    </row>
    <row r="1746" spans="1:35">
      <c r="A1746" s="45"/>
      <c r="B1746" s="42"/>
      <c r="C1746" s="45"/>
      <c r="E1746" s="45"/>
      <c r="G1746" s="43"/>
      <c r="H1746" s="44"/>
      <c r="L1746" s="42"/>
      <c r="M1746" s="42"/>
      <c r="N1746" s="25"/>
      <c r="O1746" s="54"/>
      <c r="P1746"/>
      <c r="Q1746" s="25"/>
      <c r="R1746" s="54"/>
      <c r="W1746" s="23"/>
      <c r="X1746" s="23"/>
      <c r="Y1746" s="23"/>
      <c r="Z1746" s="43"/>
      <c r="AA1746" s="23"/>
      <c r="AB1746" s="23"/>
      <c r="AC1746" s="23"/>
      <c r="AD1746" s="23"/>
      <c r="AE1746" s="23"/>
      <c r="AF1746" s="23"/>
      <c r="AG1746" s="23"/>
      <c r="AH1746" s="23"/>
      <c r="AI1746" s="48"/>
    </row>
    <row r="1747" spans="1:35">
      <c r="A1747" s="45"/>
      <c r="B1747" s="42"/>
      <c r="C1747" s="45"/>
      <c r="E1747" s="45"/>
      <c r="G1747" s="43"/>
      <c r="H1747" s="44"/>
      <c r="L1747" s="42"/>
      <c r="M1747" s="42"/>
      <c r="N1747" s="25"/>
      <c r="O1747" s="54"/>
      <c r="P1747"/>
      <c r="Q1747" s="25"/>
      <c r="R1747" s="54"/>
      <c r="W1747" s="23"/>
      <c r="X1747" s="23"/>
      <c r="Y1747" s="23"/>
      <c r="Z1747" s="43"/>
      <c r="AA1747" s="23"/>
      <c r="AB1747" s="23"/>
      <c r="AC1747" s="23"/>
      <c r="AD1747" s="23"/>
      <c r="AE1747" s="23"/>
      <c r="AF1747" s="23"/>
      <c r="AG1747" s="23"/>
      <c r="AH1747" s="23"/>
      <c r="AI1747" s="48"/>
    </row>
    <row r="1748" spans="1:35">
      <c r="B1748" s="42"/>
      <c r="G1748" s="43"/>
      <c r="H1748" s="44"/>
      <c r="L1748" s="42"/>
      <c r="M1748" s="42"/>
      <c r="N1748" s="25"/>
      <c r="O1748" s="54"/>
      <c r="P1748"/>
      <c r="Q1748" s="25"/>
      <c r="R1748" s="54"/>
      <c r="W1748" s="23"/>
      <c r="X1748" s="23"/>
      <c r="Y1748" s="23"/>
      <c r="Z1748" s="43"/>
      <c r="AA1748" s="23"/>
      <c r="AB1748" s="23"/>
      <c r="AC1748" s="23"/>
      <c r="AD1748" s="23"/>
      <c r="AE1748" s="23"/>
      <c r="AF1748" s="23"/>
      <c r="AG1748" s="23"/>
      <c r="AH1748" s="23"/>
      <c r="AI1748" s="48"/>
    </row>
    <row r="1749" spans="1:35">
      <c r="B1749" s="42"/>
      <c r="G1749" s="43"/>
      <c r="H1749" s="44"/>
      <c r="L1749" s="42"/>
      <c r="M1749" s="42"/>
      <c r="N1749" s="25"/>
      <c r="O1749" s="54"/>
      <c r="P1749"/>
      <c r="Q1749" s="25"/>
      <c r="R1749" s="54"/>
      <c r="W1749" s="23"/>
      <c r="X1749" s="23"/>
      <c r="Y1749" s="23"/>
      <c r="Z1749" s="43"/>
      <c r="AA1749" s="23"/>
      <c r="AB1749" s="23"/>
      <c r="AC1749" s="23"/>
      <c r="AD1749" s="23"/>
      <c r="AE1749" s="23"/>
      <c r="AF1749" s="23"/>
      <c r="AG1749" s="23"/>
      <c r="AH1749" s="23"/>
      <c r="AI1749" s="48"/>
    </row>
    <row r="1750" spans="1:35">
      <c r="B1750" s="42"/>
      <c r="G1750" s="43"/>
      <c r="H1750" s="44"/>
      <c r="L1750" s="42"/>
      <c r="M1750" s="42"/>
      <c r="N1750" s="25"/>
      <c r="O1750" s="54"/>
      <c r="P1750"/>
      <c r="Q1750" s="25"/>
      <c r="R1750" s="54"/>
      <c r="W1750" s="23"/>
      <c r="X1750" s="23"/>
      <c r="Y1750" s="23"/>
      <c r="Z1750" s="43"/>
      <c r="AA1750" s="23"/>
      <c r="AB1750" s="23"/>
      <c r="AC1750" s="23"/>
      <c r="AD1750" s="23"/>
      <c r="AE1750" s="23"/>
      <c r="AF1750" s="23"/>
      <c r="AG1750" s="23"/>
      <c r="AH1750" s="23"/>
      <c r="AI1750" s="48"/>
    </row>
    <row r="1751" spans="1:35">
      <c r="B1751" s="42"/>
      <c r="G1751" s="43"/>
      <c r="H1751" s="44"/>
      <c r="L1751" s="42"/>
      <c r="M1751" s="42"/>
      <c r="N1751" s="25"/>
      <c r="O1751" s="54"/>
      <c r="P1751"/>
      <c r="Q1751" s="25"/>
      <c r="R1751" s="54"/>
      <c r="W1751" s="23"/>
      <c r="X1751" s="23"/>
      <c r="Y1751" s="23"/>
      <c r="Z1751" s="43"/>
      <c r="AA1751" s="23"/>
      <c r="AB1751" s="23"/>
      <c r="AC1751" s="23"/>
      <c r="AD1751" s="23"/>
      <c r="AE1751" s="23"/>
      <c r="AF1751" s="23"/>
      <c r="AG1751" s="23"/>
      <c r="AH1751" s="23"/>
      <c r="AI1751" s="48"/>
    </row>
    <row r="1752" spans="1:35">
      <c r="B1752" s="42"/>
      <c r="G1752" s="43"/>
      <c r="H1752" s="44"/>
      <c r="L1752" s="42"/>
      <c r="M1752" s="42"/>
      <c r="N1752" s="25"/>
      <c r="O1752" s="54"/>
      <c r="P1752"/>
      <c r="Q1752" s="25"/>
      <c r="R1752" s="54"/>
      <c r="W1752" s="23"/>
      <c r="X1752" s="23"/>
      <c r="Y1752" s="23"/>
      <c r="Z1752" s="43"/>
      <c r="AA1752" s="23"/>
      <c r="AB1752" s="23"/>
      <c r="AC1752" s="23"/>
      <c r="AD1752" s="23"/>
      <c r="AE1752" s="23"/>
      <c r="AF1752" s="23"/>
      <c r="AG1752" s="23"/>
      <c r="AH1752" s="23"/>
      <c r="AI1752" s="48"/>
    </row>
    <row r="1753" spans="1:35">
      <c r="B1753" s="42"/>
      <c r="G1753" s="43"/>
      <c r="H1753" s="44"/>
      <c r="L1753" s="42"/>
      <c r="M1753" s="42"/>
      <c r="N1753" s="25"/>
      <c r="O1753" s="54"/>
      <c r="P1753"/>
      <c r="Q1753" s="25"/>
      <c r="R1753" s="54"/>
      <c r="W1753" s="23"/>
      <c r="X1753" s="23"/>
      <c r="Y1753" s="23"/>
      <c r="Z1753" s="43"/>
      <c r="AA1753" s="23"/>
      <c r="AB1753" s="23"/>
      <c r="AC1753" s="23"/>
      <c r="AD1753" s="23"/>
      <c r="AE1753" s="23"/>
      <c r="AF1753" s="23"/>
      <c r="AG1753" s="23"/>
      <c r="AH1753" s="23"/>
      <c r="AI1753" s="48"/>
    </row>
    <row r="1754" spans="1:35">
      <c r="B1754" s="42"/>
      <c r="G1754" s="43"/>
      <c r="H1754" s="44"/>
      <c r="L1754" s="42"/>
      <c r="M1754" s="42"/>
      <c r="N1754" s="25"/>
      <c r="O1754" s="54"/>
      <c r="P1754"/>
      <c r="Q1754" s="25"/>
      <c r="R1754" s="54"/>
      <c r="W1754" s="23"/>
      <c r="X1754" s="23"/>
      <c r="Y1754" s="23"/>
      <c r="Z1754" s="43"/>
      <c r="AA1754" s="23"/>
      <c r="AB1754" s="23"/>
      <c r="AC1754" s="23"/>
      <c r="AD1754" s="23"/>
      <c r="AE1754" s="23"/>
      <c r="AF1754" s="23"/>
      <c r="AG1754" s="23"/>
      <c r="AH1754" s="23"/>
      <c r="AI1754" s="48"/>
    </row>
    <row r="1755" spans="1:35">
      <c r="B1755" s="42"/>
      <c r="G1755" s="43"/>
      <c r="H1755" s="44"/>
      <c r="L1755" s="42"/>
      <c r="M1755" s="42"/>
      <c r="N1755" s="25"/>
      <c r="O1755" s="54"/>
      <c r="P1755"/>
      <c r="Q1755" s="25"/>
      <c r="R1755" s="54"/>
      <c r="W1755" s="23"/>
      <c r="X1755" s="23"/>
      <c r="Y1755" s="23"/>
      <c r="Z1755" s="43"/>
      <c r="AA1755" s="23"/>
      <c r="AB1755" s="23"/>
      <c r="AC1755" s="23"/>
      <c r="AD1755" s="23"/>
      <c r="AE1755" s="23"/>
      <c r="AF1755" s="23"/>
      <c r="AG1755" s="23"/>
      <c r="AH1755" s="23"/>
      <c r="AI1755" s="48"/>
    </row>
    <row r="1756" spans="1:35">
      <c r="B1756" s="42"/>
      <c r="G1756" s="43"/>
      <c r="H1756" s="44"/>
      <c r="L1756" s="42"/>
      <c r="M1756" s="42"/>
      <c r="N1756" s="25"/>
      <c r="O1756" s="54"/>
      <c r="P1756"/>
      <c r="Q1756" s="25"/>
      <c r="R1756" s="54"/>
      <c r="W1756" s="23"/>
      <c r="X1756" s="23"/>
      <c r="Y1756" s="23"/>
      <c r="Z1756" s="43"/>
      <c r="AA1756" s="23"/>
      <c r="AB1756" s="23"/>
      <c r="AC1756" s="23"/>
      <c r="AD1756" s="23"/>
      <c r="AE1756" s="23"/>
      <c r="AF1756" s="23"/>
      <c r="AG1756" s="23"/>
      <c r="AH1756" s="23"/>
      <c r="AI1756" s="48"/>
    </row>
    <row r="1757" spans="1:35">
      <c r="B1757" s="42"/>
      <c r="G1757" s="43"/>
      <c r="H1757" s="44"/>
      <c r="L1757" s="42"/>
      <c r="M1757" s="42"/>
      <c r="N1757" s="25"/>
      <c r="O1757" s="54"/>
      <c r="P1757"/>
      <c r="Q1757" s="25"/>
      <c r="R1757" s="54"/>
      <c r="W1757" s="23"/>
      <c r="X1757" s="23"/>
      <c r="Y1757" s="23"/>
      <c r="Z1757" s="43"/>
      <c r="AA1757" s="23"/>
      <c r="AB1757" s="23"/>
      <c r="AC1757" s="23"/>
      <c r="AD1757" s="23"/>
      <c r="AE1757" s="23"/>
      <c r="AF1757" s="23"/>
      <c r="AG1757" s="23"/>
      <c r="AH1757" s="23"/>
      <c r="AI1757" s="23"/>
    </row>
    <row r="1758" spans="1:35">
      <c r="B1758" s="42"/>
      <c r="G1758" s="43"/>
      <c r="H1758" s="44"/>
      <c r="L1758" s="42"/>
      <c r="M1758" s="42"/>
      <c r="N1758" s="25"/>
      <c r="O1758" s="54"/>
      <c r="P1758"/>
      <c r="Q1758" s="25"/>
      <c r="R1758" s="54"/>
      <c r="W1758" s="23"/>
      <c r="X1758" s="23"/>
      <c r="Y1758" s="23"/>
      <c r="Z1758" s="43"/>
      <c r="AA1758" s="23"/>
      <c r="AB1758" s="23"/>
      <c r="AC1758" s="23"/>
      <c r="AD1758" s="23"/>
      <c r="AE1758" s="23"/>
      <c r="AF1758" s="23"/>
      <c r="AG1758" s="23"/>
      <c r="AH1758" s="23"/>
      <c r="AI1758" s="23"/>
    </row>
    <row r="1759" spans="1:35">
      <c r="B1759" s="42"/>
      <c r="G1759" s="43"/>
      <c r="H1759" s="44"/>
      <c r="L1759" s="42"/>
      <c r="M1759" s="42"/>
      <c r="N1759" s="25"/>
      <c r="O1759" s="54"/>
      <c r="P1759"/>
      <c r="Q1759" s="25"/>
      <c r="R1759" s="54"/>
      <c r="W1759" s="23"/>
      <c r="X1759" s="23"/>
      <c r="Y1759" s="23"/>
      <c r="Z1759" s="43"/>
      <c r="AA1759" s="23"/>
      <c r="AB1759" s="23"/>
      <c r="AC1759" s="23"/>
      <c r="AD1759" s="23"/>
      <c r="AE1759" s="23"/>
      <c r="AF1759" s="23"/>
      <c r="AG1759" s="23"/>
      <c r="AH1759" s="23"/>
      <c r="AI1759" s="48"/>
    </row>
    <row r="1760" spans="1:35">
      <c r="B1760" s="42"/>
      <c r="C1760" s="49"/>
      <c r="E1760" s="49"/>
      <c r="G1760" s="43"/>
      <c r="H1760" s="44"/>
      <c r="L1760" s="42"/>
      <c r="M1760" s="42"/>
      <c r="N1760" s="25"/>
      <c r="O1760" s="54"/>
      <c r="P1760"/>
      <c r="Q1760" s="25"/>
      <c r="R1760" s="54"/>
      <c r="W1760" s="23"/>
      <c r="X1760" s="23"/>
      <c r="Y1760" s="23"/>
      <c r="Z1760" s="43"/>
      <c r="AA1760" s="23"/>
      <c r="AB1760" s="23"/>
      <c r="AC1760" s="23"/>
      <c r="AD1760" s="23"/>
      <c r="AE1760" s="23"/>
      <c r="AF1760" s="23"/>
      <c r="AG1760" s="23"/>
      <c r="AH1760" s="23"/>
      <c r="AI1760" s="23"/>
    </row>
    <row r="1761" spans="2:35">
      <c r="B1761" s="42"/>
      <c r="C1761" s="49"/>
      <c r="E1761" s="49"/>
      <c r="G1761" s="43"/>
      <c r="H1761" s="44"/>
      <c r="L1761" s="42"/>
      <c r="M1761" s="42"/>
      <c r="N1761" s="25"/>
      <c r="O1761" s="54"/>
      <c r="P1761"/>
      <c r="Q1761" s="25"/>
      <c r="R1761" s="54"/>
      <c r="W1761" s="23"/>
      <c r="X1761" s="23"/>
      <c r="Y1761" s="23"/>
      <c r="Z1761" s="43"/>
      <c r="AA1761" s="23"/>
      <c r="AB1761" s="23"/>
      <c r="AC1761" s="23"/>
      <c r="AD1761" s="23"/>
      <c r="AE1761" s="23"/>
      <c r="AF1761" s="23"/>
      <c r="AG1761" s="23"/>
      <c r="AH1761" s="23"/>
      <c r="AI1761" s="23"/>
    </row>
    <row r="1762" spans="2:35">
      <c r="B1762" s="42"/>
      <c r="C1762" s="49"/>
      <c r="E1762" s="49"/>
      <c r="G1762" s="43"/>
      <c r="H1762" s="44"/>
      <c r="L1762" s="42"/>
      <c r="M1762" s="42"/>
      <c r="N1762" s="25"/>
      <c r="O1762" s="54"/>
      <c r="P1762"/>
      <c r="Q1762" s="25"/>
      <c r="R1762" s="54"/>
      <c r="W1762" s="23"/>
      <c r="X1762" s="23"/>
      <c r="Y1762" s="23"/>
      <c r="Z1762" s="43"/>
      <c r="AA1762" s="23"/>
      <c r="AB1762" s="23"/>
      <c r="AC1762" s="23"/>
      <c r="AD1762" s="23"/>
      <c r="AE1762" s="23"/>
      <c r="AF1762" s="23"/>
      <c r="AG1762" s="23"/>
      <c r="AH1762" s="23"/>
      <c r="AI1762" s="23"/>
    </row>
    <row r="1763" spans="2:35">
      <c r="B1763" s="42"/>
      <c r="C1763" s="49"/>
      <c r="E1763" s="49"/>
      <c r="G1763" s="43"/>
      <c r="H1763" s="44"/>
      <c r="L1763" s="42"/>
      <c r="M1763" s="42"/>
      <c r="N1763" s="25"/>
      <c r="O1763" s="54"/>
      <c r="P1763"/>
      <c r="Q1763" s="25"/>
      <c r="R1763" s="54"/>
      <c r="W1763" s="23"/>
      <c r="X1763" s="23"/>
      <c r="Y1763" s="23"/>
      <c r="Z1763" s="43"/>
      <c r="AA1763" s="23"/>
      <c r="AB1763" s="23"/>
      <c r="AC1763" s="23"/>
      <c r="AD1763" s="23"/>
      <c r="AE1763" s="23"/>
      <c r="AF1763" s="23"/>
      <c r="AG1763" s="23"/>
      <c r="AH1763" s="23"/>
      <c r="AI1763" s="23"/>
    </row>
    <row r="1764" spans="2:35">
      <c r="B1764" s="42"/>
      <c r="C1764" s="49"/>
      <c r="E1764" s="49"/>
      <c r="G1764" s="43"/>
      <c r="H1764" s="44"/>
      <c r="L1764" s="42"/>
      <c r="M1764" s="42"/>
      <c r="N1764" s="25"/>
      <c r="O1764" s="54"/>
      <c r="P1764"/>
      <c r="Q1764" s="25"/>
      <c r="R1764" s="54"/>
      <c r="W1764" s="23"/>
      <c r="X1764" s="23"/>
      <c r="Y1764" s="23"/>
      <c r="Z1764" s="43"/>
      <c r="AA1764" s="23"/>
      <c r="AB1764" s="23"/>
      <c r="AC1764" s="23"/>
      <c r="AD1764" s="23"/>
      <c r="AE1764" s="23"/>
      <c r="AF1764" s="23"/>
      <c r="AG1764" s="23"/>
      <c r="AH1764" s="23"/>
      <c r="AI1764" s="23"/>
    </row>
    <row r="1765" spans="2:35">
      <c r="B1765" s="42"/>
      <c r="C1765" s="49"/>
      <c r="E1765" s="49"/>
      <c r="G1765" s="43"/>
      <c r="H1765" s="44"/>
      <c r="L1765" s="42"/>
      <c r="M1765" s="42"/>
      <c r="N1765" s="25"/>
      <c r="O1765" s="54"/>
      <c r="P1765"/>
      <c r="Q1765" s="25"/>
      <c r="R1765" s="54"/>
      <c r="W1765" s="23"/>
      <c r="X1765" s="23"/>
      <c r="Y1765" s="23"/>
      <c r="Z1765" s="43"/>
      <c r="AA1765" s="23"/>
      <c r="AB1765" s="23"/>
      <c r="AC1765" s="23"/>
      <c r="AD1765" s="23"/>
      <c r="AE1765" s="23"/>
      <c r="AF1765" s="23"/>
      <c r="AG1765" s="23"/>
      <c r="AH1765" s="23"/>
      <c r="AI1765" s="23"/>
    </row>
    <row r="1766" spans="2:35">
      <c r="B1766" s="42"/>
      <c r="C1766" s="49"/>
      <c r="E1766" s="49"/>
      <c r="G1766" s="43"/>
      <c r="H1766" s="44"/>
      <c r="L1766" s="42"/>
      <c r="M1766" s="42"/>
      <c r="N1766" s="25"/>
      <c r="O1766" s="54"/>
      <c r="P1766"/>
      <c r="Q1766" s="25"/>
      <c r="R1766" s="54"/>
      <c r="W1766" s="23"/>
      <c r="X1766" s="23"/>
      <c r="Y1766" s="23"/>
      <c r="Z1766" s="43"/>
      <c r="AA1766" s="23"/>
      <c r="AB1766" s="23"/>
      <c r="AC1766" s="23"/>
      <c r="AD1766" s="23"/>
      <c r="AE1766" s="23"/>
      <c r="AF1766" s="23"/>
      <c r="AG1766" s="23"/>
      <c r="AH1766" s="23"/>
      <c r="AI1766" s="23"/>
    </row>
    <row r="1767" spans="2:35">
      <c r="B1767" s="42"/>
      <c r="C1767" s="49"/>
      <c r="E1767" s="49"/>
      <c r="G1767" s="43"/>
      <c r="H1767" s="44"/>
      <c r="L1767" s="42"/>
      <c r="M1767" s="42"/>
      <c r="N1767" s="25"/>
      <c r="O1767" s="54"/>
      <c r="P1767"/>
      <c r="Q1767" s="25"/>
      <c r="R1767" s="54"/>
      <c r="W1767" s="23"/>
      <c r="X1767" s="23"/>
      <c r="Y1767" s="23"/>
      <c r="Z1767" s="43"/>
      <c r="AA1767" s="23"/>
      <c r="AB1767" s="23"/>
      <c r="AC1767" s="23"/>
      <c r="AD1767" s="23"/>
      <c r="AE1767" s="23"/>
      <c r="AF1767" s="23"/>
      <c r="AG1767" s="23"/>
      <c r="AH1767" s="23"/>
      <c r="AI1767" s="23"/>
    </row>
    <row r="1768" spans="2:35">
      <c r="B1768" s="42"/>
      <c r="C1768" s="49"/>
      <c r="E1768" s="49"/>
      <c r="G1768" s="43"/>
      <c r="H1768" s="44"/>
      <c r="L1768" s="42"/>
      <c r="M1768" s="42"/>
      <c r="N1768" s="25"/>
      <c r="O1768" s="54"/>
      <c r="P1768"/>
      <c r="Q1768" s="25"/>
      <c r="R1768" s="54"/>
      <c r="W1768" s="23"/>
      <c r="X1768" s="23"/>
      <c r="Y1768" s="23"/>
      <c r="Z1768" s="43"/>
      <c r="AA1768" s="23"/>
      <c r="AB1768" s="23"/>
      <c r="AC1768" s="23"/>
      <c r="AD1768" s="23"/>
      <c r="AE1768" s="23"/>
      <c r="AF1768" s="23"/>
      <c r="AG1768" s="23"/>
      <c r="AH1768" s="23"/>
      <c r="AI1768" s="23"/>
    </row>
    <row r="1769" spans="2:35">
      <c r="B1769" s="42"/>
      <c r="C1769" s="49"/>
      <c r="E1769" s="49"/>
      <c r="G1769" s="43"/>
      <c r="H1769" s="44"/>
      <c r="L1769" s="42"/>
      <c r="M1769" s="42"/>
      <c r="N1769" s="25"/>
      <c r="O1769" s="54"/>
      <c r="P1769"/>
      <c r="Q1769" s="25"/>
      <c r="R1769" s="54"/>
      <c r="W1769" s="23"/>
      <c r="X1769" s="23"/>
      <c r="Y1769" s="23"/>
      <c r="Z1769" s="43"/>
      <c r="AA1769" s="23"/>
      <c r="AB1769" s="23"/>
      <c r="AC1769" s="23"/>
      <c r="AD1769" s="23"/>
      <c r="AE1769" s="23"/>
      <c r="AF1769" s="23"/>
      <c r="AG1769" s="23"/>
      <c r="AH1769" s="23"/>
      <c r="AI1769" s="23"/>
    </row>
    <row r="1770" spans="2:35">
      <c r="B1770" s="42"/>
      <c r="C1770" s="49"/>
      <c r="E1770" s="49"/>
      <c r="G1770" s="43"/>
      <c r="H1770" s="44"/>
      <c r="L1770" s="42"/>
      <c r="M1770" s="42"/>
      <c r="N1770" s="25"/>
      <c r="O1770" s="54"/>
      <c r="P1770"/>
      <c r="Q1770" s="25"/>
      <c r="R1770" s="54"/>
      <c r="W1770" s="23"/>
      <c r="X1770" s="23"/>
      <c r="Y1770" s="23"/>
      <c r="Z1770" s="43"/>
      <c r="AA1770" s="23"/>
      <c r="AB1770" s="23"/>
      <c r="AC1770" s="23"/>
      <c r="AD1770" s="23"/>
      <c r="AE1770" s="23"/>
      <c r="AF1770" s="23"/>
      <c r="AG1770" s="23"/>
      <c r="AH1770" s="23"/>
      <c r="AI1770" s="23"/>
    </row>
    <row r="1771" spans="2:35">
      <c r="B1771" s="42"/>
      <c r="C1771" s="49"/>
      <c r="E1771" s="49"/>
      <c r="G1771" s="43"/>
      <c r="H1771" s="44"/>
      <c r="L1771" s="42"/>
      <c r="M1771" s="42"/>
      <c r="N1771" s="25"/>
      <c r="O1771" s="54"/>
      <c r="P1771"/>
      <c r="Q1771" s="25"/>
      <c r="R1771" s="54"/>
      <c r="W1771" s="23"/>
      <c r="X1771" s="23"/>
      <c r="Y1771" s="23"/>
      <c r="Z1771" s="43"/>
      <c r="AA1771" s="23"/>
      <c r="AB1771" s="23"/>
      <c r="AC1771" s="23"/>
      <c r="AD1771" s="23"/>
      <c r="AE1771" s="23"/>
      <c r="AF1771" s="23"/>
      <c r="AG1771" s="23"/>
      <c r="AH1771" s="23"/>
      <c r="AI1771" s="23"/>
    </row>
    <row r="1772" spans="2:35">
      <c r="B1772" s="42"/>
      <c r="C1772" s="49"/>
      <c r="E1772" s="49"/>
      <c r="G1772" s="43"/>
      <c r="H1772" s="44"/>
      <c r="L1772" s="42"/>
      <c r="M1772" s="42"/>
      <c r="N1772" s="25"/>
      <c r="O1772" s="54"/>
      <c r="P1772"/>
      <c r="Q1772" s="25"/>
      <c r="R1772" s="54"/>
      <c r="W1772" s="23"/>
      <c r="X1772" s="23"/>
      <c r="Y1772" s="23"/>
      <c r="Z1772" s="43"/>
      <c r="AA1772" s="23"/>
      <c r="AB1772" s="23"/>
      <c r="AC1772" s="23"/>
      <c r="AD1772" s="23"/>
      <c r="AE1772" s="23"/>
      <c r="AF1772" s="23"/>
      <c r="AG1772" s="23"/>
      <c r="AH1772" s="23"/>
      <c r="AI1772" s="23"/>
    </row>
    <row r="1773" spans="2:35">
      <c r="B1773" s="42"/>
      <c r="C1773" s="49"/>
      <c r="E1773" s="49"/>
      <c r="G1773" s="43"/>
      <c r="H1773" s="44"/>
      <c r="L1773" s="42"/>
      <c r="M1773" s="42"/>
      <c r="N1773" s="25"/>
      <c r="O1773" s="54"/>
      <c r="P1773"/>
      <c r="Q1773" s="25"/>
      <c r="R1773" s="54"/>
      <c r="W1773" s="23"/>
      <c r="X1773" s="23"/>
      <c r="Y1773" s="23"/>
      <c r="Z1773" s="43"/>
      <c r="AA1773" s="23"/>
      <c r="AB1773" s="23"/>
      <c r="AC1773" s="23"/>
      <c r="AD1773" s="23"/>
      <c r="AE1773" s="23"/>
      <c r="AF1773" s="23"/>
      <c r="AG1773" s="23"/>
      <c r="AH1773" s="23"/>
      <c r="AI1773" s="23"/>
    </row>
    <row r="1774" spans="2:35">
      <c r="B1774" s="42"/>
      <c r="C1774" s="49"/>
      <c r="E1774" s="49"/>
      <c r="G1774" s="43"/>
      <c r="H1774" s="44"/>
      <c r="L1774" s="42"/>
      <c r="M1774" s="42"/>
      <c r="N1774" s="25"/>
      <c r="O1774" s="54"/>
      <c r="P1774"/>
      <c r="Q1774" s="25"/>
      <c r="R1774" s="54"/>
      <c r="W1774" s="23"/>
      <c r="X1774" s="23"/>
      <c r="Y1774" s="23"/>
      <c r="Z1774" s="43"/>
      <c r="AA1774" s="23"/>
      <c r="AB1774" s="23"/>
      <c r="AC1774" s="23"/>
      <c r="AD1774" s="23"/>
      <c r="AE1774" s="23"/>
      <c r="AF1774" s="23"/>
      <c r="AG1774" s="23"/>
      <c r="AH1774" s="23"/>
      <c r="AI1774" s="23"/>
    </row>
    <row r="1775" spans="2:35">
      <c r="B1775" s="42"/>
      <c r="C1775" s="49"/>
      <c r="E1775" s="49"/>
      <c r="G1775" s="43"/>
      <c r="H1775" s="44"/>
      <c r="L1775" s="42"/>
      <c r="M1775" s="42"/>
      <c r="N1775" s="25"/>
      <c r="O1775" s="54"/>
      <c r="P1775"/>
      <c r="Q1775" s="25"/>
      <c r="R1775" s="54"/>
      <c r="W1775" s="23"/>
      <c r="X1775" s="23"/>
      <c r="Y1775" s="23"/>
      <c r="Z1775" s="43"/>
      <c r="AA1775" s="23"/>
      <c r="AB1775" s="23"/>
      <c r="AC1775" s="23"/>
      <c r="AD1775" s="23"/>
      <c r="AE1775" s="23"/>
      <c r="AF1775" s="23"/>
      <c r="AG1775" s="23"/>
      <c r="AH1775" s="23"/>
      <c r="AI1775" s="23"/>
    </row>
    <row r="1776" spans="2:35">
      <c r="B1776" s="42"/>
      <c r="C1776" s="49"/>
      <c r="E1776" s="49"/>
      <c r="G1776" s="43"/>
      <c r="H1776" s="44"/>
      <c r="L1776" s="42"/>
      <c r="M1776" s="42"/>
      <c r="N1776" s="25"/>
      <c r="O1776" s="54"/>
      <c r="P1776"/>
      <c r="Q1776" s="25"/>
      <c r="R1776" s="54"/>
      <c r="W1776" s="23"/>
      <c r="X1776" s="23"/>
      <c r="Y1776" s="23"/>
      <c r="Z1776" s="43"/>
      <c r="AA1776" s="23"/>
      <c r="AB1776" s="23"/>
      <c r="AC1776" s="23"/>
      <c r="AD1776" s="23"/>
      <c r="AE1776" s="23"/>
      <c r="AF1776" s="23"/>
      <c r="AG1776" s="23"/>
      <c r="AH1776" s="23"/>
      <c r="AI1776" s="23"/>
    </row>
    <row r="1777" spans="1:35">
      <c r="B1777" s="42"/>
      <c r="C1777" s="49"/>
      <c r="E1777" s="49"/>
      <c r="G1777" s="43"/>
      <c r="H1777" s="44"/>
      <c r="L1777" s="42"/>
      <c r="M1777" s="42"/>
      <c r="N1777" s="25"/>
      <c r="O1777" s="54"/>
      <c r="P1777"/>
      <c r="Q1777" s="25"/>
      <c r="R1777" s="54"/>
      <c r="W1777" s="23"/>
      <c r="X1777" s="23"/>
      <c r="Y1777" s="23"/>
      <c r="Z1777" s="43"/>
      <c r="AA1777" s="23"/>
      <c r="AB1777" s="23"/>
      <c r="AC1777" s="23"/>
      <c r="AD1777" s="23"/>
      <c r="AE1777" s="23"/>
      <c r="AF1777" s="23"/>
      <c r="AG1777" s="23"/>
      <c r="AH1777" s="23"/>
      <c r="AI1777" s="23"/>
    </row>
    <row r="1778" spans="1:35">
      <c r="B1778" s="42"/>
      <c r="C1778" s="49"/>
      <c r="E1778" s="49"/>
      <c r="G1778" s="43"/>
      <c r="H1778" s="44"/>
      <c r="L1778" s="42"/>
      <c r="M1778" s="42"/>
      <c r="N1778" s="25"/>
      <c r="O1778" s="54"/>
      <c r="P1778"/>
      <c r="Q1778" s="25"/>
      <c r="R1778" s="54"/>
      <c r="W1778" s="23"/>
      <c r="X1778" s="23"/>
      <c r="Y1778" s="23"/>
      <c r="Z1778" s="43"/>
      <c r="AA1778" s="23"/>
      <c r="AB1778" s="23"/>
      <c r="AC1778" s="23"/>
      <c r="AD1778" s="23"/>
      <c r="AE1778" s="23"/>
      <c r="AF1778" s="23"/>
      <c r="AG1778" s="23"/>
      <c r="AH1778" s="23"/>
      <c r="AI1778" s="23"/>
    </row>
    <row r="1779" spans="1:35">
      <c r="B1779" s="42"/>
      <c r="C1779" s="49"/>
      <c r="E1779" s="49"/>
      <c r="G1779" s="43"/>
      <c r="H1779" s="44"/>
      <c r="L1779" s="42"/>
      <c r="M1779" s="42"/>
      <c r="N1779" s="25"/>
      <c r="O1779" s="54"/>
      <c r="P1779"/>
      <c r="Q1779" s="25"/>
      <c r="R1779" s="54"/>
      <c r="W1779" s="23"/>
      <c r="X1779" s="23"/>
      <c r="Y1779" s="23"/>
      <c r="Z1779" s="43"/>
      <c r="AA1779" s="23"/>
      <c r="AB1779" s="23"/>
      <c r="AC1779" s="23"/>
      <c r="AD1779" s="23"/>
      <c r="AE1779" s="23"/>
      <c r="AF1779" s="23"/>
      <c r="AG1779" s="23"/>
      <c r="AH1779" s="23"/>
      <c r="AI1779" s="23"/>
    </row>
    <row r="1780" spans="1:35">
      <c r="B1780" s="42"/>
      <c r="C1780" s="49"/>
      <c r="E1780" s="49"/>
      <c r="G1780" s="43"/>
      <c r="H1780" s="44"/>
      <c r="L1780" s="42"/>
      <c r="M1780" s="42"/>
      <c r="N1780" s="25"/>
      <c r="O1780" s="54"/>
      <c r="P1780"/>
      <c r="Q1780" s="25"/>
      <c r="R1780" s="54"/>
      <c r="W1780" s="23"/>
      <c r="X1780" s="23"/>
      <c r="Y1780" s="23"/>
      <c r="Z1780" s="43"/>
      <c r="AA1780" s="23"/>
      <c r="AB1780" s="23"/>
      <c r="AC1780" s="23"/>
      <c r="AD1780" s="23"/>
      <c r="AE1780" s="23"/>
      <c r="AF1780" s="23"/>
      <c r="AG1780" s="23"/>
      <c r="AH1780" s="23"/>
      <c r="AI1780" s="23"/>
    </row>
    <row r="1781" spans="1:35">
      <c r="B1781" s="42"/>
      <c r="C1781" s="49"/>
      <c r="E1781" s="49"/>
      <c r="G1781" s="43"/>
      <c r="H1781" s="44"/>
      <c r="L1781" s="42"/>
      <c r="M1781" s="42"/>
      <c r="N1781" s="25"/>
      <c r="O1781" s="54"/>
      <c r="P1781"/>
      <c r="Q1781" s="25"/>
      <c r="R1781" s="54"/>
      <c r="W1781" s="23"/>
      <c r="X1781" s="23"/>
      <c r="Y1781" s="23"/>
      <c r="Z1781" s="43"/>
      <c r="AA1781" s="23"/>
      <c r="AB1781" s="23"/>
      <c r="AC1781" s="23"/>
      <c r="AD1781" s="23"/>
      <c r="AE1781" s="23"/>
      <c r="AF1781" s="23"/>
      <c r="AG1781" s="23"/>
      <c r="AH1781" s="23"/>
      <c r="AI1781" s="23"/>
    </row>
    <row r="1782" spans="1:35">
      <c r="B1782" s="42"/>
      <c r="C1782" s="49"/>
      <c r="E1782" s="49"/>
      <c r="G1782" s="43"/>
      <c r="H1782" s="44"/>
      <c r="L1782" s="42"/>
      <c r="M1782" s="42"/>
      <c r="N1782" s="25"/>
      <c r="O1782" s="54"/>
      <c r="P1782"/>
      <c r="Q1782" s="25"/>
      <c r="R1782" s="54"/>
      <c r="W1782" s="23"/>
      <c r="X1782" s="23"/>
      <c r="Y1782" s="23"/>
      <c r="Z1782" s="43"/>
      <c r="AA1782" s="23"/>
      <c r="AB1782" s="23"/>
      <c r="AC1782" s="23"/>
      <c r="AD1782" s="23"/>
      <c r="AE1782" s="23"/>
      <c r="AF1782" s="23"/>
      <c r="AG1782" s="23"/>
      <c r="AH1782" s="23"/>
      <c r="AI1782" s="23"/>
    </row>
    <row r="1783" spans="1:35">
      <c r="B1783" s="42"/>
      <c r="C1783" s="49"/>
      <c r="E1783" s="49"/>
      <c r="G1783" s="43"/>
      <c r="H1783" s="44"/>
      <c r="L1783" s="42"/>
      <c r="M1783" s="42"/>
      <c r="N1783" s="25"/>
      <c r="O1783" s="54"/>
      <c r="P1783"/>
      <c r="Q1783" s="25"/>
      <c r="R1783" s="54"/>
      <c r="W1783" s="23"/>
      <c r="X1783" s="23"/>
      <c r="Y1783" s="23"/>
      <c r="Z1783" s="43"/>
      <c r="AA1783" s="23"/>
      <c r="AB1783" s="23"/>
      <c r="AC1783" s="23"/>
      <c r="AD1783" s="23"/>
      <c r="AE1783" s="23"/>
      <c r="AF1783" s="23"/>
      <c r="AG1783" s="23"/>
      <c r="AH1783" s="23"/>
      <c r="AI1783" s="23"/>
    </row>
    <row r="1784" spans="1:35">
      <c r="B1784" s="42"/>
      <c r="C1784" s="49"/>
      <c r="E1784" s="49"/>
      <c r="G1784" s="43"/>
      <c r="H1784" s="44"/>
      <c r="L1784" s="42"/>
      <c r="M1784" s="42"/>
      <c r="N1784" s="25"/>
      <c r="O1784" s="54"/>
      <c r="P1784"/>
      <c r="Q1784" s="25"/>
      <c r="R1784" s="54"/>
      <c r="W1784" s="23"/>
      <c r="X1784" s="23"/>
      <c r="Y1784" s="23"/>
      <c r="Z1784" s="43"/>
      <c r="AA1784" s="23"/>
      <c r="AB1784" s="23"/>
      <c r="AC1784" s="23"/>
      <c r="AD1784" s="23"/>
      <c r="AE1784" s="23"/>
      <c r="AF1784" s="23"/>
      <c r="AG1784" s="23"/>
      <c r="AH1784" s="23"/>
      <c r="AI1784" s="23"/>
    </row>
    <row r="1785" spans="1:35">
      <c r="B1785" s="42"/>
      <c r="C1785" s="49"/>
      <c r="E1785" s="49"/>
      <c r="G1785" s="43"/>
      <c r="H1785" s="44"/>
      <c r="L1785" s="42"/>
      <c r="M1785" s="42"/>
      <c r="N1785" s="25"/>
      <c r="O1785" s="54"/>
      <c r="P1785"/>
      <c r="Q1785" s="25"/>
      <c r="R1785" s="54"/>
      <c r="W1785" s="23"/>
      <c r="X1785" s="23"/>
      <c r="Y1785" s="23"/>
      <c r="Z1785" s="43"/>
      <c r="AA1785" s="23"/>
      <c r="AB1785" s="23"/>
      <c r="AC1785" s="23"/>
      <c r="AD1785" s="23"/>
      <c r="AE1785" s="23"/>
      <c r="AF1785" s="23"/>
      <c r="AG1785" s="23"/>
      <c r="AH1785" s="23"/>
      <c r="AI1785" s="23"/>
    </row>
    <row r="1786" spans="1:35">
      <c r="B1786" s="42"/>
      <c r="C1786" s="49"/>
      <c r="E1786" s="49"/>
      <c r="G1786" s="43"/>
      <c r="H1786" s="44"/>
      <c r="L1786" s="42"/>
      <c r="M1786" s="42"/>
      <c r="N1786" s="25"/>
      <c r="O1786" s="54"/>
      <c r="P1786"/>
      <c r="Q1786" s="25"/>
      <c r="R1786" s="54"/>
      <c r="W1786" s="23"/>
      <c r="X1786" s="23"/>
      <c r="Y1786" s="23"/>
      <c r="Z1786" s="43"/>
      <c r="AA1786" s="23"/>
      <c r="AB1786" s="23"/>
      <c r="AC1786" s="23"/>
      <c r="AD1786" s="23"/>
      <c r="AE1786" s="23"/>
      <c r="AF1786" s="23"/>
      <c r="AG1786" s="23"/>
      <c r="AH1786" s="23"/>
      <c r="AI1786" s="23"/>
    </row>
    <row r="1787" spans="1:35">
      <c r="B1787" s="42"/>
      <c r="G1787" s="43"/>
      <c r="H1787" s="44"/>
      <c r="L1787" s="42"/>
      <c r="M1787" s="42"/>
      <c r="N1787" s="25"/>
      <c r="O1787" s="54"/>
      <c r="P1787"/>
      <c r="Q1787" s="25"/>
      <c r="R1787" s="54"/>
      <c r="W1787" s="23"/>
      <c r="X1787" s="23"/>
      <c r="Y1787" s="23"/>
      <c r="Z1787" s="43"/>
      <c r="AA1787" s="23"/>
      <c r="AB1787" s="23"/>
      <c r="AC1787" s="23"/>
      <c r="AD1787" s="23"/>
      <c r="AE1787" s="23"/>
      <c r="AF1787" s="23"/>
      <c r="AG1787" s="23"/>
      <c r="AH1787" s="23"/>
      <c r="AI1787" s="48"/>
    </row>
    <row r="1788" spans="1:35">
      <c r="B1788" s="42"/>
      <c r="G1788" s="43"/>
      <c r="H1788" s="44"/>
      <c r="L1788" s="42"/>
      <c r="M1788" s="42"/>
      <c r="N1788" s="25"/>
      <c r="O1788" s="54"/>
      <c r="P1788"/>
      <c r="Q1788" s="25"/>
      <c r="R1788" s="54"/>
      <c r="W1788" s="23"/>
      <c r="X1788" s="23"/>
      <c r="Y1788" s="23"/>
      <c r="Z1788" s="43"/>
      <c r="AA1788" s="23"/>
      <c r="AB1788" s="23"/>
      <c r="AC1788" s="23"/>
      <c r="AD1788" s="23"/>
      <c r="AE1788" s="23"/>
      <c r="AF1788" s="23"/>
      <c r="AG1788" s="23"/>
      <c r="AH1788" s="23"/>
      <c r="AI1788" s="48"/>
    </row>
    <row r="1789" spans="1:35">
      <c r="B1789" s="42"/>
      <c r="G1789" s="43"/>
      <c r="H1789" s="44"/>
      <c r="L1789" s="42"/>
      <c r="M1789" s="42"/>
      <c r="N1789" s="25"/>
      <c r="O1789" s="54"/>
      <c r="P1789"/>
      <c r="Q1789" s="25"/>
      <c r="R1789" s="54"/>
      <c r="W1789" s="23"/>
      <c r="X1789" s="23"/>
      <c r="Y1789" s="23"/>
      <c r="Z1789" s="43"/>
      <c r="AA1789" s="23"/>
      <c r="AB1789" s="23"/>
      <c r="AC1789" s="23"/>
      <c r="AD1789" s="23"/>
      <c r="AE1789" s="23"/>
      <c r="AF1789" s="23"/>
      <c r="AG1789" s="23"/>
      <c r="AH1789" s="23"/>
      <c r="AI1789" s="48"/>
    </row>
    <row r="1790" spans="1:35">
      <c r="B1790" s="42"/>
      <c r="G1790" s="43"/>
      <c r="H1790" s="44"/>
      <c r="L1790" s="42"/>
      <c r="M1790" s="42"/>
      <c r="N1790" s="25"/>
      <c r="O1790" s="54"/>
      <c r="P1790"/>
      <c r="Q1790" s="25"/>
      <c r="R1790" s="54"/>
      <c r="W1790" s="23"/>
      <c r="X1790" s="23"/>
      <c r="Y1790" s="23"/>
      <c r="Z1790" s="43"/>
      <c r="AA1790" s="23"/>
      <c r="AB1790" s="23"/>
      <c r="AC1790" s="23"/>
      <c r="AD1790" s="23"/>
      <c r="AE1790" s="23"/>
      <c r="AF1790" s="23"/>
      <c r="AG1790" s="23"/>
      <c r="AH1790" s="23"/>
      <c r="AI1790" s="48"/>
    </row>
    <row r="1791" spans="1:35">
      <c r="B1791" s="42"/>
      <c r="G1791" s="43"/>
      <c r="H1791" s="44"/>
      <c r="L1791" s="42"/>
      <c r="M1791" s="42"/>
      <c r="N1791" s="25"/>
      <c r="O1791" s="54"/>
      <c r="P1791"/>
      <c r="Q1791" s="25"/>
      <c r="R1791" s="54"/>
      <c r="W1791" s="23"/>
      <c r="X1791" s="23"/>
      <c r="Y1791" s="23"/>
      <c r="Z1791" s="43"/>
      <c r="AA1791" s="23"/>
      <c r="AB1791" s="23"/>
      <c r="AC1791" s="23"/>
      <c r="AD1791" s="23"/>
      <c r="AE1791" s="23"/>
      <c r="AF1791" s="23"/>
      <c r="AG1791" s="23"/>
      <c r="AH1791" s="23"/>
      <c r="AI1791" s="48"/>
    </row>
    <row r="1792" spans="1:35">
      <c r="A1792" s="45"/>
      <c r="B1792" s="42"/>
      <c r="C1792" s="45"/>
      <c r="E1792" s="45"/>
      <c r="G1792" s="43"/>
      <c r="H1792" s="44"/>
      <c r="L1792" s="42"/>
      <c r="M1792" s="42"/>
      <c r="N1792" s="25"/>
      <c r="O1792" s="54"/>
      <c r="P1792"/>
      <c r="Q1792" s="25"/>
      <c r="R1792" s="54"/>
      <c r="W1792" s="23"/>
      <c r="X1792" s="23"/>
      <c r="Y1792" s="23"/>
      <c r="Z1792" s="43"/>
      <c r="AA1792" s="23"/>
      <c r="AB1792" s="23"/>
      <c r="AC1792" s="23"/>
      <c r="AD1792" s="23"/>
      <c r="AE1792" s="23"/>
      <c r="AF1792" s="23"/>
      <c r="AG1792" s="23"/>
      <c r="AH1792" s="23"/>
      <c r="AI1792" s="48"/>
    </row>
    <row r="1793" spans="1:35">
      <c r="A1793" s="23"/>
      <c r="B1793" s="42"/>
      <c r="C1793" s="49"/>
      <c r="E1793" s="49"/>
      <c r="G1793" s="43"/>
      <c r="H1793" s="44"/>
      <c r="L1793" s="42"/>
      <c r="M1793" s="42"/>
      <c r="N1793" s="25"/>
      <c r="O1793" s="54"/>
      <c r="P1793"/>
      <c r="Q1793" s="25"/>
      <c r="R1793" s="54"/>
      <c r="W1793" s="23"/>
      <c r="X1793" s="23"/>
      <c r="Y1793" s="23"/>
      <c r="Z1793" s="43"/>
      <c r="AA1793" s="23"/>
      <c r="AB1793" s="23"/>
      <c r="AC1793" s="23"/>
      <c r="AD1793" s="23"/>
      <c r="AE1793" s="23"/>
      <c r="AF1793" s="23"/>
      <c r="AG1793" s="23"/>
      <c r="AH1793" s="23"/>
      <c r="AI1793" s="49"/>
    </row>
    <row r="1794" spans="1:35">
      <c r="B1794" s="42"/>
      <c r="G1794" s="43"/>
      <c r="H1794" s="44"/>
      <c r="L1794" s="42"/>
      <c r="M1794" s="42"/>
      <c r="N1794" s="25"/>
      <c r="O1794" s="54"/>
      <c r="P1794"/>
      <c r="Q1794" s="25"/>
      <c r="R1794" s="54"/>
      <c r="W1794" s="23"/>
      <c r="X1794" s="23"/>
      <c r="Y1794" s="23"/>
      <c r="Z1794" s="43"/>
      <c r="AA1794" s="23"/>
      <c r="AB1794" s="23"/>
      <c r="AC1794" s="23"/>
      <c r="AD1794" s="23"/>
      <c r="AE1794" s="23"/>
      <c r="AF1794" s="23"/>
      <c r="AG1794" s="23"/>
      <c r="AH1794" s="23"/>
      <c r="AI1794" s="48"/>
    </row>
    <row r="1795" spans="1:35">
      <c r="A1795" s="23"/>
      <c r="B1795" s="42"/>
      <c r="C1795" s="49"/>
      <c r="E1795" s="49"/>
      <c r="G1795" s="43"/>
      <c r="H1795" s="44"/>
      <c r="L1795" s="42"/>
      <c r="M1795" s="42"/>
      <c r="N1795" s="25"/>
      <c r="O1795" s="54"/>
      <c r="P1795"/>
      <c r="Q1795" s="25"/>
      <c r="R1795" s="54"/>
      <c r="W1795" s="23"/>
      <c r="X1795" s="23"/>
      <c r="Y1795" s="23"/>
      <c r="Z1795" s="43"/>
      <c r="AA1795" s="23"/>
      <c r="AB1795" s="23"/>
      <c r="AC1795" s="23"/>
      <c r="AD1795" s="23"/>
      <c r="AE1795" s="23"/>
      <c r="AF1795" s="23"/>
      <c r="AG1795" s="23"/>
      <c r="AH1795" s="23"/>
      <c r="AI1795" s="49"/>
    </row>
    <row r="1796" spans="1:35">
      <c r="A1796" s="23"/>
      <c r="B1796" s="42"/>
      <c r="C1796" s="49"/>
      <c r="E1796" s="49"/>
      <c r="G1796" s="43"/>
      <c r="H1796" s="44"/>
      <c r="L1796" s="42"/>
      <c r="M1796" s="42"/>
      <c r="N1796" s="25"/>
      <c r="O1796" s="54"/>
      <c r="P1796"/>
      <c r="Q1796" s="25"/>
      <c r="R1796" s="54"/>
      <c r="W1796" s="23"/>
      <c r="X1796" s="23"/>
      <c r="Y1796" s="23"/>
      <c r="Z1796" s="43"/>
      <c r="AA1796" s="23"/>
      <c r="AB1796" s="23"/>
      <c r="AC1796" s="23"/>
      <c r="AD1796" s="23"/>
      <c r="AE1796" s="23"/>
      <c r="AF1796" s="23"/>
      <c r="AG1796" s="23"/>
      <c r="AH1796" s="23"/>
      <c r="AI1796" s="49"/>
    </row>
    <row r="1797" spans="1:35">
      <c r="A1797" s="23"/>
      <c r="B1797" s="42"/>
      <c r="C1797" s="49"/>
      <c r="E1797" s="49"/>
      <c r="G1797" s="43"/>
      <c r="H1797" s="44"/>
      <c r="L1797" s="42"/>
      <c r="M1797" s="42"/>
      <c r="N1797" s="25"/>
      <c r="O1797" s="54"/>
      <c r="P1797"/>
      <c r="Q1797" s="25"/>
      <c r="R1797" s="54"/>
      <c r="W1797" s="23"/>
      <c r="X1797" s="23"/>
      <c r="Y1797" s="23"/>
      <c r="Z1797" s="43"/>
      <c r="AA1797" s="23"/>
      <c r="AB1797" s="23"/>
      <c r="AC1797" s="23"/>
      <c r="AD1797" s="23"/>
      <c r="AE1797" s="23"/>
      <c r="AF1797" s="23"/>
      <c r="AG1797" s="23"/>
      <c r="AH1797" s="23"/>
      <c r="AI1797" s="49"/>
    </row>
    <row r="1798" spans="1:35">
      <c r="A1798" s="23"/>
      <c r="B1798" s="42"/>
      <c r="C1798" s="49"/>
      <c r="E1798" s="49"/>
      <c r="G1798" s="43"/>
      <c r="H1798" s="44"/>
      <c r="L1798" s="42"/>
      <c r="M1798" s="42"/>
      <c r="N1798" s="25"/>
      <c r="O1798" s="54"/>
      <c r="P1798"/>
      <c r="Q1798" s="25"/>
      <c r="R1798" s="54"/>
      <c r="W1798" s="23"/>
      <c r="X1798" s="23"/>
      <c r="Y1798" s="23"/>
      <c r="Z1798" s="43"/>
      <c r="AA1798" s="23"/>
      <c r="AB1798" s="23"/>
      <c r="AC1798" s="23"/>
      <c r="AD1798" s="23"/>
      <c r="AE1798" s="23"/>
      <c r="AF1798" s="23"/>
      <c r="AG1798" s="23"/>
      <c r="AH1798" s="23"/>
      <c r="AI1798" s="49"/>
    </row>
    <row r="1799" spans="1:35">
      <c r="A1799" s="23"/>
      <c r="B1799" s="42"/>
      <c r="C1799" s="49"/>
      <c r="E1799" s="49"/>
      <c r="G1799" s="43"/>
      <c r="H1799" s="44"/>
      <c r="L1799" s="42"/>
      <c r="M1799" s="42"/>
      <c r="N1799" s="25"/>
      <c r="O1799" s="54"/>
      <c r="P1799"/>
      <c r="Q1799" s="25"/>
      <c r="R1799" s="54"/>
      <c r="W1799" s="23"/>
      <c r="X1799" s="23"/>
      <c r="Y1799" s="23"/>
      <c r="Z1799" s="43"/>
      <c r="AA1799" s="23"/>
      <c r="AB1799" s="23"/>
      <c r="AC1799" s="23"/>
      <c r="AD1799" s="23"/>
      <c r="AE1799" s="23"/>
      <c r="AF1799" s="23"/>
      <c r="AG1799" s="23"/>
      <c r="AH1799" s="23"/>
      <c r="AI1799" s="49"/>
    </row>
    <row r="1800" spans="1:35">
      <c r="A1800" s="23"/>
      <c r="B1800" s="42"/>
      <c r="C1800" s="49"/>
      <c r="E1800" s="49"/>
      <c r="G1800" s="43"/>
      <c r="H1800" s="44"/>
      <c r="L1800" s="42"/>
      <c r="M1800" s="42"/>
      <c r="N1800" s="25"/>
      <c r="O1800" s="54"/>
      <c r="P1800"/>
      <c r="Q1800" s="25"/>
      <c r="R1800" s="54"/>
      <c r="W1800" s="23"/>
      <c r="X1800" s="23"/>
      <c r="Y1800" s="23"/>
      <c r="Z1800" s="43"/>
      <c r="AA1800" s="23"/>
      <c r="AB1800" s="23"/>
      <c r="AC1800" s="23"/>
      <c r="AD1800" s="23"/>
      <c r="AE1800" s="23"/>
      <c r="AF1800" s="23"/>
      <c r="AG1800" s="23"/>
      <c r="AH1800" s="23"/>
      <c r="AI1800" s="49"/>
    </row>
    <row r="1801" spans="1:35">
      <c r="A1801" s="23"/>
      <c r="B1801" s="42"/>
      <c r="C1801" s="49"/>
      <c r="E1801" s="49"/>
      <c r="G1801" s="43"/>
      <c r="H1801" s="44"/>
      <c r="L1801" s="42"/>
      <c r="M1801" s="42"/>
      <c r="N1801" s="25"/>
      <c r="O1801" s="54"/>
      <c r="P1801"/>
      <c r="Q1801" s="25"/>
      <c r="R1801" s="54"/>
      <c r="W1801" s="23"/>
      <c r="X1801" s="23"/>
      <c r="Y1801" s="23"/>
      <c r="Z1801" s="43"/>
      <c r="AA1801" s="23"/>
      <c r="AB1801" s="23"/>
      <c r="AC1801" s="23"/>
      <c r="AD1801" s="23"/>
      <c r="AE1801" s="23"/>
      <c r="AF1801" s="23"/>
      <c r="AG1801" s="23"/>
      <c r="AH1801" s="23"/>
      <c r="AI1801" s="49"/>
    </row>
    <row r="1802" spans="1:35">
      <c r="A1802" s="23"/>
      <c r="B1802" s="42"/>
      <c r="C1802" s="49"/>
      <c r="E1802" s="49"/>
      <c r="G1802" s="43"/>
      <c r="H1802" s="44"/>
      <c r="L1802" s="42"/>
      <c r="M1802" s="42"/>
      <c r="N1802" s="25"/>
      <c r="O1802" s="54"/>
      <c r="P1802"/>
      <c r="Q1802" s="25"/>
      <c r="R1802" s="54"/>
      <c r="W1802" s="23"/>
      <c r="X1802" s="23"/>
      <c r="Y1802" s="23"/>
      <c r="Z1802" s="43"/>
      <c r="AA1802" s="23"/>
      <c r="AB1802" s="23"/>
      <c r="AC1802" s="23"/>
      <c r="AD1802" s="23"/>
      <c r="AE1802" s="23"/>
      <c r="AF1802" s="23"/>
      <c r="AG1802" s="23"/>
      <c r="AH1802" s="23"/>
      <c r="AI1802" s="49"/>
    </row>
    <row r="1803" spans="1:35">
      <c r="A1803" s="23"/>
      <c r="B1803" s="42"/>
      <c r="C1803" s="49"/>
      <c r="E1803" s="49"/>
      <c r="G1803" s="43"/>
      <c r="H1803" s="44"/>
      <c r="L1803" s="42"/>
      <c r="M1803" s="42"/>
      <c r="N1803" s="25"/>
      <c r="O1803" s="54"/>
      <c r="P1803"/>
      <c r="Q1803" s="25"/>
      <c r="R1803" s="54"/>
      <c r="W1803" s="23"/>
      <c r="X1803" s="23"/>
      <c r="Y1803" s="23"/>
      <c r="Z1803" s="43"/>
      <c r="AA1803" s="23"/>
      <c r="AB1803" s="23"/>
      <c r="AC1803" s="23"/>
      <c r="AD1803" s="23"/>
      <c r="AE1803" s="23"/>
      <c r="AF1803" s="23"/>
      <c r="AG1803" s="23"/>
      <c r="AH1803" s="23"/>
      <c r="AI1803" s="49"/>
    </row>
    <row r="1804" spans="1:35">
      <c r="A1804" s="23"/>
      <c r="B1804" s="42"/>
      <c r="C1804" s="49"/>
      <c r="E1804" s="49"/>
      <c r="G1804" s="43"/>
      <c r="H1804" s="44"/>
      <c r="L1804" s="42"/>
      <c r="M1804" s="42"/>
      <c r="N1804" s="25"/>
      <c r="O1804" s="54"/>
      <c r="P1804"/>
      <c r="Q1804" s="25"/>
      <c r="R1804" s="54"/>
      <c r="W1804" s="23"/>
      <c r="X1804" s="23"/>
      <c r="Y1804" s="23"/>
      <c r="Z1804" s="43"/>
      <c r="AA1804" s="23"/>
      <c r="AB1804" s="23"/>
      <c r="AC1804" s="23"/>
      <c r="AD1804" s="23"/>
      <c r="AE1804" s="23"/>
      <c r="AF1804" s="23"/>
      <c r="AG1804" s="23"/>
      <c r="AH1804" s="23"/>
      <c r="AI1804" s="49"/>
    </row>
    <row r="1805" spans="1:35">
      <c r="A1805" s="23"/>
      <c r="B1805" s="42"/>
      <c r="C1805" s="49"/>
      <c r="E1805" s="49"/>
      <c r="G1805" s="43"/>
      <c r="H1805" s="44"/>
      <c r="L1805" s="42"/>
      <c r="M1805" s="42"/>
      <c r="N1805" s="25"/>
      <c r="O1805" s="54"/>
      <c r="P1805"/>
      <c r="Q1805" s="25"/>
      <c r="R1805" s="54"/>
      <c r="W1805" s="23"/>
      <c r="X1805" s="23"/>
      <c r="Y1805" s="23"/>
      <c r="Z1805" s="43"/>
      <c r="AA1805" s="23"/>
      <c r="AB1805" s="23"/>
      <c r="AC1805" s="23"/>
      <c r="AD1805" s="23"/>
      <c r="AE1805" s="23"/>
      <c r="AF1805" s="23"/>
      <c r="AG1805" s="23"/>
      <c r="AH1805" s="23"/>
      <c r="AI1805" s="49"/>
    </row>
    <row r="1806" spans="1:35">
      <c r="A1806" s="23"/>
      <c r="B1806" s="42"/>
      <c r="C1806" s="49"/>
      <c r="E1806" s="49"/>
      <c r="G1806" s="43"/>
      <c r="H1806" s="44"/>
      <c r="L1806" s="42"/>
      <c r="M1806" s="42"/>
      <c r="N1806" s="25"/>
      <c r="O1806" s="54"/>
      <c r="P1806"/>
      <c r="Q1806" s="25"/>
      <c r="R1806" s="54"/>
      <c r="W1806" s="23"/>
      <c r="X1806" s="23"/>
      <c r="Y1806" s="23"/>
      <c r="Z1806" s="43"/>
      <c r="AA1806" s="23"/>
      <c r="AB1806" s="23"/>
      <c r="AC1806" s="23"/>
      <c r="AD1806" s="23"/>
      <c r="AE1806" s="23"/>
      <c r="AF1806" s="23"/>
      <c r="AG1806" s="23"/>
      <c r="AH1806" s="23"/>
      <c r="AI1806" s="49"/>
    </row>
    <row r="1807" spans="1:35">
      <c r="A1807" s="23"/>
      <c r="B1807" s="42"/>
      <c r="C1807" s="49"/>
      <c r="E1807" s="49"/>
      <c r="G1807" s="43"/>
      <c r="H1807" s="44"/>
      <c r="L1807" s="42"/>
      <c r="M1807" s="42"/>
      <c r="N1807" s="25"/>
      <c r="O1807" s="54"/>
      <c r="P1807"/>
      <c r="Q1807" s="25"/>
      <c r="R1807" s="54"/>
      <c r="W1807" s="23"/>
      <c r="X1807" s="23"/>
      <c r="Y1807" s="23"/>
      <c r="Z1807" s="43"/>
      <c r="AA1807" s="23"/>
      <c r="AB1807" s="23"/>
      <c r="AC1807" s="23"/>
      <c r="AD1807" s="23"/>
      <c r="AE1807" s="23"/>
      <c r="AF1807" s="23"/>
      <c r="AG1807" s="23"/>
      <c r="AH1807" s="23"/>
      <c r="AI1807" s="49"/>
    </row>
    <row r="1808" spans="1:35">
      <c r="A1808" s="23"/>
      <c r="B1808" s="42"/>
      <c r="C1808" s="49"/>
      <c r="E1808" s="49"/>
      <c r="G1808" s="43"/>
      <c r="H1808" s="44"/>
      <c r="L1808" s="42"/>
      <c r="M1808" s="42"/>
      <c r="N1808" s="25"/>
      <c r="O1808" s="54"/>
      <c r="P1808"/>
      <c r="Q1808" s="25"/>
      <c r="R1808" s="54"/>
      <c r="W1808" s="23"/>
      <c r="X1808" s="23"/>
      <c r="Y1808" s="23"/>
      <c r="Z1808" s="43"/>
      <c r="AA1808" s="23"/>
      <c r="AB1808" s="23"/>
      <c r="AC1808" s="23"/>
      <c r="AD1808" s="23"/>
      <c r="AE1808" s="23"/>
      <c r="AF1808" s="23"/>
      <c r="AG1808" s="23"/>
      <c r="AH1808" s="23"/>
      <c r="AI1808" s="49"/>
    </row>
    <row r="1809" spans="1:35">
      <c r="A1809" s="23"/>
      <c r="B1809" s="42"/>
      <c r="C1809" s="49"/>
      <c r="E1809" s="49"/>
      <c r="G1809" s="43"/>
      <c r="H1809" s="44"/>
      <c r="L1809" s="42"/>
      <c r="M1809" s="42"/>
      <c r="N1809" s="25"/>
      <c r="O1809" s="54"/>
      <c r="P1809"/>
      <c r="Q1809" s="25"/>
      <c r="R1809" s="54"/>
      <c r="W1809" s="23"/>
      <c r="X1809" s="23"/>
      <c r="Y1809" s="23"/>
      <c r="Z1809" s="43"/>
      <c r="AA1809" s="23"/>
      <c r="AB1809" s="23"/>
      <c r="AC1809" s="23"/>
      <c r="AD1809" s="23"/>
      <c r="AE1809" s="23"/>
      <c r="AF1809" s="23"/>
      <c r="AG1809" s="23"/>
      <c r="AH1809" s="23"/>
      <c r="AI1809" s="49"/>
    </row>
    <row r="1810" spans="1:35">
      <c r="A1810" s="23"/>
      <c r="B1810" s="42"/>
      <c r="C1810" s="49"/>
      <c r="E1810" s="49"/>
      <c r="G1810" s="43"/>
      <c r="H1810" s="44"/>
      <c r="L1810" s="42"/>
      <c r="M1810" s="42"/>
      <c r="N1810" s="25"/>
      <c r="O1810" s="54"/>
      <c r="P1810"/>
      <c r="Q1810" s="25"/>
      <c r="R1810" s="54"/>
      <c r="W1810" s="23"/>
      <c r="X1810" s="23"/>
      <c r="Y1810" s="23"/>
      <c r="Z1810" s="43"/>
      <c r="AA1810" s="23"/>
      <c r="AB1810" s="23"/>
      <c r="AC1810" s="23"/>
      <c r="AD1810" s="23"/>
      <c r="AE1810" s="23"/>
      <c r="AF1810" s="23"/>
      <c r="AG1810" s="23"/>
      <c r="AH1810" s="23"/>
      <c r="AI1810" s="49"/>
    </row>
    <row r="1811" spans="1:35">
      <c r="A1811" s="23"/>
      <c r="B1811" s="42"/>
      <c r="C1811" s="49"/>
      <c r="E1811" s="49"/>
      <c r="G1811" s="43"/>
      <c r="H1811" s="44"/>
      <c r="L1811" s="42"/>
      <c r="M1811" s="42"/>
      <c r="N1811" s="25"/>
      <c r="O1811" s="54"/>
      <c r="P1811"/>
      <c r="Q1811" s="25"/>
      <c r="R1811" s="54"/>
      <c r="W1811" s="23"/>
      <c r="X1811" s="23"/>
      <c r="Y1811" s="23"/>
      <c r="Z1811" s="43"/>
      <c r="AA1811" s="23"/>
      <c r="AB1811" s="23"/>
      <c r="AC1811" s="23"/>
      <c r="AD1811" s="23"/>
      <c r="AE1811" s="23"/>
      <c r="AF1811" s="23"/>
      <c r="AG1811" s="23"/>
      <c r="AH1811" s="23"/>
      <c r="AI1811" s="49"/>
    </row>
    <row r="1812" spans="1:35">
      <c r="A1812" s="23"/>
      <c r="B1812" s="42"/>
      <c r="C1812" s="49"/>
      <c r="E1812" s="49"/>
      <c r="G1812" s="43"/>
      <c r="H1812" s="44"/>
      <c r="L1812" s="42"/>
      <c r="M1812" s="42"/>
      <c r="N1812" s="25"/>
      <c r="O1812" s="54"/>
      <c r="P1812"/>
      <c r="Q1812" s="25"/>
      <c r="R1812" s="54"/>
      <c r="W1812" s="23"/>
      <c r="X1812" s="23"/>
      <c r="Y1812" s="23"/>
      <c r="Z1812" s="43"/>
      <c r="AA1812" s="23"/>
      <c r="AB1812" s="23"/>
      <c r="AC1812" s="23"/>
      <c r="AD1812" s="23"/>
      <c r="AE1812" s="23"/>
      <c r="AF1812" s="23"/>
      <c r="AG1812" s="23"/>
      <c r="AH1812" s="23"/>
      <c r="AI1812" s="49"/>
    </row>
    <row r="1813" spans="1:35">
      <c r="A1813" s="23"/>
      <c r="B1813" s="42"/>
      <c r="C1813" s="49"/>
      <c r="E1813" s="49"/>
      <c r="G1813" s="43"/>
      <c r="H1813" s="44"/>
      <c r="L1813" s="42"/>
      <c r="M1813" s="42"/>
      <c r="N1813" s="25"/>
      <c r="O1813" s="54"/>
      <c r="P1813"/>
      <c r="Q1813" s="25"/>
      <c r="R1813" s="54"/>
      <c r="W1813" s="23"/>
      <c r="X1813" s="23"/>
      <c r="Y1813" s="23"/>
      <c r="Z1813" s="43"/>
      <c r="AA1813" s="23"/>
      <c r="AB1813" s="23"/>
      <c r="AC1813" s="23"/>
      <c r="AD1813" s="23"/>
      <c r="AE1813" s="23"/>
      <c r="AF1813" s="23"/>
      <c r="AG1813" s="23"/>
      <c r="AH1813" s="23"/>
      <c r="AI1813" s="49"/>
    </row>
    <row r="1814" spans="1:35">
      <c r="A1814" s="23"/>
      <c r="B1814" s="42"/>
      <c r="C1814" s="49"/>
      <c r="E1814" s="49"/>
      <c r="G1814" s="43"/>
      <c r="H1814" s="44"/>
      <c r="L1814" s="42"/>
      <c r="M1814" s="42"/>
      <c r="N1814" s="25"/>
      <c r="O1814" s="54"/>
      <c r="P1814"/>
      <c r="Q1814" s="25"/>
      <c r="R1814" s="54"/>
      <c r="W1814" s="23"/>
      <c r="X1814" s="23"/>
      <c r="Y1814" s="23"/>
      <c r="Z1814" s="43"/>
      <c r="AA1814" s="23"/>
      <c r="AB1814" s="23"/>
      <c r="AC1814" s="23"/>
      <c r="AD1814" s="23"/>
      <c r="AE1814" s="23"/>
      <c r="AF1814" s="23"/>
      <c r="AG1814" s="23"/>
      <c r="AH1814" s="23"/>
      <c r="AI1814" s="49"/>
    </row>
    <row r="1815" spans="1:35">
      <c r="A1815" s="23"/>
      <c r="B1815" s="42"/>
      <c r="C1815" s="49"/>
      <c r="E1815" s="49"/>
      <c r="G1815" s="43"/>
      <c r="H1815" s="44"/>
      <c r="L1815" s="42"/>
      <c r="M1815" s="42"/>
      <c r="N1815" s="25"/>
      <c r="O1815" s="54"/>
      <c r="P1815"/>
      <c r="Q1815" s="25"/>
      <c r="R1815" s="54"/>
      <c r="W1815" s="23"/>
      <c r="X1815" s="23"/>
      <c r="Y1815" s="23"/>
      <c r="Z1815" s="43"/>
      <c r="AA1815" s="23"/>
      <c r="AB1815" s="23"/>
      <c r="AC1815" s="23"/>
      <c r="AD1815" s="23"/>
      <c r="AE1815" s="23"/>
      <c r="AF1815" s="23"/>
      <c r="AG1815" s="23"/>
      <c r="AH1815" s="23"/>
      <c r="AI1815" s="49"/>
    </row>
    <row r="1816" spans="1:35">
      <c r="A1816" s="23"/>
      <c r="B1816" s="42"/>
      <c r="C1816" s="49"/>
      <c r="E1816" s="49"/>
      <c r="G1816" s="43"/>
      <c r="H1816" s="44"/>
      <c r="L1816" s="42"/>
      <c r="M1816" s="42"/>
      <c r="N1816" s="25"/>
      <c r="O1816" s="54"/>
      <c r="P1816"/>
      <c r="Q1816" s="25"/>
      <c r="R1816" s="54"/>
      <c r="W1816" s="23"/>
      <c r="X1816" s="23"/>
      <c r="Y1816" s="23"/>
      <c r="Z1816" s="43"/>
      <c r="AA1816" s="23"/>
      <c r="AB1816" s="23"/>
      <c r="AC1816" s="23"/>
      <c r="AD1816" s="23"/>
      <c r="AE1816" s="23"/>
      <c r="AF1816" s="23"/>
      <c r="AG1816" s="23"/>
      <c r="AH1816" s="23"/>
      <c r="AI1816" s="49"/>
    </row>
    <row r="1817" spans="1:35">
      <c r="A1817" s="23"/>
      <c r="B1817" s="42"/>
      <c r="C1817" s="49"/>
      <c r="E1817" s="49"/>
      <c r="G1817" s="43"/>
      <c r="H1817" s="44"/>
      <c r="L1817" s="42"/>
      <c r="M1817" s="42"/>
      <c r="N1817" s="25"/>
      <c r="O1817" s="54"/>
      <c r="P1817"/>
      <c r="Q1817" s="25"/>
      <c r="R1817" s="54"/>
      <c r="W1817" s="23"/>
      <c r="X1817" s="23"/>
      <c r="Y1817" s="23"/>
      <c r="Z1817" s="43"/>
      <c r="AA1817" s="23"/>
      <c r="AB1817" s="23"/>
      <c r="AC1817" s="23"/>
      <c r="AD1817" s="23"/>
      <c r="AE1817" s="23"/>
      <c r="AF1817" s="23"/>
      <c r="AG1817" s="23"/>
      <c r="AH1817" s="23"/>
      <c r="AI1817" s="49"/>
    </row>
    <row r="1818" spans="1:35">
      <c r="A1818" s="23"/>
      <c r="B1818" s="42"/>
      <c r="C1818" s="49"/>
      <c r="E1818" s="49"/>
      <c r="G1818" s="43"/>
      <c r="H1818" s="44"/>
      <c r="L1818" s="42"/>
      <c r="M1818" s="42"/>
      <c r="N1818" s="25"/>
      <c r="O1818" s="54"/>
      <c r="P1818"/>
      <c r="Q1818" s="25"/>
      <c r="R1818" s="54"/>
      <c r="W1818" s="23"/>
      <c r="X1818" s="23"/>
      <c r="Y1818" s="23"/>
      <c r="Z1818" s="43"/>
      <c r="AA1818" s="23"/>
      <c r="AB1818" s="23"/>
      <c r="AC1818" s="23"/>
      <c r="AD1818" s="23"/>
      <c r="AE1818" s="23"/>
      <c r="AF1818" s="23"/>
      <c r="AG1818" s="23"/>
      <c r="AH1818" s="23"/>
      <c r="AI1818" s="49"/>
    </row>
    <row r="1819" spans="1:35">
      <c r="A1819" s="23"/>
      <c r="B1819" s="42"/>
      <c r="C1819" s="49"/>
      <c r="E1819" s="49"/>
      <c r="G1819" s="43"/>
      <c r="H1819" s="44"/>
      <c r="L1819" s="42"/>
      <c r="M1819" s="42"/>
      <c r="N1819" s="25"/>
      <c r="O1819" s="54"/>
      <c r="P1819"/>
      <c r="Q1819" s="25"/>
      <c r="R1819" s="54"/>
      <c r="W1819" s="23"/>
      <c r="X1819" s="23"/>
      <c r="Y1819" s="23"/>
      <c r="Z1819" s="43"/>
      <c r="AA1819" s="23"/>
      <c r="AB1819" s="23"/>
      <c r="AC1819" s="23"/>
      <c r="AD1819" s="23"/>
      <c r="AE1819" s="23"/>
      <c r="AF1819" s="23"/>
      <c r="AG1819" s="23"/>
      <c r="AH1819" s="23"/>
      <c r="AI1819" s="49"/>
    </row>
    <row r="1820" spans="1:35">
      <c r="A1820" s="23"/>
      <c r="B1820" s="42"/>
      <c r="C1820" s="49"/>
      <c r="E1820" s="49"/>
      <c r="G1820" s="43"/>
      <c r="H1820" s="44"/>
      <c r="L1820" s="42"/>
      <c r="M1820" s="42"/>
      <c r="N1820" s="25"/>
      <c r="O1820" s="54"/>
      <c r="P1820"/>
      <c r="Q1820" s="25"/>
      <c r="R1820" s="54"/>
      <c r="W1820" s="23"/>
      <c r="X1820" s="23"/>
      <c r="Y1820" s="23"/>
      <c r="Z1820" s="43"/>
      <c r="AA1820" s="23"/>
      <c r="AB1820" s="23"/>
      <c r="AC1820" s="23"/>
      <c r="AD1820" s="23"/>
      <c r="AE1820" s="23"/>
      <c r="AF1820" s="23"/>
      <c r="AG1820" s="23"/>
      <c r="AH1820" s="23"/>
      <c r="AI1820" s="49"/>
    </row>
    <row r="1821" spans="1:35">
      <c r="A1821" s="23"/>
      <c r="B1821" s="42"/>
      <c r="C1821" s="49"/>
      <c r="E1821" s="49"/>
      <c r="G1821" s="43"/>
      <c r="H1821" s="44"/>
      <c r="L1821" s="42"/>
      <c r="M1821" s="42"/>
      <c r="N1821" s="25"/>
      <c r="O1821" s="54"/>
      <c r="P1821"/>
      <c r="Q1821" s="25"/>
      <c r="R1821" s="54"/>
      <c r="W1821" s="23"/>
      <c r="X1821" s="23"/>
      <c r="Y1821" s="23"/>
      <c r="Z1821" s="43"/>
      <c r="AA1821" s="23"/>
      <c r="AB1821" s="23"/>
      <c r="AC1821" s="23"/>
      <c r="AD1821" s="23"/>
      <c r="AE1821" s="23"/>
      <c r="AF1821" s="23"/>
      <c r="AG1821" s="23"/>
      <c r="AH1821" s="23"/>
      <c r="AI1821" s="49"/>
    </row>
    <row r="1822" spans="1:35">
      <c r="A1822" s="23"/>
      <c r="B1822" s="42"/>
      <c r="C1822" s="49"/>
      <c r="E1822" s="49"/>
      <c r="G1822" s="43"/>
      <c r="H1822" s="44"/>
      <c r="L1822" s="42"/>
      <c r="M1822" s="42"/>
      <c r="N1822" s="25"/>
      <c r="O1822" s="54"/>
      <c r="P1822"/>
      <c r="Q1822" s="25"/>
      <c r="R1822" s="54"/>
      <c r="W1822" s="23"/>
      <c r="X1822" s="23"/>
      <c r="Y1822" s="23"/>
      <c r="Z1822" s="43"/>
      <c r="AA1822" s="23"/>
      <c r="AB1822" s="23"/>
      <c r="AC1822" s="23"/>
      <c r="AD1822" s="23"/>
      <c r="AE1822" s="23"/>
      <c r="AF1822" s="23"/>
      <c r="AG1822" s="23"/>
      <c r="AH1822" s="23"/>
      <c r="AI1822" s="49"/>
    </row>
    <row r="1823" spans="1:35">
      <c r="A1823" s="23"/>
      <c r="B1823" s="42"/>
      <c r="C1823" s="49"/>
      <c r="E1823" s="49"/>
      <c r="G1823" s="43"/>
      <c r="H1823" s="44"/>
      <c r="L1823" s="42"/>
      <c r="M1823" s="42"/>
      <c r="N1823" s="25"/>
      <c r="O1823" s="54"/>
      <c r="P1823"/>
      <c r="Q1823" s="25"/>
      <c r="R1823" s="54"/>
      <c r="W1823" s="23"/>
      <c r="X1823" s="23"/>
      <c r="Y1823" s="23"/>
      <c r="Z1823" s="43"/>
      <c r="AA1823" s="23"/>
      <c r="AB1823" s="23"/>
      <c r="AC1823" s="23"/>
      <c r="AD1823" s="23"/>
      <c r="AE1823" s="23"/>
      <c r="AF1823" s="23"/>
      <c r="AG1823" s="23"/>
      <c r="AH1823" s="23"/>
      <c r="AI1823" s="49"/>
    </row>
    <row r="1824" spans="1:35">
      <c r="A1824" s="23"/>
      <c r="B1824" s="42"/>
      <c r="C1824" s="49"/>
      <c r="E1824" s="49"/>
      <c r="G1824" s="43"/>
      <c r="H1824" s="44"/>
      <c r="L1824" s="42"/>
      <c r="M1824" s="42"/>
      <c r="N1824" s="25"/>
      <c r="O1824" s="54"/>
      <c r="P1824"/>
      <c r="Q1824" s="25"/>
      <c r="R1824" s="54"/>
      <c r="W1824" s="23"/>
      <c r="X1824" s="23"/>
      <c r="Y1824" s="23"/>
      <c r="Z1824" s="43"/>
      <c r="AA1824" s="23"/>
      <c r="AB1824" s="23"/>
      <c r="AC1824" s="23"/>
      <c r="AD1824" s="23"/>
      <c r="AE1824" s="23"/>
      <c r="AF1824" s="23"/>
      <c r="AG1824" s="23"/>
      <c r="AH1824" s="23"/>
      <c r="AI1824" s="49"/>
    </row>
    <row r="1825" spans="1:35">
      <c r="A1825" s="23"/>
      <c r="B1825" s="42"/>
      <c r="C1825" s="49"/>
      <c r="E1825" s="49"/>
      <c r="G1825" s="43"/>
      <c r="H1825" s="44"/>
      <c r="L1825" s="42"/>
      <c r="M1825" s="42"/>
      <c r="N1825" s="25"/>
      <c r="O1825" s="54"/>
      <c r="P1825"/>
      <c r="Q1825" s="25"/>
      <c r="R1825" s="54"/>
      <c r="W1825" s="23"/>
      <c r="X1825" s="23"/>
      <c r="Y1825" s="23"/>
      <c r="Z1825" s="43"/>
      <c r="AA1825" s="23"/>
      <c r="AB1825" s="23"/>
      <c r="AC1825" s="23"/>
      <c r="AD1825" s="23"/>
      <c r="AE1825" s="23"/>
      <c r="AF1825" s="23"/>
      <c r="AG1825" s="23"/>
      <c r="AH1825" s="23"/>
      <c r="AI1825" s="49"/>
    </row>
    <row r="1826" spans="1:35">
      <c r="A1826" s="23"/>
      <c r="B1826" s="42"/>
      <c r="C1826" s="49"/>
      <c r="E1826" s="49"/>
      <c r="G1826" s="43"/>
      <c r="H1826" s="44"/>
      <c r="L1826" s="42"/>
      <c r="M1826" s="42"/>
      <c r="N1826" s="25"/>
      <c r="O1826" s="54"/>
      <c r="P1826"/>
      <c r="Q1826" s="25"/>
      <c r="R1826" s="54"/>
      <c r="W1826" s="23"/>
      <c r="X1826" s="23"/>
      <c r="Y1826" s="23"/>
      <c r="Z1826" s="43"/>
      <c r="AA1826" s="23"/>
      <c r="AB1826" s="23"/>
      <c r="AC1826" s="23"/>
      <c r="AD1826" s="23"/>
      <c r="AE1826" s="23"/>
      <c r="AF1826" s="23"/>
      <c r="AG1826" s="23"/>
      <c r="AH1826" s="23"/>
      <c r="AI1826" s="49"/>
    </row>
    <row r="1827" spans="1:35">
      <c r="A1827" s="23"/>
      <c r="B1827" s="42"/>
      <c r="C1827" s="49"/>
      <c r="E1827" s="49"/>
      <c r="G1827" s="43"/>
      <c r="H1827" s="44"/>
      <c r="L1827" s="42"/>
      <c r="M1827" s="42"/>
      <c r="N1827" s="25"/>
      <c r="O1827" s="54"/>
      <c r="P1827"/>
      <c r="Q1827" s="25"/>
      <c r="R1827" s="54"/>
      <c r="W1827" s="23"/>
      <c r="X1827" s="23"/>
      <c r="Y1827" s="23"/>
      <c r="Z1827" s="43"/>
      <c r="AA1827" s="23"/>
      <c r="AB1827" s="23"/>
      <c r="AC1827" s="23"/>
      <c r="AD1827" s="23"/>
      <c r="AE1827" s="23"/>
      <c r="AF1827" s="23"/>
      <c r="AG1827" s="23"/>
      <c r="AH1827" s="23"/>
      <c r="AI1827" s="49"/>
    </row>
    <row r="1828" spans="1:35">
      <c r="A1828" s="23"/>
      <c r="B1828" s="42"/>
      <c r="C1828" s="49"/>
      <c r="E1828" s="49"/>
      <c r="G1828" s="43"/>
      <c r="H1828" s="44"/>
      <c r="L1828" s="42"/>
      <c r="M1828" s="42"/>
      <c r="N1828" s="25"/>
      <c r="O1828" s="54"/>
      <c r="P1828"/>
      <c r="Q1828" s="25"/>
      <c r="R1828" s="54"/>
      <c r="W1828" s="23"/>
      <c r="X1828" s="23"/>
      <c r="Y1828" s="23"/>
      <c r="Z1828" s="43"/>
      <c r="AA1828" s="23"/>
      <c r="AB1828" s="23"/>
      <c r="AC1828" s="23"/>
      <c r="AD1828" s="23"/>
      <c r="AE1828" s="23"/>
      <c r="AF1828" s="23"/>
      <c r="AG1828" s="23"/>
      <c r="AH1828" s="23"/>
      <c r="AI1828" s="49"/>
    </row>
    <row r="1829" spans="1:35">
      <c r="A1829" s="23"/>
      <c r="B1829" s="42"/>
      <c r="C1829" s="49"/>
      <c r="E1829" s="49"/>
      <c r="G1829" s="43"/>
      <c r="H1829" s="44"/>
      <c r="L1829" s="42"/>
      <c r="M1829" s="42"/>
      <c r="N1829" s="25"/>
      <c r="O1829" s="54"/>
      <c r="P1829"/>
      <c r="Q1829" s="25"/>
      <c r="R1829" s="54"/>
      <c r="W1829" s="23"/>
      <c r="X1829" s="23"/>
      <c r="Y1829" s="23"/>
      <c r="Z1829" s="43"/>
      <c r="AA1829" s="23"/>
      <c r="AB1829" s="23"/>
      <c r="AC1829" s="23"/>
      <c r="AD1829" s="23"/>
      <c r="AE1829" s="23"/>
      <c r="AF1829" s="23"/>
      <c r="AG1829" s="23"/>
      <c r="AH1829" s="23"/>
      <c r="AI1829" s="49"/>
    </row>
    <row r="1830" spans="1:35">
      <c r="A1830" s="23"/>
      <c r="B1830" s="42"/>
      <c r="C1830" s="49"/>
      <c r="E1830" s="49"/>
      <c r="G1830" s="43"/>
      <c r="H1830" s="44"/>
      <c r="L1830" s="42"/>
      <c r="M1830" s="42"/>
      <c r="N1830" s="25"/>
      <c r="O1830" s="54"/>
      <c r="P1830"/>
      <c r="Q1830" s="25"/>
      <c r="R1830" s="54"/>
      <c r="W1830" s="23"/>
      <c r="X1830" s="23"/>
      <c r="Y1830" s="23"/>
      <c r="Z1830" s="43"/>
      <c r="AA1830" s="23"/>
      <c r="AB1830" s="23"/>
      <c r="AC1830" s="23"/>
      <c r="AD1830" s="23"/>
      <c r="AE1830" s="23"/>
      <c r="AF1830" s="23"/>
      <c r="AG1830" s="23"/>
      <c r="AH1830" s="23"/>
      <c r="AI1830" s="49"/>
    </row>
    <row r="1831" spans="1:35">
      <c r="A1831" s="23"/>
      <c r="B1831" s="42"/>
      <c r="C1831" s="49"/>
      <c r="E1831" s="49"/>
      <c r="G1831" s="43"/>
      <c r="H1831" s="44"/>
      <c r="L1831" s="42"/>
      <c r="M1831" s="42"/>
      <c r="N1831" s="25"/>
      <c r="O1831" s="54"/>
      <c r="P1831"/>
      <c r="Q1831" s="25"/>
      <c r="R1831" s="54"/>
      <c r="W1831" s="23"/>
      <c r="X1831" s="23"/>
      <c r="Y1831" s="23"/>
      <c r="Z1831" s="43"/>
      <c r="AA1831" s="23"/>
      <c r="AB1831" s="23"/>
      <c r="AC1831" s="23"/>
      <c r="AD1831" s="23"/>
      <c r="AE1831" s="23"/>
      <c r="AF1831" s="23"/>
      <c r="AG1831" s="23"/>
      <c r="AH1831" s="23"/>
      <c r="AI1831" s="49"/>
    </row>
    <row r="1832" spans="1:35">
      <c r="A1832" s="23"/>
      <c r="B1832" s="42"/>
      <c r="C1832" s="49"/>
      <c r="E1832" s="49"/>
      <c r="G1832" s="43"/>
      <c r="H1832" s="44"/>
      <c r="L1832" s="42"/>
      <c r="M1832" s="42"/>
      <c r="N1832" s="25"/>
      <c r="O1832" s="54"/>
      <c r="P1832"/>
      <c r="Q1832" s="25"/>
      <c r="R1832" s="54"/>
      <c r="W1832" s="23"/>
      <c r="X1832" s="23"/>
      <c r="Y1832" s="23"/>
      <c r="Z1832" s="43"/>
      <c r="AA1832" s="23"/>
      <c r="AB1832" s="23"/>
      <c r="AC1832" s="23"/>
      <c r="AD1832" s="23"/>
      <c r="AE1832" s="23"/>
      <c r="AF1832" s="23"/>
      <c r="AG1832" s="23"/>
      <c r="AH1832" s="23"/>
      <c r="AI1832" s="49"/>
    </row>
    <row r="1833" spans="1:35">
      <c r="A1833" s="23"/>
      <c r="B1833" s="42"/>
      <c r="C1833" s="49"/>
      <c r="E1833" s="49"/>
      <c r="G1833" s="43"/>
      <c r="H1833" s="44"/>
      <c r="L1833" s="42"/>
      <c r="M1833" s="42"/>
      <c r="N1833" s="25"/>
      <c r="O1833" s="54"/>
      <c r="P1833"/>
      <c r="Q1833" s="25"/>
      <c r="R1833" s="54"/>
      <c r="W1833" s="23"/>
      <c r="X1833" s="23"/>
      <c r="Y1833" s="23"/>
      <c r="Z1833" s="43"/>
      <c r="AA1833" s="23"/>
      <c r="AB1833" s="23"/>
      <c r="AC1833" s="23"/>
      <c r="AD1833" s="23"/>
      <c r="AE1833" s="23"/>
      <c r="AF1833" s="23"/>
      <c r="AG1833" s="23"/>
      <c r="AH1833" s="23"/>
      <c r="AI1833" s="49"/>
    </row>
    <row r="1834" spans="1:35">
      <c r="A1834" s="23"/>
      <c r="B1834" s="42"/>
      <c r="C1834" s="49"/>
      <c r="E1834" s="49"/>
      <c r="G1834" s="43"/>
      <c r="H1834" s="44"/>
      <c r="L1834" s="42"/>
      <c r="M1834" s="42"/>
      <c r="N1834" s="25"/>
      <c r="O1834" s="54"/>
      <c r="P1834"/>
      <c r="Q1834" s="25"/>
      <c r="R1834" s="54"/>
      <c r="W1834" s="23"/>
      <c r="X1834" s="23"/>
      <c r="Y1834" s="23"/>
      <c r="Z1834" s="43"/>
      <c r="AA1834" s="23"/>
      <c r="AB1834" s="23"/>
      <c r="AC1834" s="23"/>
      <c r="AD1834" s="23"/>
      <c r="AE1834" s="23"/>
      <c r="AF1834" s="23"/>
      <c r="AG1834" s="23"/>
      <c r="AH1834" s="23"/>
      <c r="AI1834" s="49"/>
    </row>
    <row r="1835" spans="1:35">
      <c r="A1835" s="23"/>
      <c r="B1835" s="42"/>
      <c r="C1835" s="49"/>
      <c r="E1835" s="49"/>
      <c r="G1835" s="43"/>
      <c r="H1835" s="44"/>
      <c r="L1835" s="42"/>
      <c r="M1835" s="42"/>
      <c r="N1835" s="25"/>
      <c r="O1835" s="54"/>
      <c r="P1835"/>
      <c r="Q1835" s="25"/>
      <c r="R1835" s="54"/>
      <c r="W1835" s="23"/>
      <c r="X1835" s="23"/>
      <c r="Y1835" s="23"/>
      <c r="Z1835" s="43"/>
      <c r="AA1835" s="23"/>
      <c r="AB1835" s="23"/>
      <c r="AC1835" s="23"/>
      <c r="AD1835" s="23"/>
      <c r="AE1835" s="23"/>
      <c r="AF1835" s="23"/>
      <c r="AG1835" s="23"/>
      <c r="AH1835" s="23"/>
      <c r="AI1835" s="49"/>
    </row>
    <row r="1836" spans="1:35">
      <c r="A1836" s="23"/>
      <c r="B1836" s="42"/>
      <c r="C1836" s="49"/>
      <c r="E1836" s="49"/>
      <c r="G1836" s="43"/>
      <c r="H1836" s="44"/>
      <c r="L1836" s="42"/>
      <c r="M1836" s="42"/>
      <c r="N1836" s="25"/>
      <c r="O1836" s="54"/>
      <c r="P1836"/>
      <c r="Q1836" s="25"/>
      <c r="R1836" s="54"/>
      <c r="W1836" s="23"/>
      <c r="X1836" s="23"/>
      <c r="Y1836" s="23"/>
      <c r="Z1836" s="43"/>
      <c r="AA1836" s="23"/>
      <c r="AB1836" s="23"/>
      <c r="AC1836" s="23"/>
      <c r="AD1836" s="23"/>
      <c r="AE1836" s="23"/>
      <c r="AF1836" s="23"/>
      <c r="AG1836" s="23"/>
      <c r="AH1836" s="23"/>
      <c r="AI1836" s="49"/>
    </row>
    <row r="1837" spans="1:35">
      <c r="A1837" s="23"/>
      <c r="B1837" s="42"/>
      <c r="C1837" s="49"/>
      <c r="E1837" s="49"/>
      <c r="G1837" s="43"/>
      <c r="H1837" s="44"/>
      <c r="L1837" s="42"/>
      <c r="M1837" s="42"/>
      <c r="N1837" s="25"/>
      <c r="O1837" s="54"/>
      <c r="P1837"/>
      <c r="Q1837" s="25"/>
      <c r="R1837" s="54"/>
      <c r="W1837" s="23"/>
      <c r="X1837" s="23"/>
      <c r="Y1837" s="23"/>
      <c r="Z1837" s="43"/>
      <c r="AA1837" s="23"/>
      <c r="AB1837" s="23"/>
      <c r="AC1837" s="23"/>
      <c r="AD1837" s="23"/>
      <c r="AE1837" s="23"/>
      <c r="AF1837" s="23"/>
      <c r="AG1837" s="23"/>
      <c r="AH1837" s="23"/>
      <c r="AI1837" s="49"/>
    </row>
    <row r="1838" spans="1:35">
      <c r="A1838" s="23"/>
      <c r="B1838" s="42"/>
      <c r="C1838" s="49"/>
      <c r="E1838" s="49"/>
      <c r="G1838" s="43"/>
      <c r="H1838" s="44"/>
      <c r="L1838" s="42"/>
      <c r="M1838" s="42"/>
      <c r="N1838" s="25"/>
      <c r="O1838" s="54"/>
      <c r="P1838"/>
      <c r="Q1838" s="25"/>
      <c r="R1838" s="54"/>
      <c r="W1838" s="23"/>
      <c r="X1838" s="23"/>
      <c r="Y1838" s="23"/>
      <c r="Z1838" s="43"/>
      <c r="AA1838" s="23"/>
      <c r="AB1838" s="23"/>
      <c r="AC1838" s="23"/>
      <c r="AD1838" s="23"/>
      <c r="AE1838" s="23"/>
      <c r="AF1838" s="23"/>
      <c r="AG1838" s="23"/>
      <c r="AH1838" s="23"/>
      <c r="AI1838" s="49"/>
    </row>
    <row r="1839" spans="1:35">
      <c r="A1839" s="23"/>
      <c r="B1839" s="42"/>
      <c r="C1839" s="49"/>
      <c r="E1839" s="49"/>
      <c r="G1839" s="43"/>
      <c r="H1839" s="44"/>
      <c r="L1839" s="42"/>
      <c r="M1839" s="42"/>
      <c r="N1839" s="25"/>
      <c r="O1839" s="54"/>
      <c r="P1839"/>
      <c r="Q1839" s="25"/>
      <c r="R1839" s="54"/>
      <c r="W1839" s="23"/>
      <c r="X1839" s="23"/>
      <c r="Y1839" s="23"/>
      <c r="Z1839" s="43"/>
      <c r="AA1839" s="23"/>
      <c r="AB1839" s="23"/>
      <c r="AC1839" s="23"/>
      <c r="AD1839" s="23"/>
      <c r="AE1839" s="23"/>
      <c r="AF1839" s="23"/>
      <c r="AG1839" s="23"/>
      <c r="AH1839" s="23"/>
      <c r="AI1839" s="49"/>
    </row>
    <row r="1840" spans="1:35">
      <c r="A1840" s="23"/>
      <c r="B1840" s="42"/>
      <c r="C1840" s="49"/>
      <c r="E1840" s="49"/>
      <c r="G1840" s="43"/>
      <c r="H1840" s="44"/>
      <c r="L1840" s="42"/>
      <c r="M1840" s="42"/>
      <c r="N1840" s="25"/>
      <c r="O1840" s="54"/>
      <c r="P1840"/>
      <c r="Q1840" s="25"/>
      <c r="R1840" s="54"/>
      <c r="W1840" s="23"/>
      <c r="X1840" s="23"/>
      <c r="Y1840" s="23"/>
      <c r="Z1840" s="43"/>
      <c r="AA1840" s="23"/>
      <c r="AB1840" s="23"/>
      <c r="AC1840" s="23"/>
      <c r="AD1840" s="23"/>
      <c r="AE1840" s="23"/>
      <c r="AF1840" s="23"/>
      <c r="AG1840" s="23"/>
      <c r="AH1840" s="23"/>
      <c r="AI1840" s="49"/>
    </row>
    <row r="1841" spans="1:35">
      <c r="A1841" s="23"/>
      <c r="B1841" s="42"/>
      <c r="C1841" s="49"/>
      <c r="E1841" s="49"/>
      <c r="G1841" s="43"/>
      <c r="H1841" s="44"/>
      <c r="L1841" s="42"/>
      <c r="M1841" s="42"/>
      <c r="N1841" s="25"/>
      <c r="O1841" s="54"/>
      <c r="P1841"/>
      <c r="Q1841" s="25"/>
      <c r="R1841" s="54"/>
      <c r="W1841" s="23"/>
      <c r="X1841" s="23"/>
      <c r="Y1841" s="23"/>
      <c r="Z1841" s="43"/>
      <c r="AA1841" s="23"/>
      <c r="AB1841" s="23"/>
      <c r="AC1841" s="23"/>
      <c r="AD1841" s="23"/>
      <c r="AE1841" s="23"/>
      <c r="AF1841" s="23"/>
      <c r="AG1841" s="23"/>
      <c r="AH1841" s="23"/>
      <c r="AI1841" s="49"/>
    </row>
    <row r="1842" spans="1:35">
      <c r="A1842" s="23"/>
      <c r="B1842" s="42"/>
      <c r="C1842" s="49"/>
      <c r="E1842" s="49"/>
      <c r="G1842" s="43"/>
      <c r="H1842" s="44"/>
      <c r="L1842" s="42"/>
      <c r="M1842" s="42"/>
      <c r="N1842" s="25"/>
      <c r="O1842" s="54"/>
      <c r="P1842"/>
      <c r="Q1842" s="25"/>
      <c r="R1842" s="54"/>
      <c r="W1842" s="23"/>
      <c r="X1842" s="23"/>
      <c r="Y1842" s="23"/>
      <c r="Z1842" s="43"/>
      <c r="AA1842" s="23"/>
      <c r="AB1842" s="23"/>
      <c r="AC1842" s="23"/>
      <c r="AD1842" s="23"/>
      <c r="AE1842" s="23"/>
      <c r="AF1842" s="23"/>
      <c r="AG1842" s="23"/>
      <c r="AH1842" s="23"/>
      <c r="AI1842" s="49"/>
    </row>
    <row r="1843" spans="1:35">
      <c r="A1843" s="23"/>
      <c r="B1843" s="42"/>
      <c r="C1843" s="49"/>
      <c r="E1843" s="49"/>
      <c r="G1843" s="43"/>
      <c r="H1843" s="44"/>
      <c r="L1843" s="42"/>
      <c r="M1843" s="42"/>
      <c r="N1843" s="25"/>
      <c r="O1843" s="54"/>
      <c r="P1843"/>
      <c r="Q1843" s="25"/>
      <c r="R1843" s="54"/>
      <c r="W1843" s="23"/>
      <c r="X1843" s="23"/>
      <c r="Y1843" s="23"/>
      <c r="Z1843" s="43"/>
      <c r="AA1843" s="23"/>
      <c r="AB1843" s="23"/>
      <c r="AC1843" s="23"/>
      <c r="AD1843" s="23"/>
      <c r="AE1843" s="23"/>
      <c r="AF1843" s="23"/>
      <c r="AG1843" s="23"/>
      <c r="AH1843" s="23"/>
      <c r="AI1843" s="49"/>
    </row>
    <row r="1844" spans="1:35">
      <c r="A1844" s="23"/>
      <c r="B1844" s="42"/>
      <c r="C1844" s="49"/>
      <c r="E1844" s="49"/>
      <c r="G1844" s="43"/>
      <c r="H1844" s="44"/>
      <c r="L1844" s="42"/>
      <c r="M1844" s="42"/>
      <c r="N1844" s="25"/>
      <c r="O1844" s="54"/>
      <c r="P1844"/>
      <c r="Q1844" s="25"/>
      <c r="R1844" s="54"/>
      <c r="W1844" s="23"/>
      <c r="X1844" s="23"/>
      <c r="Y1844" s="23"/>
      <c r="Z1844" s="43"/>
      <c r="AA1844" s="23"/>
      <c r="AB1844" s="23"/>
      <c r="AC1844" s="23"/>
      <c r="AD1844" s="23"/>
      <c r="AE1844" s="23"/>
      <c r="AF1844" s="23"/>
      <c r="AG1844" s="23"/>
      <c r="AH1844" s="23"/>
      <c r="AI1844" s="49"/>
    </row>
    <row r="1845" spans="1:35">
      <c r="A1845" s="23"/>
      <c r="B1845" s="42"/>
      <c r="C1845" s="49"/>
      <c r="E1845" s="49"/>
      <c r="G1845" s="43"/>
      <c r="H1845" s="44"/>
      <c r="L1845" s="42"/>
      <c r="M1845" s="42"/>
      <c r="N1845" s="25"/>
      <c r="O1845" s="54"/>
      <c r="P1845"/>
      <c r="Q1845" s="25"/>
      <c r="R1845" s="54"/>
      <c r="W1845" s="23"/>
      <c r="X1845" s="23"/>
      <c r="Y1845" s="23"/>
      <c r="Z1845" s="43"/>
      <c r="AA1845" s="23"/>
      <c r="AB1845" s="23"/>
      <c r="AC1845" s="23"/>
      <c r="AD1845" s="23"/>
      <c r="AE1845" s="23"/>
      <c r="AF1845" s="23"/>
      <c r="AG1845" s="23"/>
      <c r="AH1845" s="23"/>
      <c r="AI1845" s="49"/>
    </row>
    <row r="1846" spans="1:35">
      <c r="A1846" s="23"/>
      <c r="B1846" s="42"/>
      <c r="C1846" s="49"/>
      <c r="E1846" s="49"/>
      <c r="G1846" s="43"/>
      <c r="H1846" s="44"/>
      <c r="L1846" s="42"/>
      <c r="M1846" s="42"/>
      <c r="N1846" s="25"/>
      <c r="O1846" s="54"/>
      <c r="P1846"/>
      <c r="Q1846" s="25"/>
      <c r="R1846" s="54"/>
      <c r="W1846" s="23"/>
      <c r="X1846" s="23"/>
      <c r="Y1846" s="23"/>
      <c r="Z1846" s="43"/>
      <c r="AA1846" s="23"/>
      <c r="AB1846" s="23"/>
      <c r="AC1846" s="23"/>
      <c r="AD1846" s="23"/>
      <c r="AE1846" s="23"/>
      <c r="AF1846" s="23"/>
      <c r="AG1846" s="23"/>
      <c r="AH1846" s="23"/>
      <c r="AI1846" s="49"/>
    </row>
    <row r="1847" spans="1:35">
      <c r="A1847" s="23"/>
      <c r="B1847" s="42"/>
      <c r="C1847" s="49"/>
      <c r="E1847" s="49"/>
      <c r="G1847" s="43"/>
      <c r="H1847" s="44"/>
      <c r="L1847" s="42"/>
      <c r="M1847" s="42"/>
      <c r="N1847" s="25"/>
      <c r="O1847" s="54"/>
      <c r="P1847"/>
      <c r="Q1847" s="25"/>
      <c r="R1847" s="54"/>
      <c r="W1847" s="23"/>
      <c r="X1847" s="23"/>
      <c r="Y1847" s="23"/>
      <c r="Z1847" s="43"/>
      <c r="AA1847" s="23"/>
      <c r="AB1847" s="23"/>
      <c r="AC1847" s="23"/>
      <c r="AD1847" s="23"/>
      <c r="AE1847" s="23"/>
      <c r="AF1847" s="23"/>
      <c r="AG1847" s="23"/>
      <c r="AH1847" s="23"/>
      <c r="AI1847" s="49"/>
    </row>
    <row r="1848" spans="1:35">
      <c r="A1848" s="23"/>
      <c r="B1848" s="42"/>
      <c r="C1848" s="49"/>
      <c r="E1848" s="49"/>
      <c r="G1848" s="43"/>
      <c r="H1848" s="44"/>
      <c r="L1848" s="42"/>
      <c r="M1848" s="42"/>
      <c r="N1848" s="25"/>
      <c r="O1848" s="54"/>
      <c r="P1848"/>
      <c r="Q1848" s="25"/>
      <c r="R1848" s="54"/>
      <c r="W1848" s="23"/>
      <c r="X1848" s="23"/>
      <c r="Y1848" s="23"/>
      <c r="Z1848" s="43"/>
      <c r="AA1848" s="23"/>
      <c r="AB1848" s="23"/>
      <c r="AC1848" s="23"/>
      <c r="AD1848" s="23"/>
      <c r="AE1848" s="23"/>
      <c r="AF1848" s="23"/>
      <c r="AG1848" s="23"/>
      <c r="AH1848" s="23"/>
      <c r="AI1848" s="49"/>
    </row>
    <row r="1849" spans="1:35">
      <c r="A1849" s="23"/>
      <c r="B1849" s="42"/>
      <c r="C1849" s="49"/>
      <c r="E1849" s="49"/>
      <c r="G1849" s="43"/>
      <c r="H1849" s="44"/>
      <c r="L1849" s="42"/>
      <c r="M1849" s="42"/>
      <c r="N1849" s="25"/>
      <c r="O1849" s="54"/>
      <c r="P1849"/>
      <c r="Q1849" s="25"/>
      <c r="R1849" s="54"/>
      <c r="W1849" s="23"/>
      <c r="X1849" s="23"/>
      <c r="Y1849" s="23"/>
      <c r="Z1849" s="43"/>
      <c r="AA1849" s="23"/>
      <c r="AB1849" s="23"/>
      <c r="AC1849" s="23"/>
      <c r="AD1849" s="23"/>
      <c r="AE1849" s="23"/>
      <c r="AF1849" s="23"/>
      <c r="AG1849" s="23"/>
      <c r="AH1849" s="23"/>
      <c r="AI1849" s="49"/>
    </row>
    <row r="1850" spans="1:35">
      <c r="A1850" s="23"/>
      <c r="B1850" s="42"/>
      <c r="C1850" s="49"/>
      <c r="E1850" s="49"/>
      <c r="G1850" s="43"/>
      <c r="H1850" s="44"/>
      <c r="L1850" s="42"/>
      <c r="M1850" s="42"/>
      <c r="N1850" s="25"/>
      <c r="O1850" s="54"/>
      <c r="P1850"/>
      <c r="Q1850" s="25"/>
      <c r="R1850" s="54"/>
      <c r="W1850" s="23"/>
      <c r="X1850" s="23"/>
      <c r="Y1850" s="23"/>
      <c r="Z1850" s="43"/>
      <c r="AA1850" s="23"/>
      <c r="AB1850" s="23"/>
      <c r="AC1850" s="23"/>
      <c r="AD1850" s="23"/>
      <c r="AE1850" s="23"/>
      <c r="AF1850" s="23"/>
      <c r="AG1850" s="23"/>
      <c r="AH1850" s="23"/>
      <c r="AI1850" s="49"/>
    </row>
    <row r="1851" spans="1:35">
      <c r="A1851" s="23"/>
      <c r="B1851" s="42"/>
      <c r="C1851" s="49"/>
      <c r="E1851" s="49"/>
      <c r="G1851" s="43"/>
      <c r="H1851" s="44"/>
      <c r="L1851" s="42"/>
      <c r="M1851" s="42"/>
      <c r="N1851" s="25"/>
      <c r="O1851" s="54"/>
      <c r="P1851"/>
      <c r="Q1851" s="25"/>
      <c r="R1851" s="54"/>
      <c r="W1851" s="23"/>
      <c r="X1851" s="23"/>
      <c r="Y1851" s="23"/>
      <c r="Z1851" s="43"/>
      <c r="AA1851" s="23"/>
      <c r="AB1851" s="23"/>
      <c r="AC1851" s="23"/>
      <c r="AD1851" s="23"/>
      <c r="AE1851" s="23"/>
      <c r="AF1851" s="23"/>
      <c r="AG1851" s="23"/>
      <c r="AH1851" s="23"/>
      <c r="AI1851" s="49"/>
    </row>
    <row r="1852" spans="1:35">
      <c r="A1852" s="23"/>
      <c r="B1852" s="42"/>
      <c r="C1852" s="49"/>
      <c r="E1852" s="49"/>
      <c r="G1852" s="43"/>
      <c r="H1852" s="44"/>
      <c r="L1852" s="42"/>
      <c r="M1852" s="42"/>
      <c r="N1852" s="25"/>
      <c r="O1852" s="54"/>
      <c r="P1852"/>
      <c r="Q1852" s="25"/>
      <c r="R1852" s="54"/>
      <c r="W1852" s="23"/>
      <c r="X1852" s="23"/>
      <c r="Y1852" s="23"/>
      <c r="Z1852" s="43"/>
      <c r="AA1852" s="23"/>
      <c r="AB1852" s="23"/>
      <c r="AC1852" s="23"/>
      <c r="AD1852" s="23"/>
      <c r="AE1852" s="23"/>
      <c r="AF1852" s="23"/>
      <c r="AG1852" s="23"/>
      <c r="AH1852" s="23"/>
      <c r="AI1852" s="49"/>
    </row>
    <row r="1853" spans="1:35">
      <c r="A1853" s="23"/>
      <c r="B1853" s="42"/>
      <c r="C1853" s="49"/>
      <c r="E1853" s="49"/>
      <c r="G1853" s="43"/>
      <c r="H1853" s="44"/>
      <c r="L1853" s="42"/>
      <c r="M1853" s="42"/>
      <c r="N1853" s="25"/>
      <c r="O1853" s="54"/>
      <c r="P1853"/>
      <c r="Q1853" s="25"/>
      <c r="R1853" s="54"/>
      <c r="W1853" s="23"/>
      <c r="X1853" s="23"/>
      <c r="Y1853" s="23"/>
      <c r="Z1853" s="43"/>
      <c r="AA1853" s="23"/>
      <c r="AB1853" s="23"/>
      <c r="AC1853" s="23"/>
      <c r="AD1853" s="23"/>
      <c r="AE1853" s="23"/>
      <c r="AF1853" s="23"/>
      <c r="AG1853" s="23"/>
      <c r="AH1853" s="23"/>
      <c r="AI1853" s="49"/>
    </row>
    <row r="1854" spans="1:35">
      <c r="A1854" s="23"/>
      <c r="B1854" s="42"/>
      <c r="C1854" s="49"/>
      <c r="E1854" s="49"/>
      <c r="G1854" s="43"/>
      <c r="H1854" s="44"/>
      <c r="L1854" s="42"/>
      <c r="M1854" s="42"/>
      <c r="N1854" s="25"/>
      <c r="O1854" s="54"/>
      <c r="P1854"/>
      <c r="Q1854" s="25"/>
      <c r="R1854" s="54"/>
      <c r="W1854" s="23"/>
      <c r="X1854" s="23"/>
      <c r="Y1854" s="23"/>
      <c r="Z1854" s="43"/>
      <c r="AA1854" s="23"/>
      <c r="AB1854" s="23"/>
      <c r="AC1854" s="23"/>
      <c r="AD1854" s="23"/>
      <c r="AE1854" s="23"/>
      <c r="AF1854" s="23"/>
      <c r="AG1854" s="23"/>
      <c r="AH1854" s="23"/>
      <c r="AI1854" s="49"/>
    </row>
    <row r="1855" spans="1:35">
      <c r="A1855" s="23"/>
      <c r="B1855" s="42"/>
      <c r="C1855" s="49"/>
      <c r="E1855" s="49"/>
      <c r="G1855" s="43"/>
      <c r="H1855" s="44"/>
      <c r="L1855" s="42"/>
      <c r="M1855" s="42"/>
      <c r="N1855" s="25"/>
      <c r="O1855" s="54"/>
      <c r="P1855"/>
      <c r="Q1855" s="25"/>
      <c r="R1855" s="54"/>
      <c r="W1855" s="23"/>
      <c r="X1855" s="23"/>
      <c r="Y1855" s="23"/>
      <c r="Z1855" s="43"/>
      <c r="AA1855" s="23"/>
      <c r="AB1855" s="23"/>
      <c r="AC1855" s="23"/>
      <c r="AD1855" s="23"/>
      <c r="AE1855" s="23"/>
      <c r="AF1855" s="23"/>
      <c r="AG1855" s="23"/>
      <c r="AH1855" s="23"/>
      <c r="AI1855" s="49"/>
    </row>
    <row r="1856" spans="1:35">
      <c r="A1856" s="23"/>
      <c r="B1856" s="42"/>
      <c r="C1856" s="49"/>
      <c r="E1856" s="49"/>
      <c r="G1856" s="43"/>
      <c r="H1856" s="44"/>
      <c r="L1856" s="42"/>
      <c r="M1856" s="42"/>
      <c r="N1856" s="25"/>
      <c r="O1856" s="54"/>
      <c r="P1856"/>
      <c r="Q1856" s="25"/>
      <c r="R1856" s="54"/>
      <c r="W1856" s="23"/>
      <c r="X1856" s="23"/>
      <c r="Y1856" s="23"/>
      <c r="Z1856" s="43"/>
      <c r="AA1856" s="23"/>
      <c r="AB1856" s="23"/>
      <c r="AC1856" s="23"/>
      <c r="AD1856" s="23"/>
      <c r="AE1856" s="23"/>
      <c r="AF1856" s="23"/>
      <c r="AG1856" s="23"/>
      <c r="AH1856" s="23"/>
      <c r="AI1856" s="49"/>
    </row>
    <row r="1857" spans="1:35">
      <c r="A1857" s="23"/>
      <c r="B1857" s="42"/>
      <c r="C1857" s="49"/>
      <c r="E1857" s="49"/>
      <c r="G1857" s="43"/>
      <c r="H1857" s="44"/>
      <c r="L1857" s="42"/>
      <c r="M1857" s="42"/>
      <c r="N1857" s="25"/>
      <c r="O1857" s="54"/>
      <c r="P1857"/>
      <c r="Q1857" s="25"/>
      <c r="R1857" s="54"/>
      <c r="W1857" s="23"/>
      <c r="X1857" s="23"/>
      <c r="Y1857" s="23"/>
      <c r="Z1857" s="43"/>
      <c r="AA1857" s="23"/>
      <c r="AB1857" s="23"/>
      <c r="AC1857" s="23"/>
      <c r="AD1857" s="23"/>
      <c r="AE1857" s="23"/>
      <c r="AF1857" s="23"/>
      <c r="AG1857" s="23"/>
      <c r="AH1857" s="23"/>
      <c r="AI1857" s="49"/>
    </row>
    <row r="1858" spans="1:35">
      <c r="A1858" s="23"/>
      <c r="B1858" s="42"/>
      <c r="C1858" s="49"/>
      <c r="E1858" s="49"/>
      <c r="G1858" s="43"/>
      <c r="H1858" s="44"/>
      <c r="L1858" s="42"/>
      <c r="M1858" s="42"/>
      <c r="N1858" s="25"/>
      <c r="O1858" s="54"/>
      <c r="P1858"/>
      <c r="Q1858" s="25"/>
      <c r="R1858" s="54"/>
      <c r="W1858" s="23"/>
      <c r="X1858" s="23"/>
      <c r="Y1858" s="23"/>
      <c r="Z1858" s="43"/>
      <c r="AA1858" s="23"/>
      <c r="AB1858" s="23"/>
      <c r="AC1858" s="23"/>
      <c r="AD1858" s="23"/>
      <c r="AE1858" s="23"/>
      <c r="AF1858" s="23"/>
      <c r="AG1858" s="23"/>
      <c r="AH1858" s="23"/>
      <c r="AI1858" s="49"/>
    </row>
    <row r="1859" spans="1:35">
      <c r="A1859" s="23"/>
      <c r="B1859" s="42"/>
      <c r="C1859" s="49"/>
      <c r="E1859" s="49"/>
      <c r="G1859" s="43"/>
      <c r="H1859" s="44"/>
      <c r="L1859" s="42"/>
      <c r="M1859" s="42"/>
      <c r="N1859" s="25"/>
      <c r="O1859" s="54"/>
      <c r="P1859"/>
      <c r="Q1859" s="25"/>
      <c r="R1859" s="54"/>
      <c r="W1859" s="23"/>
      <c r="X1859" s="23"/>
      <c r="Y1859" s="23"/>
      <c r="Z1859" s="43"/>
      <c r="AA1859" s="23"/>
      <c r="AB1859" s="23"/>
      <c r="AC1859" s="23"/>
      <c r="AD1859" s="23"/>
      <c r="AE1859" s="23"/>
      <c r="AF1859" s="23"/>
      <c r="AG1859" s="23"/>
      <c r="AH1859" s="23"/>
      <c r="AI1859" s="49"/>
    </row>
    <row r="1860" spans="1:35">
      <c r="A1860" s="23"/>
      <c r="B1860" s="42"/>
      <c r="C1860" s="49"/>
      <c r="E1860" s="49"/>
      <c r="G1860" s="43"/>
      <c r="H1860" s="44"/>
      <c r="L1860" s="42"/>
      <c r="M1860" s="42"/>
      <c r="N1860" s="25"/>
      <c r="O1860" s="54"/>
      <c r="P1860"/>
      <c r="Q1860" s="25"/>
      <c r="R1860" s="54"/>
      <c r="W1860" s="23"/>
      <c r="X1860" s="23"/>
      <c r="Y1860" s="23"/>
      <c r="Z1860" s="43"/>
      <c r="AA1860" s="23"/>
      <c r="AB1860" s="23"/>
      <c r="AC1860" s="23"/>
      <c r="AD1860" s="23"/>
      <c r="AE1860" s="23"/>
      <c r="AF1860" s="23"/>
      <c r="AG1860" s="23"/>
      <c r="AH1860" s="23"/>
      <c r="AI1860" s="49"/>
    </row>
    <row r="1861" spans="1:35">
      <c r="A1861" s="23"/>
      <c r="B1861" s="42"/>
      <c r="C1861" s="49"/>
      <c r="E1861" s="49"/>
      <c r="G1861" s="43"/>
      <c r="H1861" s="44"/>
      <c r="L1861" s="42"/>
      <c r="M1861" s="42"/>
      <c r="N1861" s="25"/>
      <c r="O1861" s="54"/>
      <c r="P1861"/>
      <c r="Q1861" s="25"/>
      <c r="R1861" s="54"/>
      <c r="W1861" s="23"/>
      <c r="X1861" s="23"/>
      <c r="Y1861" s="23"/>
      <c r="Z1861" s="43"/>
      <c r="AA1861" s="23"/>
      <c r="AB1861" s="23"/>
      <c r="AC1861" s="23"/>
      <c r="AD1861" s="23"/>
      <c r="AE1861" s="23"/>
      <c r="AF1861" s="23"/>
      <c r="AG1861" s="23"/>
      <c r="AH1861" s="23"/>
      <c r="AI1861" s="49"/>
    </row>
    <row r="1862" spans="1:35">
      <c r="A1862" s="23"/>
      <c r="B1862" s="42"/>
      <c r="C1862" s="49"/>
      <c r="E1862" s="49"/>
      <c r="G1862" s="43"/>
      <c r="H1862" s="44"/>
      <c r="L1862" s="42"/>
      <c r="M1862" s="42"/>
      <c r="N1862" s="25"/>
      <c r="O1862" s="54"/>
      <c r="P1862"/>
      <c r="Q1862" s="25"/>
      <c r="R1862" s="54"/>
      <c r="W1862" s="23"/>
      <c r="X1862" s="23"/>
      <c r="Y1862" s="23"/>
      <c r="Z1862" s="43"/>
      <c r="AA1862" s="23"/>
      <c r="AB1862" s="23"/>
      <c r="AC1862" s="23"/>
      <c r="AD1862" s="23"/>
      <c r="AE1862" s="23"/>
      <c r="AF1862" s="23"/>
      <c r="AG1862" s="23"/>
      <c r="AH1862" s="23"/>
      <c r="AI1862" s="49"/>
    </row>
    <row r="1863" spans="1:35">
      <c r="A1863" s="23"/>
      <c r="B1863" s="42"/>
      <c r="C1863" s="49"/>
      <c r="E1863" s="49"/>
      <c r="G1863" s="43"/>
      <c r="H1863" s="44"/>
      <c r="L1863" s="42"/>
      <c r="M1863" s="42"/>
      <c r="N1863" s="25"/>
      <c r="O1863" s="54"/>
      <c r="P1863"/>
      <c r="Q1863" s="25"/>
      <c r="R1863" s="54"/>
      <c r="W1863" s="23"/>
      <c r="X1863" s="23"/>
      <c r="Y1863" s="23"/>
      <c r="Z1863" s="43"/>
      <c r="AA1863" s="23"/>
      <c r="AB1863" s="23"/>
      <c r="AC1863" s="23"/>
      <c r="AD1863" s="23"/>
      <c r="AE1863" s="23"/>
      <c r="AF1863" s="23"/>
      <c r="AG1863" s="23"/>
      <c r="AH1863" s="23"/>
      <c r="AI1863" s="49"/>
    </row>
    <row r="1864" spans="1:35">
      <c r="A1864" s="23"/>
      <c r="B1864" s="42"/>
      <c r="C1864" s="49"/>
      <c r="E1864" s="49"/>
      <c r="G1864" s="43"/>
      <c r="H1864" s="44"/>
      <c r="L1864" s="42"/>
      <c r="M1864" s="42"/>
      <c r="N1864" s="25"/>
      <c r="O1864" s="54"/>
      <c r="P1864"/>
      <c r="Q1864" s="25"/>
      <c r="R1864" s="54"/>
      <c r="W1864" s="23"/>
      <c r="X1864" s="23"/>
      <c r="Y1864" s="23"/>
      <c r="Z1864" s="43"/>
      <c r="AA1864" s="23"/>
      <c r="AB1864" s="23"/>
      <c r="AC1864" s="23"/>
      <c r="AD1864" s="23"/>
      <c r="AE1864" s="23"/>
      <c r="AF1864" s="23"/>
      <c r="AG1864" s="23"/>
      <c r="AH1864" s="23"/>
      <c r="AI1864" s="49"/>
    </row>
    <row r="1865" spans="1:35">
      <c r="A1865" s="23"/>
      <c r="B1865" s="42"/>
      <c r="C1865" s="49"/>
      <c r="E1865" s="49"/>
      <c r="G1865" s="43"/>
      <c r="H1865" s="44"/>
      <c r="L1865" s="42"/>
      <c r="M1865" s="42"/>
      <c r="N1865" s="25"/>
      <c r="O1865" s="54"/>
      <c r="P1865"/>
      <c r="Q1865" s="25"/>
      <c r="R1865" s="54"/>
      <c r="W1865" s="23"/>
      <c r="X1865" s="23"/>
      <c r="Y1865" s="23"/>
      <c r="Z1865" s="43"/>
      <c r="AA1865" s="23"/>
      <c r="AB1865" s="23"/>
      <c r="AC1865" s="23"/>
      <c r="AD1865" s="23"/>
      <c r="AE1865" s="23"/>
      <c r="AF1865" s="23"/>
      <c r="AG1865" s="23"/>
      <c r="AH1865" s="23"/>
      <c r="AI1865" s="49"/>
    </row>
    <row r="1866" spans="1:35">
      <c r="A1866" s="23"/>
      <c r="B1866" s="42"/>
      <c r="C1866" s="49"/>
      <c r="E1866" s="49"/>
      <c r="G1866" s="43"/>
      <c r="H1866" s="44"/>
      <c r="L1866" s="42"/>
      <c r="M1866" s="42"/>
      <c r="N1866" s="25"/>
      <c r="O1866" s="54"/>
      <c r="P1866"/>
      <c r="Q1866" s="25"/>
      <c r="R1866" s="54"/>
      <c r="W1866" s="23"/>
      <c r="X1866" s="23"/>
      <c r="Y1866" s="23"/>
      <c r="Z1866" s="43"/>
      <c r="AA1866" s="23"/>
      <c r="AB1866" s="23"/>
      <c r="AC1866" s="23"/>
      <c r="AD1866" s="23"/>
      <c r="AE1866" s="23"/>
      <c r="AF1866" s="23"/>
      <c r="AG1866" s="23"/>
      <c r="AH1866" s="23"/>
      <c r="AI1866" s="49"/>
    </row>
    <row r="1867" spans="1:35">
      <c r="A1867" s="23"/>
      <c r="B1867" s="42"/>
      <c r="C1867" s="49"/>
      <c r="E1867" s="49"/>
      <c r="G1867" s="43"/>
      <c r="H1867" s="44"/>
      <c r="L1867" s="42"/>
      <c r="M1867" s="42"/>
      <c r="N1867" s="25"/>
      <c r="O1867" s="54"/>
      <c r="P1867"/>
      <c r="Q1867" s="25"/>
      <c r="R1867" s="54"/>
      <c r="W1867" s="23"/>
      <c r="X1867" s="23"/>
      <c r="Y1867" s="23"/>
      <c r="Z1867" s="43"/>
      <c r="AA1867" s="23"/>
      <c r="AB1867" s="23"/>
      <c r="AC1867" s="23"/>
      <c r="AD1867" s="23"/>
      <c r="AE1867" s="23"/>
      <c r="AF1867" s="23"/>
      <c r="AG1867" s="23"/>
      <c r="AH1867" s="23"/>
      <c r="AI1867" s="49"/>
    </row>
    <row r="1868" spans="1:35">
      <c r="A1868" s="23"/>
      <c r="B1868" s="42"/>
      <c r="C1868" s="49"/>
      <c r="E1868" s="49"/>
      <c r="G1868" s="43"/>
      <c r="H1868" s="44"/>
      <c r="L1868" s="42"/>
      <c r="M1868" s="42"/>
      <c r="N1868" s="25"/>
      <c r="O1868" s="54"/>
      <c r="P1868"/>
      <c r="Q1868" s="25"/>
      <c r="R1868" s="54"/>
      <c r="W1868" s="23"/>
      <c r="X1868" s="23"/>
      <c r="Y1868" s="23"/>
      <c r="Z1868" s="43"/>
      <c r="AA1868" s="23"/>
      <c r="AB1868" s="23"/>
      <c r="AC1868" s="23"/>
      <c r="AD1868" s="23"/>
      <c r="AE1868" s="23"/>
      <c r="AF1868" s="23"/>
      <c r="AG1868" s="23"/>
      <c r="AH1868" s="23"/>
      <c r="AI1868" s="49"/>
    </row>
    <row r="1869" spans="1:35">
      <c r="A1869" s="23"/>
      <c r="B1869" s="42"/>
      <c r="C1869" s="49"/>
      <c r="E1869" s="49"/>
      <c r="G1869" s="43"/>
      <c r="H1869" s="44"/>
      <c r="L1869" s="42"/>
      <c r="M1869" s="42"/>
      <c r="N1869" s="25"/>
      <c r="O1869" s="54"/>
      <c r="P1869"/>
      <c r="Q1869" s="25"/>
      <c r="R1869" s="54"/>
      <c r="W1869" s="23"/>
      <c r="X1869" s="23"/>
      <c r="Y1869" s="23"/>
      <c r="Z1869" s="43"/>
      <c r="AA1869" s="23"/>
      <c r="AB1869" s="23"/>
      <c r="AC1869" s="23"/>
      <c r="AD1869" s="23"/>
      <c r="AE1869" s="23"/>
      <c r="AF1869" s="23"/>
      <c r="AG1869" s="23"/>
      <c r="AH1869" s="23"/>
      <c r="AI1869" s="49"/>
    </row>
    <row r="1870" spans="1:35">
      <c r="A1870" s="23"/>
      <c r="B1870" s="42"/>
      <c r="C1870" s="49"/>
      <c r="E1870" s="49"/>
      <c r="G1870" s="43"/>
      <c r="H1870" s="44"/>
      <c r="L1870" s="42"/>
      <c r="M1870" s="42"/>
      <c r="N1870" s="25"/>
      <c r="O1870" s="54"/>
      <c r="P1870"/>
      <c r="Q1870" s="25"/>
      <c r="R1870" s="54"/>
      <c r="W1870" s="23"/>
      <c r="X1870" s="23"/>
      <c r="Y1870" s="23"/>
      <c r="Z1870" s="43"/>
      <c r="AA1870" s="23"/>
      <c r="AB1870" s="23"/>
      <c r="AC1870" s="23"/>
      <c r="AD1870" s="23"/>
      <c r="AE1870" s="23"/>
      <c r="AF1870" s="23"/>
      <c r="AG1870" s="23"/>
      <c r="AH1870" s="23"/>
      <c r="AI1870" s="49"/>
    </row>
    <row r="1871" spans="1:35">
      <c r="A1871" s="23"/>
      <c r="B1871" s="42"/>
      <c r="C1871" s="49"/>
      <c r="E1871" s="49"/>
      <c r="G1871" s="43"/>
      <c r="H1871" s="44"/>
      <c r="L1871" s="42"/>
      <c r="M1871" s="42"/>
      <c r="N1871" s="25"/>
      <c r="O1871" s="54"/>
      <c r="P1871"/>
      <c r="Q1871" s="25"/>
      <c r="R1871" s="54"/>
      <c r="W1871" s="23"/>
      <c r="X1871" s="23"/>
      <c r="Y1871" s="23"/>
      <c r="Z1871" s="43"/>
      <c r="AA1871" s="23"/>
      <c r="AB1871" s="23"/>
      <c r="AC1871" s="23"/>
      <c r="AD1871" s="23"/>
      <c r="AE1871" s="23"/>
      <c r="AF1871" s="23"/>
      <c r="AG1871" s="23"/>
      <c r="AH1871" s="23"/>
      <c r="AI1871" s="49"/>
    </row>
    <row r="1872" spans="1:35">
      <c r="A1872" s="23"/>
      <c r="B1872" s="42"/>
      <c r="C1872" s="49"/>
      <c r="E1872" s="49"/>
      <c r="G1872" s="43"/>
      <c r="H1872" s="44"/>
      <c r="L1872" s="42"/>
      <c r="M1872" s="42"/>
      <c r="N1872" s="25"/>
      <c r="O1872" s="54"/>
      <c r="P1872"/>
      <c r="Q1872" s="25"/>
      <c r="R1872" s="54"/>
      <c r="W1872" s="23"/>
      <c r="X1872" s="23"/>
      <c r="Y1872" s="23"/>
      <c r="Z1872" s="43"/>
      <c r="AA1872" s="23"/>
      <c r="AB1872" s="23"/>
      <c r="AC1872" s="23"/>
      <c r="AD1872" s="23"/>
      <c r="AE1872" s="23"/>
      <c r="AF1872" s="23"/>
      <c r="AG1872" s="23"/>
      <c r="AH1872" s="23"/>
      <c r="AI1872" s="49"/>
    </row>
    <row r="1873" spans="1:35">
      <c r="A1873" s="23"/>
      <c r="B1873" s="42"/>
      <c r="C1873" s="49"/>
      <c r="E1873" s="49"/>
      <c r="G1873" s="43"/>
      <c r="H1873" s="44"/>
      <c r="L1873" s="42"/>
      <c r="M1873" s="42"/>
      <c r="N1873" s="25"/>
      <c r="O1873" s="54"/>
      <c r="P1873"/>
      <c r="Q1873" s="25"/>
      <c r="R1873" s="54"/>
      <c r="W1873" s="23"/>
      <c r="X1873" s="23"/>
      <c r="Y1873" s="23"/>
      <c r="Z1873" s="43"/>
      <c r="AA1873" s="23"/>
      <c r="AB1873" s="23"/>
      <c r="AC1873" s="23"/>
      <c r="AD1873" s="23"/>
      <c r="AE1873" s="23"/>
      <c r="AF1873" s="23"/>
      <c r="AG1873" s="23"/>
      <c r="AH1873" s="23"/>
      <c r="AI1873" s="49"/>
    </row>
    <row r="1874" spans="1:35">
      <c r="A1874" s="23"/>
      <c r="B1874" s="42"/>
      <c r="C1874" s="49"/>
      <c r="E1874" s="49"/>
      <c r="G1874" s="43"/>
      <c r="H1874" s="44"/>
      <c r="L1874" s="42"/>
      <c r="M1874" s="42"/>
      <c r="N1874" s="25"/>
      <c r="O1874" s="54"/>
      <c r="P1874"/>
      <c r="Q1874" s="25"/>
      <c r="R1874" s="54"/>
      <c r="W1874" s="23"/>
      <c r="X1874" s="23"/>
      <c r="Y1874" s="23"/>
      <c r="Z1874" s="43"/>
      <c r="AA1874" s="23"/>
      <c r="AB1874" s="23"/>
      <c r="AC1874" s="23"/>
      <c r="AD1874" s="23"/>
      <c r="AE1874" s="23"/>
      <c r="AF1874" s="23"/>
      <c r="AG1874" s="23"/>
      <c r="AH1874" s="23"/>
      <c r="AI1874" s="49"/>
    </row>
    <row r="1875" spans="1:35">
      <c r="A1875" s="23"/>
      <c r="B1875" s="42"/>
      <c r="C1875" s="49"/>
      <c r="E1875" s="49"/>
      <c r="G1875" s="43"/>
      <c r="H1875" s="44"/>
      <c r="L1875" s="42"/>
      <c r="M1875" s="42"/>
      <c r="N1875" s="25"/>
      <c r="O1875" s="54"/>
      <c r="P1875"/>
      <c r="Q1875" s="25"/>
      <c r="R1875" s="54"/>
      <c r="W1875" s="23"/>
      <c r="X1875" s="23"/>
      <c r="Y1875" s="23"/>
      <c r="Z1875" s="43"/>
      <c r="AA1875" s="23"/>
      <c r="AB1875" s="23"/>
      <c r="AC1875" s="23"/>
      <c r="AD1875" s="23"/>
      <c r="AE1875" s="23"/>
      <c r="AF1875" s="23"/>
      <c r="AG1875" s="23"/>
      <c r="AH1875" s="23"/>
      <c r="AI1875" s="49"/>
    </row>
    <row r="1876" spans="1:35">
      <c r="A1876" s="23"/>
      <c r="B1876" s="42"/>
      <c r="C1876" s="49"/>
      <c r="E1876" s="49"/>
      <c r="G1876" s="43"/>
      <c r="H1876" s="44"/>
      <c r="L1876" s="42"/>
      <c r="M1876" s="42"/>
      <c r="N1876" s="25"/>
      <c r="O1876" s="54"/>
      <c r="P1876"/>
      <c r="Q1876" s="25"/>
      <c r="R1876" s="54"/>
      <c r="W1876" s="23"/>
      <c r="X1876" s="23"/>
      <c r="Y1876" s="23"/>
      <c r="Z1876" s="43"/>
      <c r="AA1876" s="23"/>
      <c r="AB1876" s="23"/>
      <c r="AC1876" s="23"/>
      <c r="AD1876" s="23"/>
      <c r="AE1876" s="23"/>
      <c r="AF1876" s="23"/>
      <c r="AG1876" s="23"/>
      <c r="AH1876" s="23"/>
      <c r="AI1876" s="49"/>
    </row>
    <row r="1877" spans="1:35">
      <c r="A1877" s="23"/>
      <c r="B1877" s="42"/>
      <c r="C1877" s="49"/>
      <c r="E1877" s="49"/>
      <c r="G1877" s="43"/>
      <c r="H1877" s="44"/>
      <c r="L1877" s="42"/>
      <c r="M1877" s="42"/>
      <c r="N1877" s="25"/>
      <c r="O1877" s="54"/>
      <c r="P1877"/>
      <c r="Q1877" s="25"/>
      <c r="R1877" s="54"/>
      <c r="W1877" s="23"/>
      <c r="X1877" s="23"/>
      <c r="Y1877" s="23"/>
      <c r="Z1877" s="43"/>
      <c r="AA1877" s="23"/>
      <c r="AB1877" s="23"/>
      <c r="AC1877" s="23"/>
      <c r="AD1877" s="23"/>
      <c r="AE1877" s="23"/>
      <c r="AF1877" s="23"/>
      <c r="AG1877" s="23"/>
      <c r="AH1877" s="23"/>
      <c r="AI1877" s="49"/>
    </row>
    <row r="1878" spans="1:35">
      <c r="A1878" s="23"/>
      <c r="B1878" s="42"/>
      <c r="C1878" s="49"/>
      <c r="E1878" s="49"/>
      <c r="G1878" s="43"/>
      <c r="H1878" s="44"/>
      <c r="L1878" s="42"/>
      <c r="M1878" s="42"/>
      <c r="N1878" s="25"/>
      <c r="O1878" s="54"/>
      <c r="P1878"/>
      <c r="Q1878" s="25"/>
      <c r="R1878" s="54"/>
      <c r="W1878" s="23"/>
      <c r="X1878" s="23"/>
      <c r="Y1878" s="23"/>
      <c r="Z1878" s="43"/>
      <c r="AA1878" s="23"/>
      <c r="AB1878" s="23"/>
      <c r="AC1878" s="23"/>
      <c r="AD1878" s="23"/>
      <c r="AE1878" s="23"/>
      <c r="AF1878" s="23"/>
      <c r="AG1878" s="23"/>
      <c r="AH1878" s="23"/>
      <c r="AI1878" s="49"/>
    </row>
    <row r="1879" spans="1:35">
      <c r="A1879" s="23"/>
      <c r="B1879" s="42"/>
      <c r="C1879" s="49"/>
      <c r="E1879" s="49"/>
      <c r="G1879" s="43"/>
      <c r="H1879" s="44"/>
      <c r="L1879" s="42"/>
      <c r="M1879" s="42"/>
      <c r="N1879" s="25"/>
      <c r="O1879" s="54"/>
      <c r="P1879"/>
      <c r="Q1879" s="25"/>
      <c r="R1879" s="54"/>
      <c r="W1879" s="23"/>
      <c r="X1879" s="23"/>
      <c r="Y1879" s="23"/>
      <c r="Z1879" s="43"/>
      <c r="AA1879" s="23"/>
      <c r="AB1879" s="23"/>
      <c r="AC1879" s="23"/>
      <c r="AD1879" s="23"/>
      <c r="AE1879" s="23"/>
      <c r="AF1879" s="23"/>
      <c r="AG1879" s="23"/>
      <c r="AH1879" s="23"/>
      <c r="AI1879" s="49"/>
    </row>
    <row r="1880" spans="1:35">
      <c r="A1880" s="23"/>
      <c r="B1880" s="42"/>
      <c r="C1880" s="49"/>
      <c r="E1880" s="49"/>
      <c r="G1880" s="43"/>
      <c r="H1880" s="44"/>
      <c r="L1880" s="42"/>
      <c r="M1880" s="42"/>
      <c r="N1880" s="25"/>
      <c r="O1880" s="54"/>
      <c r="P1880"/>
      <c r="Q1880" s="25"/>
      <c r="R1880" s="54"/>
      <c r="W1880" s="23"/>
      <c r="X1880" s="23"/>
      <c r="Y1880" s="23"/>
      <c r="Z1880" s="43"/>
      <c r="AA1880" s="23"/>
      <c r="AB1880" s="23"/>
      <c r="AC1880" s="23"/>
      <c r="AD1880" s="23"/>
      <c r="AE1880" s="23"/>
      <c r="AF1880" s="23"/>
      <c r="AG1880" s="23"/>
      <c r="AH1880" s="23"/>
      <c r="AI1880" s="49"/>
    </row>
    <row r="1881" spans="1:35">
      <c r="A1881" s="23"/>
      <c r="B1881" s="42"/>
      <c r="C1881" s="49"/>
      <c r="E1881" s="49"/>
      <c r="G1881" s="43"/>
      <c r="H1881" s="44"/>
      <c r="L1881" s="42"/>
      <c r="M1881" s="42"/>
      <c r="N1881" s="25"/>
      <c r="O1881" s="54"/>
      <c r="P1881"/>
      <c r="Q1881" s="25"/>
      <c r="R1881" s="54"/>
      <c r="W1881" s="23"/>
      <c r="X1881" s="23"/>
      <c r="Y1881" s="23"/>
      <c r="Z1881" s="43"/>
      <c r="AA1881" s="23"/>
      <c r="AB1881" s="23"/>
      <c r="AC1881" s="23"/>
      <c r="AD1881" s="23"/>
      <c r="AE1881" s="23"/>
      <c r="AF1881" s="23"/>
      <c r="AG1881" s="23"/>
      <c r="AH1881" s="23"/>
      <c r="AI1881" s="49"/>
    </row>
    <row r="1882" spans="1:35">
      <c r="A1882" s="23"/>
      <c r="B1882" s="42"/>
      <c r="C1882" s="49"/>
      <c r="E1882" s="49"/>
      <c r="G1882" s="43"/>
      <c r="H1882" s="44"/>
      <c r="L1882" s="42"/>
      <c r="M1882" s="42"/>
      <c r="N1882" s="25"/>
      <c r="O1882" s="54"/>
      <c r="P1882"/>
      <c r="Q1882" s="25"/>
      <c r="R1882" s="54"/>
      <c r="W1882" s="23"/>
      <c r="X1882" s="23"/>
      <c r="Y1882" s="23"/>
      <c r="Z1882" s="43"/>
      <c r="AA1882" s="23"/>
      <c r="AB1882" s="23"/>
      <c r="AC1882" s="23"/>
      <c r="AD1882" s="23"/>
      <c r="AE1882" s="23"/>
      <c r="AF1882" s="23"/>
      <c r="AG1882" s="23"/>
      <c r="AH1882" s="23"/>
      <c r="AI1882" s="49"/>
    </row>
    <row r="1883" spans="1:35">
      <c r="A1883" s="23"/>
      <c r="B1883" s="42"/>
      <c r="C1883" s="49"/>
      <c r="E1883" s="49"/>
      <c r="G1883" s="43"/>
      <c r="H1883" s="44"/>
      <c r="L1883" s="42"/>
      <c r="M1883" s="42"/>
      <c r="N1883" s="25"/>
      <c r="O1883" s="54"/>
      <c r="P1883"/>
      <c r="Q1883" s="25"/>
      <c r="R1883" s="54"/>
      <c r="W1883" s="23"/>
      <c r="X1883" s="23"/>
      <c r="Y1883" s="23"/>
      <c r="Z1883" s="43"/>
      <c r="AA1883" s="23"/>
      <c r="AB1883" s="23"/>
      <c r="AC1883" s="23"/>
      <c r="AD1883" s="23"/>
      <c r="AE1883" s="23"/>
      <c r="AF1883" s="23"/>
      <c r="AG1883" s="23"/>
      <c r="AH1883" s="23"/>
      <c r="AI1883" s="49"/>
    </row>
    <row r="1884" spans="1:35">
      <c r="A1884" s="23"/>
      <c r="B1884" s="42"/>
      <c r="C1884" s="49"/>
      <c r="E1884" s="49"/>
      <c r="G1884" s="43"/>
      <c r="H1884" s="44"/>
      <c r="L1884" s="42"/>
      <c r="M1884" s="42"/>
      <c r="N1884" s="25"/>
      <c r="O1884" s="54"/>
      <c r="P1884"/>
      <c r="Q1884" s="25"/>
      <c r="R1884" s="54"/>
      <c r="W1884" s="23"/>
      <c r="X1884" s="23"/>
      <c r="Y1884" s="23"/>
      <c r="Z1884" s="43"/>
      <c r="AA1884" s="23"/>
      <c r="AB1884" s="23"/>
      <c r="AC1884" s="23"/>
      <c r="AD1884" s="23"/>
      <c r="AE1884" s="23"/>
      <c r="AF1884" s="23"/>
      <c r="AG1884" s="23"/>
      <c r="AH1884" s="23"/>
      <c r="AI1884" s="49"/>
    </row>
    <row r="1885" spans="1:35">
      <c r="A1885" s="23"/>
      <c r="B1885" s="42"/>
      <c r="C1885" s="49"/>
      <c r="E1885" s="49"/>
      <c r="G1885" s="43"/>
      <c r="H1885" s="44"/>
      <c r="L1885" s="42"/>
      <c r="M1885" s="42"/>
      <c r="N1885" s="25"/>
      <c r="O1885" s="54"/>
      <c r="P1885"/>
      <c r="Q1885" s="25"/>
      <c r="R1885" s="54"/>
      <c r="W1885" s="23"/>
      <c r="X1885" s="23"/>
      <c r="Y1885" s="23"/>
      <c r="Z1885" s="43"/>
      <c r="AA1885" s="23"/>
      <c r="AB1885" s="23"/>
      <c r="AC1885" s="23"/>
      <c r="AD1885" s="23"/>
      <c r="AE1885" s="23"/>
      <c r="AF1885" s="23"/>
      <c r="AG1885" s="23"/>
      <c r="AH1885" s="23"/>
      <c r="AI1885" s="49"/>
    </row>
    <row r="1886" spans="1:35">
      <c r="A1886" s="23"/>
      <c r="B1886" s="42"/>
      <c r="C1886" s="49"/>
      <c r="E1886" s="49"/>
      <c r="G1886" s="43"/>
      <c r="H1886" s="44"/>
      <c r="L1886" s="42"/>
      <c r="M1886" s="42"/>
      <c r="N1886" s="25"/>
      <c r="O1886" s="54"/>
      <c r="P1886"/>
      <c r="Q1886" s="25"/>
      <c r="R1886" s="54"/>
      <c r="W1886" s="23"/>
      <c r="X1886" s="23"/>
      <c r="Y1886" s="23"/>
      <c r="Z1886" s="43"/>
      <c r="AA1886" s="23"/>
      <c r="AB1886" s="23"/>
      <c r="AC1886" s="23"/>
      <c r="AD1886" s="23"/>
      <c r="AE1886" s="23"/>
      <c r="AF1886" s="23"/>
      <c r="AG1886" s="23"/>
      <c r="AH1886" s="23"/>
      <c r="AI1886" s="49"/>
    </row>
    <row r="1887" spans="1:35">
      <c r="A1887" s="23"/>
      <c r="B1887" s="42"/>
      <c r="C1887" s="49"/>
      <c r="E1887" s="49"/>
      <c r="G1887" s="43"/>
      <c r="H1887" s="44"/>
      <c r="L1887" s="42"/>
      <c r="M1887" s="42"/>
      <c r="N1887" s="25"/>
      <c r="O1887" s="54"/>
      <c r="P1887"/>
      <c r="Q1887" s="25"/>
      <c r="R1887" s="54"/>
      <c r="W1887" s="23"/>
      <c r="X1887" s="23"/>
      <c r="Y1887" s="23"/>
      <c r="Z1887" s="43"/>
      <c r="AA1887" s="23"/>
      <c r="AB1887" s="23"/>
      <c r="AC1887" s="23"/>
      <c r="AD1887" s="23"/>
      <c r="AE1887" s="23"/>
      <c r="AF1887" s="23"/>
      <c r="AG1887" s="23"/>
      <c r="AH1887" s="23"/>
      <c r="AI1887" s="49"/>
    </row>
    <row r="1888" spans="1:35">
      <c r="A1888" s="23"/>
      <c r="B1888" s="42"/>
      <c r="C1888" s="49"/>
      <c r="E1888" s="49"/>
      <c r="G1888" s="43"/>
      <c r="H1888" s="44"/>
      <c r="L1888" s="42"/>
      <c r="M1888" s="42"/>
      <c r="N1888" s="25"/>
      <c r="O1888" s="54"/>
      <c r="P1888"/>
      <c r="Q1888" s="25"/>
      <c r="R1888" s="54"/>
      <c r="W1888" s="23"/>
      <c r="X1888" s="23"/>
      <c r="Y1888" s="23"/>
      <c r="Z1888" s="43"/>
      <c r="AA1888" s="23"/>
      <c r="AB1888" s="23"/>
      <c r="AC1888" s="23"/>
      <c r="AD1888" s="23"/>
      <c r="AE1888" s="23"/>
      <c r="AF1888" s="23"/>
      <c r="AG1888" s="23"/>
      <c r="AH1888" s="23"/>
      <c r="AI1888" s="49"/>
    </row>
    <row r="1889" spans="1:35">
      <c r="A1889" s="23"/>
      <c r="B1889" s="42"/>
      <c r="C1889" s="49"/>
      <c r="E1889" s="49"/>
      <c r="G1889" s="43"/>
      <c r="H1889" s="44"/>
      <c r="L1889" s="42"/>
      <c r="M1889" s="42"/>
      <c r="N1889" s="25"/>
      <c r="O1889" s="54"/>
      <c r="P1889"/>
      <c r="Q1889" s="25"/>
      <c r="R1889" s="54"/>
      <c r="W1889" s="23"/>
      <c r="X1889" s="23"/>
      <c r="Y1889" s="23"/>
      <c r="Z1889" s="43"/>
      <c r="AA1889" s="23"/>
      <c r="AB1889" s="23"/>
      <c r="AC1889" s="23"/>
      <c r="AD1889" s="23"/>
      <c r="AE1889" s="23"/>
      <c r="AF1889" s="23"/>
      <c r="AG1889" s="23"/>
      <c r="AH1889" s="23"/>
      <c r="AI1889" s="49"/>
    </row>
    <row r="1890" spans="1:35">
      <c r="A1890" s="23"/>
      <c r="B1890" s="42"/>
      <c r="C1890" s="49"/>
      <c r="E1890" s="49"/>
      <c r="G1890" s="43"/>
      <c r="H1890" s="44"/>
      <c r="L1890" s="42"/>
      <c r="M1890" s="42"/>
      <c r="N1890" s="25"/>
      <c r="O1890" s="54"/>
      <c r="P1890"/>
      <c r="Q1890" s="25"/>
      <c r="R1890" s="54"/>
      <c r="W1890" s="23"/>
      <c r="X1890" s="23"/>
      <c r="Y1890" s="23"/>
      <c r="Z1890" s="43"/>
      <c r="AA1890" s="23"/>
      <c r="AB1890" s="23"/>
      <c r="AC1890" s="23"/>
      <c r="AD1890" s="23"/>
      <c r="AE1890" s="23"/>
      <c r="AF1890" s="23"/>
      <c r="AG1890" s="23"/>
      <c r="AH1890" s="23"/>
      <c r="AI1890" s="49"/>
    </row>
    <row r="1891" spans="1:35">
      <c r="A1891" s="23"/>
      <c r="B1891" s="42"/>
      <c r="C1891" s="49"/>
      <c r="E1891" s="49"/>
      <c r="G1891" s="43"/>
      <c r="H1891" s="44"/>
      <c r="L1891" s="42"/>
      <c r="M1891" s="42"/>
      <c r="N1891" s="25"/>
      <c r="O1891" s="54"/>
      <c r="P1891"/>
      <c r="Q1891" s="25"/>
      <c r="R1891" s="54"/>
      <c r="W1891" s="23"/>
      <c r="X1891" s="23"/>
      <c r="Y1891" s="23"/>
      <c r="Z1891" s="43"/>
      <c r="AA1891" s="23"/>
      <c r="AB1891" s="23"/>
      <c r="AC1891" s="23"/>
      <c r="AD1891" s="23"/>
      <c r="AE1891" s="23"/>
      <c r="AF1891" s="23"/>
      <c r="AG1891" s="23"/>
      <c r="AH1891" s="23"/>
      <c r="AI1891" s="49"/>
    </row>
    <row r="1892" spans="1:35">
      <c r="A1892" s="23"/>
      <c r="B1892" s="42"/>
      <c r="C1892" s="49"/>
      <c r="E1892" s="49"/>
      <c r="G1892" s="43"/>
      <c r="H1892" s="44"/>
      <c r="L1892" s="42"/>
      <c r="M1892" s="42"/>
      <c r="N1892" s="25"/>
      <c r="O1892" s="54"/>
      <c r="P1892"/>
      <c r="Q1892" s="25"/>
      <c r="R1892" s="54"/>
      <c r="W1892" s="23"/>
      <c r="X1892" s="23"/>
      <c r="Y1892" s="23"/>
      <c r="Z1892" s="43"/>
      <c r="AA1892" s="23"/>
      <c r="AB1892" s="23"/>
      <c r="AC1892" s="23"/>
      <c r="AD1892" s="23"/>
      <c r="AE1892" s="23"/>
      <c r="AF1892" s="23"/>
      <c r="AG1892" s="23"/>
      <c r="AH1892" s="23"/>
      <c r="AI1892" s="49"/>
    </row>
    <row r="1893" spans="1:35">
      <c r="A1893" s="23"/>
      <c r="B1893" s="42"/>
      <c r="C1893" s="49"/>
      <c r="E1893" s="49"/>
      <c r="G1893" s="43"/>
      <c r="H1893" s="44"/>
      <c r="L1893" s="42"/>
      <c r="M1893" s="42"/>
      <c r="N1893" s="25"/>
      <c r="O1893" s="54"/>
      <c r="P1893"/>
      <c r="Q1893" s="25"/>
      <c r="R1893" s="54"/>
      <c r="W1893" s="23"/>
      <c r="X1893" s="23"/>
      <c r="Y1893" s="23"/>
      <c r="Z1893" s="43"/>
      <c r="AA1893" s="23"/>
      <c r="AB1893" s="23"/>
      <c r="AC1893" s="23"/>
      <c r="AD1893" s="23"/>
      <c r="AE1893" s="23"/>
      <c r="AF1893" s="23"/>
      <c r="AG1893" s="23"/>
      <c r="AH1893" s="23"/>
      <c r="AI1893" s="49"/>
    </row>
    <row r="1894" spans="1:35">
      <c r="A1894" s="23"/>
      <c r="B1894" s="42"/>
      <c r="C1894" s="49"/>
      <c r="E1894" s="49"/>
      <c r="G1894" s="43"/>
      <c r="H1894" s="44"/>
      <c r="L1894" s="42"/>
      <c r="M1894" s="42"/>
      <c r="N1894" s="25"/>
      <c r="O1894" s="54"/>
      <c r="P1894"/>
      <c r="Q1894" s="25"/>
      <c r="R1894" s="54"/>
      <c r="W1894" s="23"/>
      <c r="X1894" s="23"/>
      <c r="Y1894" s="23"/>
      <c r="Z1894" s="43"/>
      <c r="AA1894" s="23"/>
      <c r="AB1894" s="23"/>
      <c r="AC1894" s="23"/>
      <c r="AD1894" s="23"/>
      <c r="AE1894" s="23"/>
      <c r="AF1894" s="23"/>
      <c r="AG1894" s="23"/>
      <c r="AH1894" s="23"/>
      <c r="AI1894" s="49"/>
    </row>
    <row r="1895" spans="1:35">
      <c r="A1895" s="23"/>
      <c r="B1895" s="42"/>
      <c r="C1895" s="49"/>
      <c r="E1895" s="49"/>
      <c r="G1895" s="43"/>
      <c r="H1895" s="44"/>
      <c r="L1895" s="42"/>
      <c r="M1895" s="42"/>
      <c r="N1895" s="25"/>
      <c r="O1895" s="54"/>
      <c r="P1895"/>
      <c r="Q1895" s="25"/>
      <c r="R1895" s="54"/>
      <c r="W1895" s="23"/>
      <c r="X1895" s="23"/>
      <c r="Y1895" s="23"/>
      <c r="Z1895" s="43"/>
      <c r="AA1895" s="23"/>
      <c r="AB1895" s="23"/>
      <c r="AC1895" s="23"/>
      <c r="AD1895" s="23"/>
      <c r="AE1895" s="23"/>
      <c r="AF1895" s="23"/>
      <c r="AG1895" s="23"/>
      <c r="AH1895" s="23"/>
      <c r="AI1895" s="49"/>
    </row>
    <row r="1896" spans="1:35">
      <c r="A1896" s="23"/>
      <c r="B1896" s="42"/>
      <c r="C1896" s="49"/>
      <c r="E1896" s="49"/>
      <c r="G1896" s="43"/>
      <c r="H1896" s="44"/>
      <c r="L1896" s="42"/>
      <c r="M1896" s="42"/>
      <c r="N1896" s="25"/>
      <c r="O1896" s="54"/>
      <c r="P1896"/>
      <c r="Q1896" s="25"/>
      <c r="R1896" s="54"/>
      <c r="W1896" s="23"/>
      <c r="X1896" s="23"/>
      <c r="Y1896" s="23"/>
      <c r="Z1896" s="43"/>
      <c r="AA1896" s="23"/>
      <c r="AB1896" s="23"/>
      <c r="AC1896" s="23"/>
      <c r="AD1896" s="23"/>
      <c r="AE1896" s="23"/>
      <c r="AF1896" s="23"/>
      <c r="AG1896" s="23"/>
      <c r="AH1896" s="23"/>
      <c r="AI1896" s="49"/>
    </row>
    <row r="1897" spans="1:35">
      <c r="A1897" s="23"/>
      <c r="B1897" s="42"/>
      <c r="C1897" s="49"/>
      <c r="E1897" s="49"/>
      <c r="G1897" s="43"/>
      <c r="H1897" s="44"/>
      <c r="L1897" s="42"/>
      <c r="M1897" s="42"/>
      <c r="N1897" s="25"/>
      <c r="O1897" s="54"/>
      <c r="P1897"/>
      <c r="Q1897" s="25"/>
      <c r="R1897" s="54"/>
      <c r="W1897" s="23"/>
      <c r="X1897" s="23"/>
      <c r="Y1897" s="23"/>
      <c r="Z1897" s="43"/>
      <c r="AA1897" s="23"/>
      <c r="AB1897" s="23"/>
      <c r="AC1897" s="23"/>
      <c r="AD1897" s="23"/>
      <c r="AE1897" s="23"/>
      <c r="AF1897" s="23"/>
      <c r="AG1897" s="23"/>
      <c r="AH1897" s="23"/>
      <c r="AI1897" s="49"/>
    </row>
    <row r="1898" spans="1:35">
      <c r="A1898" s="23"/>
      <c r="B1898" s="42"/>
      <c r="C1898" s="49"/>
      <c r="E1898" s="49"/>
      <c r="G1898" s="43"/>
      <c r="H1898" s="44"/>
      <c r="L1898" s="42"/>
      <c r="M1898" s="42"/>
      <c r="N1898" s="25"/>
      <c r="O1898" s="54"/>
      <c r="P1898"/>
      <c r="Q1898" s="25"/>
      <c r="R1898" s="54"/>
      <c r="W1898" s="23"/>
      <c r="X1898" s="23"/>
      <c r="Y1898" s="23"/>
      <c r="Z1898" s="43"/>
      <c r="AA1898" s="23"/>
      <c r="AB1898" s="23"/>
      <c r="AC1898" s="23"/>
      <c r="AD1898" s="23"/>
      <c r="AE1898" s="23"/>
      <c r="AF1898" s="23"/>
      <c r="AG1898" s="23"/>
      <c r="AH1898" s="23"/>
      <c r="AI1898" s="49"/>
    </row>
    <row r="1899" spans="1:35">
      <c r="A1899" s="23"/>
      <c r="B1899" s="42"/>
      <c r="C1899" s="49"/>
      <c r="E1899" s="49"/>
      <c r="G1899" s="43"/>
      <c r="H1899" s="44"/>
      <c r="L1899" s="42"/>
      <c r="M1899" s="42"/>
      <c r="N1899" s="25"/>
      <c r="O1899" s="54"/>
      <c r="P1899"/>
      <c r="Q1899" s="25"/>
      <c r="R1899" s="54"/>
      <c r="W1899" s="23"/>
      <c r="X1899" s="23"/>
      <c r="Y1899" s="23"/>
      <c r="Z1899" s="43"/>
      <c r="AA1899" s="23"/>
      <c r="AB1899" s="23"/>
      <c r="AC1899" s="23"/>
      <c r="AD1899" s="23"/>
      <c r="AE1899" s="23"/>
      <c r="AF1899" s="23"/>
      <c r="AG1899" s="23"/>
      <c r="AH1899" s="23"/>
      <c r="AI1899" s="49"/>
    </row>
    <row r="1900" spans="1:35">
      <c r="A1900" s="23"/>
      <c r="B1900" s="42"/>
      <c r="C1900" s="49"/>
      <c r="E1900" s="49"/>
      <c r="G1900" s="43"/>
      <c r="H1900" s="44"/>
      <c r="L1900" s="42"/>
      <c r="M1900" s="42"/>
      <c r="N1900" s="25"/>
      <c r="O1900" s="54"/>
      <c r="P1900"/>
      <c r="Q1900" s="25"/>
      <c r="R1900" s="54"/>
      <c r="W1900" s="23"/>
      <c r="X1900" s="23"/>
      <c r="Y1900" s="23"/>
      <c r="Z1900" s="43"/>
      <c r="AA1900" s="23"/>
      <c r="AB1900" s="23"/>
      <c r="AC1900" s="23"/>
      <c r="AD1900" s="23"/>
      <c r="AE1900" s="23"/>
      <c r="AF1900" s="23"/>
      <c r="AG1900" s="23"/>
      <c r="AH1900" s="23"/>
      <c r="AI1900" s="49"/>
    </row>
    <row r="1901" spans="1:35">
      <c r="A1901" s="23"/>
      <c r="B1901" s="42"/>
      <c r="C1901" s="49"/>
      <c r="E1901" s="49"/>
      <c r="G1901" s="43"/>
      <c r="H1901" s="44"/>
      <c r="L1901" s="42"/>
      <c r="M1901" s="42"/>
      <c r="N1901" s="25"/>
      <c r="O1901" s="54"/>
      <c r="P1901"/>
      <c r="Q1901" s="25"/>
      <c r="R1901" s="54"/>
      <c r="W1901" s="23"/>
      <c r="X1901" s="23"/>
      <c r="Y1901" s="23"/>
      <c r="Z1901" s="43"/>
      <c r="AA1901" s="23"/>
      <c r="AB1901" s="23"/>
      <c r="AC1901" s="23"/>
      <c r="AD1901" s="23"/>
      <c r="AE1901" s="23"/>
      <c r="AF1901" s="23"/>
      <c r="AG1901" s="23"/>
      <c r="AH1901" s="23"/>
      <c r="AI1901" s="49"/>
    </row>
    <row r="1902" spans="1:35">
      <c r="A1902" s="23"/>
      <c r="B1902" s="42"/>
      <c r="C1902" s="49"/>
      <c r="E1902" s="49"/>
      <c r="G1902" s="43"/>
      <c r="H1902" s="44"/>
      <c r="L1902" s="42"/>
      <c r="M1902" s="42"/>
      <c r="N1902" s="25"/>
      <c r="O1902" s="54"/>
      <c r="P1902"/>
      <c r="Q1902" s="25"/>
      <c r="R1902" s="54"/>
      <c r="W1902" s="23"/>
      <c r="X1902" s="23"/>
      <c r="Y1902" s="23"/>
      <c r="Z1902" s="43"/>
      <c r="AA1902" s="23"/>
      <c r="AB1902" s="23"/>
      <c r="AC1902" s="23"/>
      <c r="AD1902" s="23"/>
      <c r="AE1902" s="23"/>
      <c r="AF1902" s="23"/>
      <c r="AG1902" s="23"/>
      <c r="AH1902" s="23"/>
      <c r="AI1902" s="49"/>
    </row>
    <row r="1903" spans="1:35">
      <c r="A1903" s="23"/>
      <c r="B1903" s="42"/>
      <c r="C1903" s="49"/>
      <c r="E1903" s="49"/>
      <c r="G1903" s="43"/>
      <c r="H1903" s="44"/>
      <c r="L1903" s="42"/>
      <c r="M1903" s="42"/>
      <c r="N1903" s="25"/>
      <c r="O1903" s="54"/>
      <c r="P1903"/>
      <c r="Q1903" s="25"/>
      <c r="R1903" s="54"/>
      <c r="W1903" s="23"/>
      <c r="X1903" s="23"/>
      <c r="Y1903" s="23"/>
      <c r="Z1903" s="43"/>
      <c r="AA1903" s="23"/>
      <c r="AB1903" s="23"/>
      <c r="AC1903" s="23"/>
      <c r="AD1903" s="23"/>
      <c r="AE1903" s="23"/>
      <c r="AF1903" s="23"/>
      <c r="AG1903" s="23"/>
      <c r="AH1903" s="23"/>
      <c r="AI1903" s="49"/>
    </row>
    <row r="1904" spans="1:35">
      <c r="A1904" s="23"/>
      <c r="B1904" s="42"/>
      <c r="C1904" s="49"/>
      <c r="E1904" s="49"/>
      <c r="G1904" s="43"/>
      <c r="H1904" s="44"/>
      <c r="L1904" s="42"/>
      <c r="M1904" s="42"/>
      <c r="N1904" s="25"/>
      <c r="O1904" s="54"/>
      <c r="P1904"/>
      <c r="Q1904" s="25"/>
      <c r="R1904" s="54"/>
      <c r="W1904" s="23"/>
      <c r="X1904" s="23"/>
      <c r="Y1904" s="23"/>
      <c r="Z1904" s="43"/>
      <c r="AA1904" s="23"/>
      <c r="AB1904" s="23"/>
      <c r="AC1904" s="23"/>
      <c r="AD1904" s="23"/>
      <c r="AE1904" s="23"/>
      <c r="AF1904" s="23"/>
      <c r="AG1904" s="23"/>
      <c r="AH1904" s="23"/>
      <c r="AI1904" s="49"/>
    </row>
    <row r="1905" spans="1:35">
      <c r="A1905" s="23"/>
      <c r="B1905" s="42"/>
      <c r="C1905" s="49"/>
      <c r="E1905" s="49"/>
      <c r="G1905" s="43"/>
      <c r="H1905" s="44"/>
      <c r="L1905" s="42"/>
      <c r="M1905" s="42"/>
      <c r="N1905" s="25"/>
      <c r="O1905" s="54"/>
      <c r="P1905"/>
      <c r="Q1905" s="25"/>
      <c r="R1905" s="54"/>
      <c r="W1905" s="23"/>
      <c r="X1905" s="23"/>
      <c r="Y1905" s="23"/>
      <c r="Z1905" s="43"/>
      <c r="AA1905" s="23"/>
      <c r="AB1905" s="23"/>
      <c r="AC1905" s="23"/>
      <c r="AD1905" s="23"/>
      <c r="AE1905" s="23"/>
      <c r="AF1905" s="23"/>
      <c r="AG1905" s="23"/>
      <c r="AH1905" s="23"/>
      <c r="AI1905" s="49"/>
    </row>
    <row r="1906" spans="1:35">
      <c r="A1906" s="23"/>
      <c r="B1906" s="42"/>
      <c r="C1906" s="49"/>
      <c r="E1906" s="49"/>
      <c r="G1906" s="43"/>
      <c r="H1906" s="44"/>
      <c r="L1906" s="42"/>
      <c r="M1906" s="42"/>
      <c r="N1906" s="25"/>
      <c r="O1906" s="54"/>
      <c r="P1906"/>
      <c r="Q1906" s="25"/>
      <c r="R1906" s="54"/>
      <c r="W1906" s="23"/>
      <c r="X1906" s="23"/>
      <c r="Y1906" s="23"/>
      <c r="Z1906" s="43"/>
      <c r="AA1906" s="23"/>
      <c r="AB1906" s="23"/>
      <c r="AC1906" s="23"/>
      <c r="AD1906" s="23"/>
      <c r="AE1906" s="23"/>
      <c r="AF1906" s="23"/>
      <c r="AG1906" s="23"/>
      <c r="AH1906" s="23"/>
      <c r="AI1906" s="49"/>
    </row>
    <row r="1907" spans="1:35">
      <c r="A1907" s="23"/>
      <c r="B1907" s="42"/>
      <c r="C1907" s="49"/>
      <c r="E1907" s="49"/>
      <c r="G1907" s="43"/>
      <c r="H1907" s="44"/>
      <c r="L1907" s="42"/>
      <c r="M1907" s="42"/>
      <c r="N1907" s="25"/>
      <c r="O1907" s="54"/>
      <c r="P1907"/>
      <c r="Q1907" s="25"/>
      <c r="R1907" s="54"/>
      <c r="W1907" s="23"/>
      <c r="X1907" s="23"/>
      <c r="Y1907" s="23"/>
      <c r="Z1907" s="43"/>
      <c r="AA1907" s="23"/>
      <c r="AB1907" s="23"/>
      <c r="AC1907" s="23"/>
      <c r="AD1907" s="23"/>
      <c r="AE1907" s="23"/>
      <c r="AF1907" s="23"/>
      <c r="AG1907" s="23"/>
      <c r="AH1907" s="23"/>
      <c r="AI1907" s="49"/>
    </row>
    <row r="1908" spans="1:35">
      <c r="A1908" s="23"/>
      <c r="B1908" s="42"/>
      <c r="C1908" s="49"/>
      <c r="E1908" s="49"/>
      <c r="G1908" s="43"/>
      <c r="H1908" s="44"/>
      <c r="L1908" s="42"/>
      <c r="M1908" s="42"/>
      <c r="N1908" s="25"/>
      <c r="O1908" s="54"/>
      <c r="P1908"/>
      <c r="Q1908" s="25"/>
      <c r="R1908" s="54"/>
      <c r="W1908" s="23"/>
      <c r="X1908" s="23"/>
      <c r="Y1908" s="23"/>
      <c r="Z1908" s="43"/>
      <c r="AA1908" s="23"/>
      <c r="AB1908" s="23"/>
      <c r="AC1908" s="23"/>
      <c r="AD1908" s="23"/>
      <c r="AE1908" s="23"/>
      <c r="AF1908" s="23"/>
      <c r="AG1908" s="23"/>
      <c r="AH1908" s="23"/>
      <c r="AI1908" s="49"/>
    </row>
    <row r="1909" spans="1:35">
      <c r="A1909" s="23"/>
      <c r="B1909" s="42"/>
      <c r="C1909" s="49"/>
      <c r="E1909" s="49"/>
      <c r="G1909" s="43"/>
      <c r="H1909" s="44"/>
      <c r="L1909" s="42"/>
      <c r="M1909" s="42"/>
      <c r="N1909" s="25"/>
      <c r="O1909" s="54"/>
      <c r="P1909"/>
      <c r="Q1909" s="25"/>
      <c r="R1909" s="54"/>
      <c r="W1909" s="23"/>
      <c r="X1909" s="23"/>
      <c r="Y1909" s="23"/>
      <c r="Z1909" s="43"/>
      <c r="AA1909" s="23"/>
      <c r="AB1909" s="23"/>
      <c r="AC1909" s="23"/>
      <c r="AD1909" s="23"/>
      <c r="AE1909" s="23"/>
      <c r="AF1909" s="23"/>
      <c r="AG1909" s="23"/>
      <c r="AH1909" s="23"/>
      <c r="AI1909" s="49"/>
    </row>
    <row r="1910" spans="1:35">
      <c r="A1910" s="23"/>
      <c r="B1910" s="42"/>
      <c r="C1910" s="49"/>
      <c r="E1910" s="49"/>
      <c r="G1910" s="43"/>
      <c r="H1910" s="44"/>
      <c r="L1910" s="42"/>
      <c r="M1910" s="42"/>
      <c r="N1910" s="25"/>
      <c r="O1910" s="54"/>
      <c r="P1910"/>
      <c r="Q1910" s="25"/>
      <c r="R1910" s="54"/>
      <c r="W1910" s="23"/>
      <c r="X1910" s="23"/>
      <c r="Y1910" s="23"/>
      <c r="Z1910" s="43"/>
      <c r="AA1910" s="23"/>
      <c r="AB1910" s="23"/>
      <c r="AC1910" s="23"/>
      <c r="AD1910" s="23"/>
      <c r="AE1910" s="23"/>
      <c r="AF1910" s="23"/>
      <c r="AG1910" s="23"/>
      <c r="AH1910" s="23"/>
      <c r="AI1910" s="49"/>
    </row>
    <row r="1911" spans="1:35">
      <c r="A1911" s="23"/>
      <c r="B1911" s="42"/>
      <c r="C1911" s="49"/>
      <c r="E1911" s="49"/>
      <c r="G1911" s="43"/>
      <c r="H1911" s="44"/>
      <c r="L1911" s="42"/>
      <c r="M1911" s="42"/>
      <c r="N1911" s="25"/>
      <c r="O1911" s="54"/>
      <c r="P1911"/>
      <c r="Q1911" s="25"/>
      <c r="R1911" s="54"/>
      <c r="W1911" s="23"/>
      <c r="X1911" s="23"/>
      <c r="Y1911" s="23"/>
      <c r="Z1911" s="43"/>
      <c r="AA1911" s="23"/>
      <c r="AB1911" s="23"/>
      <c r="AC1911" s="23"/>
      <c r="AD1911" s="23"/>
      <c r="AE1911" s="23"/>
      <c r="AF1911" s="23"/>
      <c r="AG1911" s="23"/>
      <c r="AH1911" s="23"/>
      <c r="AI1911" s="49"/>
    </row>
    <row r="1912" spans="1:35">
      <c r="A1912" s="23"/>
      <c r="B1912" s="42"/>
      <c r="C1912" s="49"/>
      <c r="E1912" s="49"/>
      <c r="G1912" s="43"/>
      <c r="H1912" s="44"/>
      <c r="L1912" s="42"/>
      <c r="M1912" s="42"/>
      <c r="N1912" s="25"/>
      <c r="O1912" s="54"/>
      <c r="P1912"/>
      <c r="Q1912" s="25"/>
      <c r="R1912" s="54"/>
      <c r="W1912" s="23"/>
      <c r="X1912" s="23"/>
      <c r="Y1912" s="23"/>
      <c r="Z1912" s="43"/>
      <c r="AA1912" s="23"/>
      <c r="AB1912" s="23"/>
      <c r="AC1912" s="23"/>
      <c r="AD1912" s="23"/>
      <c r="AE1912" s="23"/>
      <c r="AF1912" s="23"/>
      <c r="AG1912" s="23"/>
      <c r="AH1912" s="23"/>
      <c r="AI1912" s="49"/>
    </row>
    <row r="1913" spans="1:35">
      <c r="A1913" s="23"/>
      <c r="B1913" s="42"/>
      <c r="C1913" s="49"/>
      <c r="E1913" s="49"/>
      <c r="G1913" s="43"/>
      <c r="H1913" s="44"/>
      <c r="L1913" s="42"/>
      <c r="M1913" s="42"/>
      <c r="N1913" s="25"/>
      <c r="O1913" s="54"/>
      <c r="P1913"/>
      <c r="Q1913" s="25"/>
      <c r="R1913" s="54"/>
      <c r="W1913" s="23"/>
      <c r="X1913" s="23"/>
      <c r="Y1913" s="23"/>
      <c r="Z1913" s="43"/>
      <c r="AA1913" s="23"/>
      <c r="AB1913" s="23"/>
      <c r="AC1913" s="23"/>
      <c r="AD1913" s="23"/>
      <c r="AE1913" s="23"/>
      <c r="AF1913" s="23"/>
      <c r="AG1913" s="23"/>
      <c r="AH1913" s="23"/>
      <c r="AI1913" s="49"/>
    </row>
    <row r="1914" spans="1:35">
      <c r="A1914" s="23"/>
      <c r="B1914" s="42"/>
      <c r="C1914" s="49"/>
      <c r="E1914" s="49"/>
      <c r="G1914" s="43"/>
      <c r="H1914" s="44"/>
      <c r="L1914" s="42"/>
      <c r="M1914" s="42"/>
      <c r="N1914" s="25"/>
      <c r="O1914" s="54"/>
      <c r="P1914"/>
      <c r="Q1914" s="25"/>
      <c r="R1914" s="54"/>
      <c r="W1914" s="23"/>
      <c r="X1914" s="23"/>
      <c r="Y1914" s="23"/>
      <c r="Z1914" s="43"/>
      <c r="AA1914" s="23"/>
      <c r="AB1914" s="23"/>
      <c r="AC1914" s="23"/>
      <c r="AD1914" s="23"/>
      <c r="AE1914" s="23"/>
      <c r="AF1914" s="23"/>
      <c r="AG1914" s="23"/>
      <c r="AH1914" s="23"/>
      <c r="AI1914" s="49"/>
    </row>
    <row r="1915" spans="1:35">
      <c r="A1915" s="23"/>
      <c r="B1915" s="42"/>
      <c r="C1915" s="49"/>
      <c r="E1915" s="49"/>
      <c r="G1915" s="43"/>
      <c r="H1915" s="44"/>
      <c r="L1915" s="42"/>
      <c r="M1915" s="42"/>
      <c r="N1915" s="25"/>
      <c r="O1915" s="54"/>
      <c r="P1915"/>
      <c r="Q1915" s="25"/>
      <c r="R1915" s="54"/>
      <c r="W1915" s="23"/>
      <c r="X1915" s="23"/>
      <c r="Y1915" s="23"/>
      <c r="Z1915" s="43"/>
      <c r="AA1915" s="23"/>
      <c r="AB1915" s="23"/>
      <c r="AC1915" s="23"/>
      <c r="AD1915" s="23"/>
      <c r="AE1915" s="23"/>
      <c r="AF1915" s="23"/>
      <c r="AG1915" s="23"/>
      <c r="AH1915" s="23"/>
      <c r="AI1915" s="49"/>
    </row>
    <row r="1916" spans="1:35">
      <c r="A1916" s="23"/>
      <c r="B1916" s="42"/>
      <c r="C1916" s="49"/>
      <c r="E1916" s="49"/>
      <c r="G1916" s="43"/>
      <c r="H1916" s="44"/>
      <c r="L1916" s="42"/>
      <c r="M1916" s="42"/>
      <c r="N1916" s="25"/>
      <c r="O1916" s="54"/>
      <c r="P1916"/>
      <c r="Q1916" s="25"/>
      <c r="R1916" s="54"/>
      <c r="W1916" s="23"/>
      <c r="X1916" s="23"/>
      <c r="Y1916" s="23"/>
      <c r="Z1916" s="43"/>
      <c r="AA1916" s="23"/>
      <c r="AB1916" s="23"/>
      <c r="AC1916" s="23"/>
      <c r="AD1916" s="23"/>
      <c r="AE1916" s="23"/>
      <c r="AF1916" s="23"/>
      <c r="AG1916" s="23"/>
      <c r="AH1916" s="23"/>
      <c r="AI1916" s="49"/>
    </row>
    <row r="1917" spans="1:35">
      <c r="A1917" s="23"/>
      <c r="B1917" s="42"/>
      <c r="C1917" s="49"/>
      <c r="E1917" s="49"/>
      <c r="G1917" s="43"/>
      <c r="H1917" s="44"/>
      <c r="L1917" s="42"/>
      <c r="M1917" s="42"/>
      <c r="N1917" s="25"/>
      <c r="O1917" s="54"/>
      <c r="P1917"/>
      <c r="Q1917" s="25"/>
      <c r="R1917" s="54"/>
      <c r="W1917" s="23"/>
      <c r="X1917" s="23"/>
      <c r="Y1917" s="23"/>
      <c r="Z1917" s="43"/>
      <c r="AA1917" s="23"/>
      <c r="AB1917" s="23"/>
      <c r="AC1917" s="23"/>
      <c r="AD1917" s="23"/>
      <c r="AE1917" s="23"/>
      <c r="AF1917" s="23"/>
      <c r="AG1917" s="23"/>
      <c r="AH1917" s="23"/>
      <c r="AI1917" s="49"/>
    </row>
    <row r="1918" spans="1:35">
      <c r="A1918" s="23"/>
      <c r="B1918" s="42"/>
      <c r="C1918" s="49"/>
      <c r="E1918" s="49"/>
      <c r="G1918" s="43"/>
      <c r="H1918" s="44"/>
      <c r="L1918" s="42"/>
      <c r="M1918" s="42"/>
      <c r="N1918" s="25"/>
      <c r="O1918" s="54"/>
      <c r="P1918"/>
      <c r="Q1918" s="25"/>
      <c r="R1918" s="54"/>
      <c r="W1918" s="23"/>
      <c r="X1918" s="23"/>
      <c r="Y1918" s="23"/>
      <c r="Z1918" s="43"/>
      <c r="AA1918" s="23"/>
      <c r="AB1918" s="23"/>
      <c r="AC1918" s="23"/>
      <c r="AD1918" s="23"/>
      <c r="AE1918" s="23"/>
      <c r="AF1918" s="23"/>
      <c r="AG1918" s="23"/>
      <c r="AH1918" s="23"/>
      <c r="AI1918" s="49"/>
    </row>
    <row r="1919" spans="1:35">
      <c r="A1919" s="23"/>
      <c r="B1919" s="42"/>
      <c r="C1919" s="49"/>
      <c r="E1919" s="49"/>
      <c r="G1919" s="43"/>
      <c r="H1919" s="44"/>
      <c r="L1919" s="42"/>
      <c r="M1919" s="42"/>
      <c r="N1919" s="25"/>
      <c r="O1919" s="54"/>
      <c r="P1919"/>
      <c r="Q1919" s="25"/>
      <c r="R1919" s="54"/>
      <c r="W1919" s="23"/>
      <c r="X1919" s="23"/>
      <c r="Y1919" s="23"/>
      <c r="Z1919" s="43"/>
      <c r="AA1919" s="23"/>
      <c r="AB1919" s="23"/>
      <c r="AC1919" s="23"/>
      <c r="AD1919" s="23"/>
      <c r="AE1919" s="23"/>
      <c r="AF1919" s="23"/>
      <c r="AG1919" s="23"/>
      <c r="AH1919" s="23"/>
      <c r="AI1919" s="49"/>
    </row>
    <row r="1920" spans="1:35">
      <c r="A1920" s="23"/>
      <c r="B1920" s="42"/>
      <c r="C1920" s="49"/>
      <c r="E1920" s="49"/>
      <c r="G1920" s="43"/>
      <c r="H1920" s="44"/>
      <c r="L1920" s="42"/>
      <c r="M1920" s="42"/>
      <c r="N1920" s="25"/>
      <c r="O1920" s="54"/>
      <c r="P1920"/>
      <c r="Q1920" s="25"/>
      <c r="R1920" s="54"/>
      <c r="W1920" s="23"/>
      <c r="X1920" s="23"/>
      <c r="Y1920" s="23"/>
      <c r="Z1920" s="43"/>
      <c r="AA1920" s="23"/>
      <c r="AB1920" s="23"/>
      <c r="AC1920" s="23"/>
      <c r="AD1920" s="23"/>
      <c r="AE1920" s="23"/>
      <c r="AF1920" s="23"/>
      <c r="AG1920" s="23"/>
      <c r="AH1920" s="23"/>
      <c r="AI1920" s="49"/>
    </row>
    <row r="1921" spans="1:35">
      <c r="A1921" s="23"/>
      <c r="B1921" s="42"/>
      <c r="C1921" s="49"/>
      <c r="E1921" s="49"/>
      <c r="G1921" s="43"/>
      <c r="H1921" s="44"/>
      <c r="L1921" s="42"/>
      <c r="M1921" s="42"/>
      <c r="N1921" s="25"/>
      <c r="O1921" s="54"/>
      <c r="P1921"/>
      <c r="Q1921" s="25"/>
      <c r="R1921" s="54"/>
      <c r="W1921" s="23"/>
      <c r="X1921" s="23"/>
      <c r="Y1921" s="23"/>
      <c r="Z1921" s="43"/>
      <c r="AA1921" s="23"/>
      <c r="AB1921" s="23"/>
      <c r="AC1921" s="23"/>
      <c r="AD1921" s="23"/>
      <c r="AE1921" s="23"/>
      <c r="AF1921" s="23"/>
      <c r="AG1921" s="23"/>
      <c r="AH1921" s="23"/>
      <c r="AI1921" s="49"/>
    </row>
    <row r="1922" spans="1:35">
      <c r="A1922" s="23"/>
      <c r="B1922" s="42"/>
      <c r="C1922" s="49"/>
      <c r="E1922" s="49"/>
      <c r="G1922" s="43"/>
      <c r="H1922" s="44"/>
      <c r="L1922" s="42"/>
      <c r="M1922" s="42"/>
      <c r="N1922" s="25"/>
      <c r="O1922" s="54"/>
      <c r="P1922"/>
      <c r="Q1922" s="25"/>
      <c r="R1922" s="54"/>
      <c r="W1922" s="23"/>
      <c r="X1922" s="23"/>
      <c r="Y1922" s="23"/>
      <c r="Z1922" s="43"/>
      <c r="AA1922" s="23"/>
      <c r="AB1922" s="23"/>
      <c r="AC1922" s="23"/>
      <c r="AD1922" s="23"/>
      <c r="AE1922" s="23"/>
      <c r="AF1922" s="23"/>
      <c r="AG1922" s="23"/>
      <c r="AH1922" s="23"/>
      <c r="AI1922" s="49"/>
    </row>
    <row r="1923" spans="1:35">
      <c r="A1923" s="23"/>
      <c r="B1923" s="42"/>
      <c r="C1923" s="49"/>
      <c r="E1923" s="49"/>
      <c r="G1923" s="43"/>
      <c r="H1923" s="44"/>
      <c r="L1923" s="42"/>
      <c r="M1923" s="42"/>
      <c r="N1923" s="25"/>
      <c r="O1923" s="54"/>
      <c r="P1923"/>
      <c r="Q1923" s="25"/>
      <c r="R1923" s="54"/>
      <c r="W1923" s="23"/>
      <c r="X1923" s="23"/>
      <c r="Y1923" s="23"/>
      <c r="Z1923" s="43"/>
      <c r="AA1923" s="23"/>
      <c r="AB1923" s="23"/>
      <c r="AC1923" s="23"/>
      <c r="AD1923" s="23"/>
      <c r="AE1923" s="23"/>
      <c r="AF1923" s="23"/>
      <c r="AG1923" s="23"/>
      <c r="AH1923" s="23"/>
      <c r="AI1923" s="49"/>
    </row>
    <row r="1924" spans="1:35">
      <c r="A1924" s="23"/>
      <c r="B1924" s="42"/>
      <c r="C1924" s="49"/>
      <c r="E1924" s="49"/>
      <c r="G1924" s="43"/>
      <c r="H1924" s="44"/>
      <c r="L1924" s="42"/>
      <c r="M1924" s="42"/>
      <c r="N1924" s="25"/>
      <c r="O1924" s="54"/>
      <c r="P1924"/>
      <c r="Q1924" s="25"/>
      <c r="R1924" s="54"/>
      <c r="W1924" s="23"/>
      <c r="X1924" s="23"/>
      <c r="Y1924" s="23"/>
      <c r="Z1924" s="43"/>
      <c r="AA1924" s="23"/>
      <c r="AB1924" s="23"/>
      <c r="AC1924" s="23"/>
      <c r="AD1924" s="23"/>
      <c r="AE1924" s="23"/>
      <c r="AF1924" s="23"/>
      <c r="AG1924" s="23"/>
      <c r="AH1924" s="23"/>
      <c r="AI1924" s="49"/>
    </row>
    <row r="1925" spans="1:35">
      <c r="A1925" s="23"/>
      <c r="B1925" s="42"/>
      <c r="C1925" s="49"/>
      <c r="E1925" s="49"/>
      <c r="G1925" s="43"/>
      <c r="H1925" s="44"/>
      <c r="L1925" s="42"/>
      <c r="M1925" s="42"/>
      <c r="N1925" s="25"/>
      <c r="O1925" s="54"/>
      <c r="P1925"/>
      <c r="Q1925" s="25"/>
      <c r="R1925" s="54"/>
      <c r="W1925" s="23"/>
      <c r="X1925" s="23"/>
      <c r="Y1925" s="23"/>
      <c r="Z1925" s="43"/>
      <c r="AA1925" s="23"/>
      <c r="AB1925" s="23"/>
      <c r="AC1925" s="23"/>
      <c r="AD1925" s="23"/>
      <c r="AE1925" s="23"/>
      <c r="AF1925" s="23"/>
      <c r="AG1925" s="23"/>
      <c r="AH1925" s="23"/>
      <c r="AI1925" s="49"/>
    </row>
    <row r="1926" spans="1:35">
      <c r="A1926" s="23"/>
      <c r="B1926" s="42"/>
      <c r="C1926" s="49"/>
      <c r="E1926" s="49"/>
      <c r="G1926" s="43"/>
      <c r="H1926" s="44"/>
      <c r="L1926" s="42"/>
      <c r="M1926" s="42"/>
      <c r="N1926" s="25"/>
      <c r="O1926" s="54"/>
      <c r="P1926"/>
      <c r="Q1926" s="25"/>
      <c r="R1926" s="54"/>
      <c r="W1926" s="23"/>
      <c r="X1926" s="23"/>
      <c r="Y1926" s="23"/>
      <c r="Z1926" s="43"/>
      <c r="AA1926" s="23"/>
      <c r="AB1926" s="23"/>
      <c r="AC1926" s="23"/>
      <c r="AD1926" s="23"/>
      <c r="AE1926" s="23"/>
      <c r="AF1926" s="23"/>
      <c r="AG1926" s="23"/>
      <c r="AH1926" s="23"/>
      <c r="AI1926" s="49"/>
    </row>
    <row r="1927" spans="1:35">
      <c r="A1927" s="23"/>
      <c r="B1927" s="42"/>
      <c r="C1927" s="49"/>
      <c r="E1927" s="49"/>
      <c r="G1927" s="43"/>
      <c r="H1927" s="44"/>
      <c r="L1927" s="42"/>
      <c r="M1927" s="42"/>
      <c r="N1927" s="25"/>
      <c r="O1927" s="54"/>
      <c r="P1927"/>
      <c r="Q1927" s="25"/>
      <c r="R1927" s="54"/>
      <c r="W1927" s="23"/>
      <c r="X1927" s="23"/>
      <c r="Y1927" s="23"/>
      <c r="Z1927" s="43"/>
      <c r="AA1927" s="23"/>
      <c r="AB1927" s="23"/>
      <c r="AC1927" s="23"/>
      <c r="AD1927" s="23"/>
      <c r="AE1927" s="23"/>
      <c r="AF1927" s="23"/>
      <c r="AG1927" s="23"/>
      <c r="AH1927" s="23"/>
      <c r="AI1927" s="49"/>
    </row>
    <row r="1928" spans="1:35">
      <c r="A1928" s="23"/>
      <c r="B1928" s="42"/>
      <c r="C1928" s="49"/>
      <c r="E1928" s="49"/>
      <c r="G1928" s="43"/>
      <c r="H1928" s="44"/>
      <c r="L1928" s="42"/>
      <c r="M1928" s="42"/>
      <c r="N1928" s="25"/>
      <c r="O1928" s="54"/>
      <c r="P1928"/>
      <c r="Q1928" s="25"/>
      <c r="R1928" s="54"/>
      <c r="W1928" s="23"/>
      <c r="X1928" s="23"/>
      <c r="Y1928" s="23"/>
      <c r="Z1928" s="43"/>
      <c r="AA1928" s="23"/>
      <c r="AB1928" s="23"/>
      <c r="AC1928" s="23"/>
      <c r="AD1928" s="23"/>
      <c r="AE1928" s="23"/>
      <c r="AF1928" s="23"/>
      <c r="AG1928" s="23"/>
      <c r="AH1928" s="23"/>
      <c r="AI1928" s="49"/>
    </row>
    <row r="1929" spans="1:35">
      <c r="A1929" s="23"/>
      <c r="B1929" s="42"/>
      <c r="C1929" s="49"/>
      <c r="E1929" s="49"/>
      <c r="G1929" s="43"/>
      <c r="H1929" s="44"/>
      <c r="L1929" s="42"/>
      <c r="M1929" s="42"/>
      <c r="N1929" s="25"/>
      <c r="O1929" s="54"/>
      <c r="P1929"/>
      <c r="Q1929" s="25"/>
      <c r="R1929" s="54"/>
      <c r="W1929" s="23"/>
      <c r="X1929" s="23"/>
      <c r="Y1929" s="23"/>
      <c r="Z1929" s="43"/>
      <c r="AA1929" s="23"/>
      <c r="AB1929" s="23"/>
      <c r="AC1929" s="23"/>
      <c r="AD1929" s="23"/>
      <c r="AE1929" s="23"/>
      <c r="AF1929" s="23"/>
      <c r="AG1929" s="23"/>
      <c r="AH1929" s="23"/>
      <c r="AI1929" s="49"/>
    </row>
    <row r="1930" spans="1:35">
      <c r="A1930" s="23"/>
      <c r="B1930" s="42"/>
      <c r="C1930" s="49"/>
      <c r="E1930" s="49"/>
      <c r="G1930" s="43"/>
      <c r="H1930" s="44"/>
      <c r="L1930" s="42"/>
      <c r="M1930" s="42"/>
      <c r="N1930" s="25"/>
      <c r="O1930" s="54"/>
      <c r="P1930"/>
      <c r="Q1930" s="25"/>
      <c r="R1930" s="54"/>
      <c r="W1930" s="23"/>
      <c r="X1930" s="23"/>
      <c r="Y1930" s="23"/>
      <c r="Z1930" s="43"/>
      <c r="AA1930" s="23"/>
      <c r="AB1930" s="23"/>
      <c r="AC1930" s="23"/>
      <c r="AD1930" s="23"/>
      <c r="AE1930" s="23"/>
      <c r="AF1930" s="23"/>
      <c r="AG1930" s="23"/>
      <c r="AH1930" s="23"/>
      <c r="AI1930" s="49"/>
    </row>
    <row r="1931" spans="1:35">
      <c r="A1931" s="23"/>
      <c r="B1931" s="42"/>
      <c r="C1931" s="49"/>
      <c r="E1931" s="49"/>
      <c r="G1931" s="43"/>
      <c r="H1931" s="44"/>
      <c r="L1931" s="42"/>
      <c r="M1931" s="42"/>
      <c r="N1931" s="25"/>
      <c r="O1931" s="54"/>
      <c r="P1931"/>
      <c r="Q1931" s="25"/>
      <c r="R1931" s="54"/>
      <c r="W1931" s="23"/>
      <c r="X1931" s="23"/>
      <c r="Y1931" s="23"/>
      <c r="Z1931" s="43"/>
      <c r="AA1931" s="23"/>
      <c r="AB1931" s="23"/>
      <c r="AC1931" s="23"/>
      <c r="AD1931" s="23"/>
      <c r="AE1931" s="23"/>
      <c r="AF1931" s="23"/>
      <c r="AG1931" s="23"/>
      <c r="AH1931" s="23"/>
      <c r="AI1931" s="49"/>
    </row>
    <row r="1932" spans="1:35">
      <c r="A1932" s="23"/>
      <c r="B1932" s="42"/>
      <c r="C1932" s="49"/>
      <c r="E1932" s="49"/>
      <c r="G1932" s="43"/>
      <c r="H1932" s="44"/>
      <c r="L1932" s="42"/>
      <c r="M1932" s="42"/>
      <c r="N1932" s="25"/>
      <c r="O1932" s="54"/>
      <c r="P1932"/>
      <c r="Q1932" s="25"/>
      <c r="R1932" s="54"/>
      <c r="W1932" s="23"/>
      <c r="X1932" s="23"/>
      <c r="Y1932" s="23"/>
      <c r="Z1932" s="43"/>
      <c r="AA1932" s="23"/>
      <c r="AB1932" s="23"/>
      <c r="AC1932" s="23"/>
      <c r="AD1932" s="23"/>
      <c r="AE1932" s="23"/>
      <c r="AF1932" s="23"/>
      <c r="AG1932" s="23"/>
      <c r="AH1932" s="23"/>
      <c r="AI1932" s="49"/>
    </row>
    <row r="1933" spans="1:35">
      <c r="A1933" s="23"/>
      <c r="B1933" s="42"/>
      <c r="C1933" s="49"/>
      <c r="E1933" s="49"/>
      <c r="G1933" s="43"/>
      <c r="H1933" s="44"/>
      <c r="L1933" s="42"/>
      <c r="M1933" s="42"/>
      <c r="N1933" s="25"/>
      <c r="O1933" s="54"/>
      <c r="P1933"/>
      <c r="Q1933" s="25"/>
      <c r="R1933" s="54"/>
      <c r="W1933" s="23"/>
      <c r="X1933" s="23"/>
      <c r="Y1933" s="23"/>
      <c r="Z1933" s="43"/>
      <c r="AA1933" s="23"/>
      <c r="AB1933" s="23"/>
      <c r="AC1933" s="23"/>
      <c r="AD1933" s="23"/>
      <c r="AE1933" s="23"/>
      <c r="AF1933" s="23"/>
      <c r="AG1933" s="23"/>
      <c r="AH1933" s="23"/>
      <c r="AI1933" s="49"/>
    </row>
    <row r="1934" spans="1:35">
      <c r="A1934" s="23"/>
      <c r="B1934" s="42"/>
      <c r="C1934" s="49"/>
      <c r="E1934" s="49"/>
      <c r="G1934" s="43"/>
      <c r="H1934" s="44"/>
      <c r="L1934" s="42"/>
      <c r="M1934" s="42"/>
      <c r="N1934" s="25"/>
      <c r="O1934" s="54"/>
      <c r="P1934"/>
      <c r="Q1934" s="25"/>
      <c r="R1934" s="54"/>
      <c r="W1934" s="23"/>
      <c r="X1934" s="23"/>
      <c r="Y1934" s="23"/>
      <c r="Z1934" s="43"/>
      <c r="AA1934" s="23"/>
      <c r="AB1934" s="23"/>
      <c r="AC1934" s="23"/>
      <c r="AD1934" s="23"/>
      <c r="AE1934" s="23"/>
      <c r="AF1934" s="23"/>
      <c r="AG1934" s="23"/>
      <c r="AH1934" s="23"/>
      <c r="AI1934" s="49"/>
    </row>
    <row r="1935" spans="1:35">
      <c r="A1935" s="23"/>
      <c r="B1935" s="42"/>
      <c r="C1935" s="49"/>
      <c r="E1935" s="49"/>
      <c r="G1935" s="43"/>
      <c r="H1935" s="44"/>
      <c r="L1935" s="42"/>
      <c r="M1935" s="42"/>
      <c r="N1935" s="25"/>
      <c r="O1935" s="54"/>
      <c r="P1935"/>
      <c r="Q1935" s="25"/>
      <c r="R1935" s="54"/>
      <c r="W1935" s="23"/>
      <c r="X1935" s="23"/>
      <c r="Y1935" s="23"/>
      <c r="Z1935" s="43"/>
      <c r="AA1935" s="23"/>
      <c r="AB1935" s="23"/>
      <c r="AC1935" s="23"/>
      <c r="AD1935" s="23"/>
      <c r="AE1935" s="23"/>
      <c r="AF1935" s="23"/>
      <c r="AG1935" s="23"/>
      <c r="AH1935" s="23"/>
      <c r="AI1935" s="49"/>
    </row>
    <row r="1936" spans="1:35">
      <c r="A1936" s="23"/>
      <c r="B1936" s="42"/>
      <c r="C1936" s="49"/>
      <c r="E1936" s="49"/>
      <c r="G1936" s="43"/>
      <c r="H1936" s="44"/>
      <c r="L1936" s="42"/>
      <c r="M1936" s="42"/>
      <c r="N1936" s="25"/>
      <c r="O1936" s="54"/>
      <c r="P1936"/>
      <c r="Q1936" s="25"/>
      <c r="R1936" s="54"/>
      <c r="W1936" s="23"/>
      <c r="X1936" s="23"/>
      <c r="Y1936" s="23"/>
      <c r="Z1936" s="43"/>
      <c r="AA1936" s="23"/>
      <c r="AB1936" s="23"/>
      <c r="AC1936" s="23"/>
      <c r="AD1936" s="23"/>
      <c r="AE1936" s="23"/>
      <c r="AF1936" s="23"/>
      <c r="AG1936" s="23"/>
      <c r="AH1936" s="23"/>
      <c r="AI1936" s="49"/>
    </row>
    <row r="1937" spans="1:35">
      <c r="A1937" s="23"/>
      <c r="B1937" s="42"/>
      <c r="C1937" s="49"/>
      <c r="E1937" s="49"/>
      <c r="G1937" s="43"/>
      <c r="H1937" s="44"/>
      <c r="L1937" s="42"/>
      <c r="M1937" s="42"/>
      <c r="N1937" s="25"/>
      <c r="O1937" s="54"/>
      <c r="P1937"/>
      <c r="Q1937" s="25"/>
      <c r="R1937" s="54"/>
      <c r="W1937" s="23"/>
      <c r="X1937" s="23"/>
      <c r="Y1937" s="23"/>
      <c r="Z1937" s="43"/>
      <c r="AA1937" s="23"/>
      <c r="AB1937" s="23"/>
      <c r="AC1937" s="23"/>
      <c r="AD1937" s="23"/>
      <c r="AE1937" s="23"/>
      <c r="AF1937" s="23"/>
      <c r="AG1937" s="23"/>
      <c r="AH1937" s="23"/>
      <c r="AI1937" s="49"/>
    </row>
    <row r="1938" spans="1:35">
      <c r="A1938" s="23"/>
      <c r="B1938" s="42"/>
      <c r="C1938" s="49"/>
      <c r="E1938" s="49"/>
      <c r="G1938" s="43"/>
      <c r="H1938" s="44"/>
      <c r="L1938" s="42"/>
      <c r="M1938" s="42"/>
      <c r="N1938" s="25"/>
      <c r="O1938" s="54"/>
      <c r="P1938"/>
      <c r="Q1938" s="25"/>
      <c r="R1938" s="54"/>
      <c r="W1938" s="23"/>
      <c r="X1938" s="23"/>
      <c r="Y1938" s="23"/>
      <c r="Z1938" s="43"/>
      <c r="AA1938" s="23"/>
      <c r="AB1938" s="23"/>
      <c r="AC1938" s="23"/>
      <c r="AD1938" s="23"/>
      <c r="AE1938" s="23"/>
      <c r="AF1938" s="23"/>
      <c r="AG1938" s="23"/>
      <c r="AH1938" s="23"/>
      <c r="AI1938" s="49"/>
    </row>
    <row r="1939" spans="1:35">
      <c r="A1939" s="23"/>
      <c r="B1939" s="42"/>
      <c r="C1939" s="49"/>
      <c r="E1939" s="49"/>
      <c r="G1939" s="43"/>
      <c r="H1939" s="44"/>
      <c r="L1939" s="42"/>
      <c r="M1939" s="42"/>
      <c r="N1939" s="25"/>
      <c r="O1939" s="54"/>
      <c r="P1939"/>
      <c r="Q1939" s="25"/>
      <c r="R1939" s="54"/>
      <c r="W1939" s="23"/>
      <c r="X1939" s="23"/>
      <c r="Y1939" s="23"/>
      <c r="Z1939" s="43"/>
      <c r="AA1939" s="23"/>
      <c r="AB1939" s="23"/>
      <c r="AC1939" s="23"/>
      <c r="AD1939" s="23"/>
      <c r="AE1939" s="23"/>
      <c r="AF1939" s="23"/>
      <c r="AG1939" s="23"/>
      <c r="AH1939" s="23"/>
      <c r="AI1939" s="49"/>
    </row>
    <row r="1940" spans="1:35">
      <c r="A1940" s="23"/>
      <c r="B1940" s="42"/>
      <c r="C1940" s="49"/>
      <c r="E1940" s="49"/>
      <c r="G1940" s="43"/>
      <c r="H1940" s="44"/>
      <c r="L1940" s="42"/>
      <c r="M1940" s="42"/>
      <c r="N1940" s="25"/>
      <c r="O1940" s="54"/>
      <c r="P1940"/>
      <c r="Q1940" s="25"/>
      <c r="R1940" s="54"/>
      <c r="W1940" s="23"/>
      <c r="X1940" s="23"/>
      <c r="Y1940" s="23"/>
      <c r="Z1940" s="43"/>
      <c r="AA1940" s="23"/>
      <c r="AB1940" s="23"/>
      <c r="AC1940" s="23"/>
      <c r="AD1940" s="23"/>
      <c r="AE1940" s="23"/>
      <c r="AF1940" s="23"/>
      <c r="AG1940" s="23"/>
      <c r="AH1940" s="23"/>
      <c r="AI1940" s="49"/>
    </row>
    <row r="1941" spans="1:35">
      <c r="A1941" s="23"/>
      <c r="B1941" s="42"/>
      <c r="C1941" s="49"/>
      <c r="E1941" s="49"/>
      <c r="G1941" s="43"/>
      <c r="H1941" s="44"/>
      <c r="L1941" s="42"/>
      <c r="M1941" s="42"/>
      <c r="N1941" s="25"/>
      <c r="O1941" s="54"/>
      <c r="P1941"/>
      <c r="Q1941" s="25"/>
      <c r="R1941" s="54"/>
      <c r="W1941" s="23"/>
      <c r="X1941" s="23"/>
      <c r="Y1941" s="23"/>
      <c r="Z1941" s="43"/>
      <c r="AA1941" s="23"/>
      <c r="AB1941" s="23"/>
      <c r="AC1941" s="23"/>
      <c r="AD1941" s="23"/>
      <c r="AE1941" s="23"/>
      <c r="AF1941" s="23"/>
      <c r="AG1941" s="23"/>
      <c r="AH1941" s="23"/>
      <c r="AI1941" s="49"/>
    </row>
    <row r="1942" spans="1:35">
      <c r="A1942" s="23"/>
      <c r="B1942" s="42"/>
      <c r="C1942" s="49"/>
      <c r="E1942" s="49"/>
      <c r="G1942" s="43"/>
      <c r="H1942" s="44"/>
      <c r="L1942" s="42"/>
      <c r="M1942" s="42"/>
      <c r="N1942" s="25"/>
      <c r="O1942" s="54"/>
      <c r="P1942"/>
      <c r="Q1942" s="25"/>
      <c r="R1942" s="54"/>
      <c r="W1942" s="23"/>
      <c r="X1942" s="23"/>
      <c r="Y1942" s="23"/>
      <c r="Z1942" s="43"/>
      <c r="AA1942" s="23"/>
      <c r="AB1942" s="23"/>
      <c r="AC1942" s="23"/>
      <c r="AD1942" s="23"/>
      <c r="AE1942" s="23"/>
      <c r="AF1942" s="23"/>
      <c r="AG1942" s="23"/>
      <c r="AH1942" s="23"/>
      <c r="AI1942" s="49"/>
    </row>
    <row r="1943" spans="1:35">
      <c r="A1943" s="23"/>
      <c r="B1943" s="42"/>
      <c r="C1943" s="49"/>
      <c r="E1943" s="49"/>
      <c r="G1943" s="43"/>
      <c r="H1943" s="44"/>
      <c r="L1943" s="42"/>
      <c r="M1943" s="42"/>
      <c r="N1943" s="25"/>
      <c r="O1943" s="54"/>
      <c r="P1943"/>
      <c r="Q1943" s="25"/>
      <c r="R1943" s="54"/>
      <c r="W1943" s="23"/>
      <c r="X1943" s="23"/>
      <c r="Y1943" s="23"/>
      <c r="Z1943" s="43"/>
      <c r="AA1943" s="23"/>
      <c r="AB1943" s="23"/>
      <c r="AC1943" s="23"/>
      <c r="AD1943" s="23"/>
      <c r="AE1943" s="23"/>
      <c r="AF1943" s="23"/>
      <c r="AG1943" s="23"/>
      <c r="AH1943" s="23"/>
      <c r="AI1943" s="49"/>
    </row>
    <row r="1944" spans="1:35">
      <c r="A1944" s="23"/>
      <c r="B1944" s="42"/>
      <c r="C1944" s="49"/>
      <c r="E1944" s="49"/>
      <c r="G1944" s="43"/>
      <c r="H1944" s="44"/>
      <c r="L1944" s="42"/>
      <c r="M1944" s="42"/>
      <c r="N1944" s="25"/>
      <c r="O1944" s="54"/>
      <c r="P1944"/>
      <c r="Q1944" s="25"/>
      <c r="R1944" s="54"/>
      <c r="W1944" s="23"/>
      <c r="X1944" s="23"/>
      <c r="Y1944" s="23"/>
      <c r="Z1944" s="43"/>
      <c r="AA1944" s="23"/>
      <c r="AB1944" s="23"/>
      <c r="AC1944" s="23"/>
      <c r="AD1944" s="23"/>
      <c r="AE1944" s="23"/>
      <c r="AF1944" s="23"/>
      <c r="AG1944" s="23"/>
      <c r="AH1944" s="23"/>
      <c r="AI1944" s="49"/>
    </row>
    <row r="1945" spans="1:35">
      <c r="A1945" s="23"/>
      <c r="B1945" s="42"/>
      <c r="C1945" s="49"/>
      <c r="E1945" s="49"/>
      <c r="G1945" s="43"/>
      <c r="H1945" s="44"/>
      <c r="L1945" s="42"/>
      <c r="M1945" s="42"/>
      <c r="N1945" s="25"/>
      <c r="O1945" s="54"/>
      <c r="P1945"/>
      <c r="Q1945" s="25"/>
      <c r="R1945" s="54"/>
      <c r="W1945" s="23"/>
      <c r="X1945" s="23"/>
      <c r="Y1945" s="23"/>
      <c r="Z1945" s="43"/>
      <c r="AA1945" s="23"/>
      <c r="AB1945" s="23"/>
      <c r="AC1945" s="23"/>
      <c r="AD1945" s="23"/>
      <c r="AE1945" s="23"/>
      <c r="AF1945" s="23"/>
      <c r="AG1945" s="23"/>
      <c r="AH1945" s="23"/>
      <c r="AI1945" s="49"/>
    </row>
    <row r="1946" spans="1:35">
      <c r="A1946" s="23"/>
      <c r="B1946" s="42"/>
      <c r="C1946" s="49"/>
      <c r="E1946" s="49"/>
      <c r="G1946" s="43"/>
      <c r="H1946" s="44"/>
      <c r="L1946" s="42"/>
      <c r="M1946" s="42"/>
      <c r="N1946" s="25"/>
      <c r="O1946" s="54"/>
      <c r="P1946"/>
      <c r="Q1946" s="25"/>
      <c r="R1946" s="54"/>
      <c r="W1946" s="23"/>
      <c r="X1946" s="23"/>
      <c r="Y1946" s="23"/>
      <c r="Z1946" s="43"/>
      <c r="AA1946" s="23"/>
      <c r="AB1946" s="23"/>
      <c r="AC1946" s="23"/>
      <c r="AD1946" s="23"/>
      <c r="AE1946" s="23"/>
      <c r="AF1946" s="23"/>
      <c r="AG1946" s="23"/>
      <c r="AH1946" s="23"/>
      <c r="AI1946" s="49"/>
    </row>
    <row r="1947" spans="1:35">
      <c r="A1947" s="23"/>
      <c r="B1947" s="42"/>
      <c r="C1947" s="49"/>
      <c r="E1947" s="49"/>
      <c r="G1947" s="43"/>
      <c r="H1947" s="44"/>
      <c r="L1947" s="42"/>
      <c r="M1947" s="42"/>
      <c r="N1947" s="25"/>
      <c r="O1947" s="54"/>
      <c r="P1947"/>
      <c r="Q1947" s="25"/>
      <c r="R1947" s="54"/>
      <c r="W1947" s="23"/>
      <c r="X1947" s="23"/>
      <c r="Y1947" s="23"/>
      <c r="Z1947" s="43"/>
      <c r="AA1947" s="23"/>
      <c r="AB1947" s="23"/>
      <c r="AC1947" s="23"/>
      <c r="AD1947" s="23"/>
      <c r="AE1947" s="23"/>
      <c r="AF1947" s="23"/>
      <c r="AG1947" s="23"/>
      <c r="AH1947" s="23"/>
      <c r="AI1947" s="49"/>
    </row>
    <row r="1948" spans="1:35">
      <c r="A1948" s="23"/>
      <c r="B1948" s="42"/>
      <c r="C1948" s="49"/>
      <c r="E1948" s="49"/>
      <c r="G1948" s="43"/>
      <c r="H1948" s="44"/>
      <c r="L1948" s="42"/>
      <c r="M1948" s="42"/>
      <c r="N1948" s="25"/>
      <c r="O1948" s="54"/>
      <c r="P1948"/>
      <c r="Q1948" s="25"/>
      <c r="R1948" s="54"/>
      <c r="W1948" s="23"/>
      <c r="X1948" s="23"/>
      <c r="Y1948" s="23"/>
      <c r="Z1948" s="43"/>
      <c r="AA1948" s="23"/>
      <c r="AB1948" s="23"/>
      <c r="AC1948" s="23"/>
      <c r="AD1948" s="23"/>
      <c r="AE1948" s="23"/>
      <c r="AF1948" s="23"/>
      <c r="AG1948" s="23"/>
      <c r="AH1948" s="23"/>
      <c r="AI1948" s="49"/>
    </row>
    <row r="1949" spans="1:35">
      <c r="A1949" s="23"/>
      <c r="B1949" s="42"/>
      <c r="C1949" s="49"/>
      <c r="E1949" s="49"/>
      <c r="G1949" s="43"/>
      <c r="H1949" s="44"/>
      <c r="L1949" s="42"/>
      <c r="M1949" s="42"/>
      <c r="N1949" s="25"/>
      <c r="O1949" s="54"/>
      <c r="P1949"/>
      <c r="Q1949" s="25"/>
      <c r="R1949" s="54"/>
      <c r="W1949" s="23"/>
      <c r="X1949" s="23"/>
      <c r="Y1949" s="23"/>
      <c r="Z1949" s="43"/>
      <c r="AA1949" s="23"/>
      <c r="AB1949" s="23"/>
      <c r="AC1949" s="23"/>
      <c r="AD1949" s="23"/>
      <c r="AE1949" s="23"/>
      <c r="AF1949" s="23"/>
      <c r="AG1949" s="23"/>
      <c r="AH1949" s="23"/>
      <c r="AI1949" s="49"/>
    </row>
    <row r="1950" spans="1:35">
      <c r="A1950" s="23"/>
      <c r="B1950" s="42"/>
      <c r="C1950" s="49"/>
      <c r="E1950" s="49"/>
      <c r="G1950" s="43"/>
      <c r="H1950" s="44"/>
      <c r="L1950" s="42"/>
      <c r="M1950" s="42"/>
      <c r="N1950" s="25"/>
      <c r="O1950" s="54"/>
      <c r="P1950"/>
      <c r="Q1950" s="25"/>
      <c r="R1950" s="54"/>
      <c r="W1950" s="23"/>
      <c r="X1950" s="23"/>
      <c r="Y1950" s="23"/>
      <c r="Z1950" s="43"/>
      <c r="AA1950" s="23"/>
      <c r="AB1950" s="23"/>
      <c r="AC1950" s="23"/>
      <c r="AD1950" s="23"/>
      <c r="AE1950" s="23"/>
      <c r="AF1950" s="23"/>
      <c r="AG1950" s="23"/>
      <c r="AH1950" s="23"/>
      <c r="AI1950" s="49"/>
    </row>
    <row r="1951" spans="1:35">
      <c r="A1951" s="23"/>
      <c r="B1951" s="42"/>
      <c r="C1951" s="49"/>
      <c r="E1951" s="49"/>
      <c r="G1951" s="43"/>
      <c r="H1951" s="44"/>
      <c r="L1951" s="42"/>
      <c r="M1951" s="42"/>
      <c r="N1951" s="25"/>
      <c r="O1951" s="54"/>
      <c r="P1951"/>
      <c r="Q1951" s="25"/>
      <c r="R1951" s="54"/>
      <c r="W1951" s="23"/>
      <c r="X1951" s="23"/>
      <c r="Y1951" s="23"/>
      <c r="Z1951" s="43"/>
      <c r="AA1951" s="23"/>
      <c r="AB1951" s="23"/>
      <c r="AC1951" s="23"/>
      <c r="AD1951" s="23"/>
      <c r="AE1951" s="23"/>
      <c r="AF1951" s="23"/>
      <c r="AG1951" s="23"/>
      <c r="AH1951" s="23"/>
      <c r="AI1951" s="49"/>
    </row>
    <row r="1952" spans="1:35">
      <c r="A1952" s="23"/>
      <c r="B1952" s="42"/>
      <c r="C1952" s="49"/>
      <c r="E1952" s="49"/>
      <c r="G1952" s="43"/>
      <c r="H1952" s="44"/>
      <c r="L1952" s="42"/>
      <c r="M1952" s="42"/>
      <c r="N1952" s="25"/>
      <c r="O1952" s="54"/>
      <c r="P1952"/>
      <c r="Q1952" s="25"/>
      <c r="R1952" s="54"/>
      <c r="W1952" s="23"/>
      <c r="X1952" s="23"/>
      <c r="Y1952" s="23"/>
      <c r="Z1952" s="43"/>
      <c r="AA1952" s="23"/>
      <c r="AB1952" s="23"/>
      <c r="AC1952" s="23"/>
      <c r="AD1952" s="23"/>
      <c r="AE1952" s="23"/>
      <c r="AF1952" s="23"/>
      <c r="AG1952" s="23"/>
      <c r="AH1952" s="23"/>
      <c r="AI1952" s="49"/>
    </row>
    <row r="1953" spans="1:35">
      <c r="A1953" s="23"/>
      <c r="B1953" s="42"/>
      <c r="C1953" s="49"/>
      <c r="E1953" s="49"/>
      <c r="G1953" s="43"/>
      <c r="H1953" s="44"/>
      <c r="L1953" s="42"/>
      <c r="M1953" s="42"/>
      <c r="N1953" s="25"/>
      <c r="O1953" s="54"/>
      <c r="P1953"/>
      <c r="Q1953" s="25"/>
      <c r="R1953" s="54"/>
      <c r="W1953" s="23"/>
      <c r="X1953" s="23"/>
      <c r="Y1953" s="23"/>
      <c r="Z1953" s="43"/>
      <c r="AA1953" s="23"/>
      <c r="AB1953" s="23"/>
      <c r="AC1953" s="23"/>
      <c r="AD1953" s="23"/>
      <c r="AE1953" s="23"/>
      <c r="AF1953" s="23"/>
      <c r="AG1953" s="23"/>
      <c r="AH1953" s="23"/>
      <c r="AI1953" s="49"/>
    </row>
    <row r="1954" spans="1:35">
      <c r="A1954" s="23"/>
      <c r="B1954" s="42"/>
      <c r="C1954" s="49"/>
      <c r="E1954" s="49"/>
      <c r="G1954" s="43"/>
      <c r="H1954" s="44"/>
      <c r="L1954" s="42"/>
      <c r="M1954" s="42"/>
      <c r="N1954" s="25"/>
      <c r="O1954" s="54"/>
      <c r="P1954"/>
      <c r="Q1954" s="25"/>
      <c r="R1954" s="54"/>
      <c r="W1954" s="23"/>
      <c r="X1954" s="23"/>
      <c r="Y1954" s="23"/>
      <c r="Z1954" s="43"/>
      <c r="AA1954" s="23"/>
      <c r="AB1954" s="23"/>
      <c r="AC1954" s="23"/>
      <c r="AD1954" s="23"/>
      <c r="AE1954" s="23"/>
      <c r="AF1954" s="23"/>
      <c r="AG1954" s="23"/>
      <c r="AH1954" s="23"/>
      <c r="AI1954" s="49"/>
    </row>
    <row r="1955" spans="1:35">
      <c r="A1955" s="23"/>
      <c r="B1955" s="42"/>
      <c r="C1955" s="49"/>
      <c r="E1955" s="49"/>
      <c r="G1955" s="43"/>
      <c r="H1955" s="44"/>
      <c r="L1955" s="42"/>
      <c r="M1955" s="42"/>
      <c r="N1955" s="25"/>
      <c r="O1955" s="54"/>
      <c r="P1955"/>
      <c r="Q1955" s="25"/>
      <c r="R1955" s="54"/>
      <c r="W1955" s="23"/>
      <c r="X1955" s="23"/>
      <c r="Y1955" s="23"/>
      <c r="Z1955" s="43"/>
      <c r="AA1955" s="23"/>
      <c r="AB1955" s="23"/>
      <c r="AC1955" s="23"/>
      <c r="AD1955" s="23"/>
      <c r="AE1955" s="23"/>
      <c r="AF1955" s="23"/>
      <c r="AG1955" s="23"/>
      <c r="AH1955" s="23"/>
      <c r="AI1955" s="49"/>
    </row>
    <row r="1956" spans="1:35">
      <c r="A1956" s="23"/>
      <c r="B1956" s="42"/>
      <c r="C1956" s="49"/>
      <c r="E1956" s="49"/>
      <c r="G1956" s="43"/>
      <c r="H1956" s="44"/>
      <c r="L1956" s="42"/>
      <c r="M1956" s="42"/>
      <c r="N1956" s="25"/>
      <c r="O1956" s="54"/>
      <c r="P1956"/>
      <c r="Q1956" s="25"/>
      <c r="R1956" s="54"/>
      <c r="W1956" s="23"/>
      <c r="X1956" s="23"/>
      <c r="Y1956" s="23"/>
      <c r="Z1956" s="43"/>
      <c r="AA1956" s="23"/>
      <c r="AB1956" s="23"/>
      <c r="AC1956" s="23"/>
      <c r="AD1956" s="23"/>
      <c r="AE1956" s="23"/>
      <c r="AF1956" s="23"/>
      <c r="AG1956" s="23"/>
      <c r="AH1956" s="23"/>
      <c r="AI1956" s="49"/>
    </row>
    <row r="1957" spans="1:35">
      <c r="A1957" s="23"/>
      <c r="B1957" s="42"/>
      <c r="C1957" s="49"/>
      <c r="E1957" s="49"/>
      <c r="G1957" s="43"/>
      <c r="H1957" s="44"/>
      <c r="L1957" s="42"/>
      <c r="M1957" s="42"/>
      <c r="N1957" s="25"/>
      <c r="O1957" s="54"/>
      <c r="P1957"/>
      <c r="Q1957" s="25"/>
      <c r="R1957" s="54"/>
      <c r="W1957" s="23"/>
      <c r="X1957" s="23"/>
      <c r="Y1957" s="23"/>
      <c r="Z1957" s="43"/>
      <c r="AA1957" s="23"/>
      <c r="AB1957" s="23"/>
      <c r="AC1957" s="23"/>
      <c r="AD1957" s="23"/>
      <c r="AE1957" s="23"/>
      <c r="AF1957" s="23"/>
      <c r="AG1957" s="23"/>
      <c r="AH1957" s="23"/>
      <c r="AI1957" s="49"/>
    </row>
    <row r="1958" spans="1:35">
      <c r="A1958" s="23"/>
      <c r="B1958" s="42"/>
      <c r="C1958" s="49"/>
      <c r="E1958" s="49"/>
      <c r="G1958" s="43"/>
      <c r="H1958" s="44"/>
      <c r="L1958" s="42"/>
      <c r="M1958" s="42"/>
      <c r="N1958" s="25"/>
      <c r="O1958" s="54"/>
      <c r="P1958"/>
      <c r="Q1958" s="25"/>
      <c r="R1958" s="54"/>
      <c r="W1958" s="23"/>
      <c r="X1958" s="23"/>
      <c r="Y1958" s="23"/>
      <c r="Z1958" s="43"/>
      <c r="AA1958" s="23"/>
      <c r="AB1958" s="23"/>
      <c r="AC1958" s="23"/>
      <c r="AD1958" s="23"/>
      <c r="AE1958" s="23"/>
      <c r="AF1958" s="23"/>
      <c r="AG1958" s="23"/>
      <c r="AH1958" s="23"/>
      <c r="AI1958" s="49"/>
    </row>
    <row r="1959" spans="1:35">
      <c r="A1959" s="23"/>
      <c r="B1959" s="42"/>
      <c r="C1959" s="49"/>
      <c r="E1959" s="49"/>
      <c r="G1959" s="43"/>
      <c r="H1959" s="44"/>
      <c r="L1959" s="42"/>
      <c r="M1959" s="42"/>
      <c r="N1959" s="25"/>
      <c r="O1959" s="54"/>
      <c r="P1959"/>
      <c r="Q1959" s="25"/>
      <c r="R1959" s="54"/>
      <c r="W1959" s="23"/>
      <c r="X1959" s="23"/>
      <c r="Y1959" s="23"/>
      <c r="Z1959" s="43"/>
      <c r="AA1959" s="23"/>
      <c r="AB1959" s="23"/>
      <c r="AC1959" s="23"/>
      <c r="AD1959" s="23"/>
      <c r="AE1959" s="23"/>
      <c r="AF1959" s="23"/>
      <c r="AG1959" s="23"/>
      <c r="AH1959" s="23"/>
      <c r="AI1959" s="49"/>
    </row>
    <row r="1960" spans="1:35">
      <c r="A1960" s="23"/>
      <c r="B1960" s="42"/>
      <c r="C1960" s="49"/>
      <c r="E1960" s="49"/>
      <c r="G1960" s="43"/>
      <c r="H1960" s="44"/>
      <c r="L1960" s="42"/>
      <c r="M1960" s="42"/>
      <c r="N1960" s="25"/>
      <c r="O1960" s="54"/>
      <c r="P1960"/>
      <c r="Q1960" s="25"/>
      <c r="R1960" s="54"/>
      <c r="W1960" s="23"/>
      <c r="X1960" s="23"/>
      <c r="Y1960" s="23"/>
      <c r="Z1960" s="43"/>
      <c r="AA1960" s="23"/>
      <c r="AB1960" s="23"/>
      <c r="AC1960" s="23"/>
      <c r="AD1960" s="23"/>
      <c r="AE1960" s="23"/>
      <c r="AF1960" s="23"/>
      <c r="AG1960" s="23"/>
      <c r="AH1960" s="23"/>
      <c r="AI1960" s="49"/>
    </row>
    <row r="1961" spans="1:35">
      <c r="A1961" s="23"/>
      <c r="B1961" s="42"/>
      <c r="C1961" s="49"/>
      <c r="E1961" s="49"/>
      <c r="G1961" s="43"/>
      <c r="H1961" s="44"/>
      <c r="L1961" s="42"/>
      <c r="M1961" s="42"/>
      <c r="N1961" s="25"/>
      <c r="O1961" s="54"/>
      <c r="P1961"/>
      <c r="Q1961" s="25"/>
      <c r="R1961" s="54"/>
      <c r="W1961" s="23"/>
      <c r="X1961" s="23"/>
      <c r="Y1961" s="23"/>
      <c r="Z1961" s="43"/>
      <c r="AA1961" s="23"/>
      <c r="AB1961" s="23"/>
      <c r="AC1961" s="23"/>
      <c r="AD1961" s="23"/>
      <c r="AE1961" s="23"/>
      <c r="AF1961" s="23"/>
      <c r="AG1961" s="23"/>
      <c r="AH1961" s="23"/>
      <c r="AI1961" s="49"/>
    </row>
    <row r="1962" spans="1:35">
      <c r="A1962" s="23"/>
      <c r="B1962" s="42"/>
      <c r="C1962" s="49"/>
      <c r="E1962" s="49"/>
      <c r="G1962" s="43"/>
      <c r="H1962" s="44"/>
      <c r="L1962" s="42"/>
      <c r="M1962" s="42"/>
      <c r="N1962" s="25"/>
      <c r="O1962" s="54"/>
      <c r="P1962"/>
      <c r="Q1962" s="25"/>
      <c r="R1962" s="54"/>
      <c r="W1962" s="23"/>
      <c r="X1962" s="23"/>
      <c r="Y1962" s="23"/>
      <c r="Z1962" s="43"/>
      <c r="AA1962" s="23"/>
      <c r="AB1962" s="23"/>
      <c r="AC1962" s="23"/>
      <c r="AD1962" s="23"/>
      <c r="AE1962" s="23"/>
      <c r="AF1962" s="23"/>
      <c r="AG1962" s="23"/>
      <c r="AH1962" s="23"/>
      <c r="AI1962" s="49"/>
    </row>
    <row r="1963" spans="1:35">
      <c r="A1963" s="23"/>
      <c r="B1963" s="42"/>
      <c r="C1963" s="49"/>
      <c r="E1963" s="49"/>
      <c r="G1963" s="43"/>
      <c r="H1963" s="44"/>
      <c r="L1963" s="42"/>
      <c r="M1963" s="42"/>
      <c r="N1963" s="25"/>
      <c r="O1963" s="54"/>
      <c r="P1963"/>
      <c r="Q1963" s="25"/>
      <c r="R1963" s="54"/>
      <c r="W1963" s="23"/>
      <c r="X1963" s="23"/>
      <c r="Y1963" s="23"/>
      <c r="Z1963" s="43"/>
      <c r="AA1963" s="23"/>
      <c r="AB1963" s="23"/>
      <c r="AC1963" s="23"/>
      <c r="AD1963" s="23"/>
      <c r="AE1963" s="23"/>
      <c r="AF1963" s="23"/>
      <c r="AG1963" s="23"/>
      <c r="AH1963" s="23"/>
      <c r="AI1963" s="49"/>
    </row>
    <row r="1964" spans="1:35">
      <c r="A1964" s="23"/>
      <c r="B1964" s="42"/>
      <c r="C1964" s="49"/>
      <c r="E1964" s="49"/>
      <c r="G1964" s="43"/>
      <c r="H1964" s="44"/>
      <c r="L1964" s="42"/>
      <c r="M1964" s="42"/>
      <c r="N1964" s="25"/>
      <c r="O1964" s="54"/>
      <c r="P1964"/>
      <c r="Q1964" s="25"/>
      <c r="R1964" s="54"/>
      <c r="W1964" s="23"/>
      <c r="X1964" s="23"/>
      <c r="Y1964" s="23"/>
      <c r="Z1964" s="43"/>
      <c r="AA1964" s="23"/>
      <c r="AB1964" s="23"/>
      <c r="AC1964" s="23"/>
      <c r="AD1964" s="23"/>
      <c r="AE1964" s="23"/>
      <c r="AF1964" s="23"/>
      <c r="AG1964" s="23"/>
      <c r="AH1964" s="23"/>
      <c r="AI1964" s="49"/>
    </row>
    <row r="1965" spans="1:35">
      <c r="A1965" s="23"/>
      <c r="B1965" s="42"/>
      <c r="C1965" s="49"/>
      <c r="E1965" s="49"/>
      <c r="G1965" s="43"/>
      <c r="H1965" s="44"/>
      <c r="L1965" s="42"/>
      <c r="M1965" s="42"/>
      <c r="N1965" s="25"/>
      <c r="O1965" s="54"/>
      <c r="P1965"/>
      <c r="Q1965" s="25"/>
      <c r="R1965" s="54"/>
      <c r="W1965" s="23"/>
      <c r="X1965" s="23"/>
      <c r="Y1965" s="23"/>
      <c r="Z1965" s="43"/>
      <c r="AA1965" s="23"/>
      <c r="AB1965" s="23"/>
      <c r="AC1965" s="23"/>
      <c r="AD1965" s="23"/>
      <c r="AE1965" s="23"/>
      <c r="AF1965" s="23"/>
      <c r="AG1965" s="23"/>
      <c r="AH1965" s="23"/>
      <c r="AI1965" s="49"/>
    </row>
    <row r="1966" spans="1:35">
      <c r="A1966" s="23"/>
      <c r="B1966" s="42"/>
      <c r="C1966" s="49"/>
      <c r="E1966" s="49"/>
      <c r="G1966" s="43"/>
      <c r="H1966" s="44"/>
      <c r="L1966" s="42"/>
      <c r="M1966" s="42"/>
      <c r="N1966" s="25"/>
      <c r="O1966" s="54"/>
      <c r="P1966"/>
      <c r="Q1966" s="25"/>
      <c r="R1966" s="54"/>
      <c r="W1966" s="23"/>
      <c r="X1966" s="23"/>
      <c r="Y1966" s="23"/>
      <c r="Z1966" s="43"/>
      <c r="AA1966" s="23"/>
      <c r="AB1966" s="23"/>
      <c r="AC1966" s="23"/>
      <c r="AD1966" s="23"/>
      <c r="AE1966" s="23"/>
      <c r="AF1966" s="23"/>
      <c r="AG1966" s="23"/>
      <c r="AH1966" s="23"/>
      <c r="AI1966" s="49"/>
    </row>
    <row r="1967" spans="1:35">
      <c r="A1967" s="23"/>
      <c r="B1967" s="42"/>
      <c r="C1967" s="49"/>
      <c r="E1967" s="49"/>
      <c r="G1967" s="43"/>
      <c r="H1967" s="44"/>
      <c r="L1967" s="42"/>
      <c r="M1967" s="42"/>
      <c r="N1967" s="25"/>
      <c r="O1967" s="54"/>
      <c r="P1967"/>
      <c r="Q1967" s="25"/>
      <c r="R1967" s="54"/>
      <c r="W1967" s="23"/>
      <c r="X1967" s="23"/>
      <c r="Y1967" s="23"/>
      <c r="Z1967" s="43"/>
      <c r="AA1967" s="23"/>
      <c r="AB1967" s="23"/>
      <c r="AC1967" s="23"/>
      <c r="AD1967" s="23"/>
      <c r="AE1967" s="23"/>
      <c r="AF1967" s="23"/>
      <c r="AG1967" s="23"/>
      <c r="AH1967" s="23"/>
      <c r="AI1967" s="49"/>
    </row>
    <row r="1968" spans="1:35">
      <c r="A1968" s="23"/>
      <c r="B1968" s="42"/>
      <c r="C1968" s="49"/>
      <c r="E1968" s="49"/>
      <c r="G1968" s="43"/>
      <c r="H1968" s="44"/>
      <c r="L1968" s="42"/>
      <c r="M1968" s="42"/>
      <c r="N1968" s="25"/>
      <c r="O1968" s="54"/>
      <c r="P1968"/>
      <c r="Q1968" s="25"/>
      <c r="R1968" s="54"/>
      <c r="W1968" s="23"/>
      <c r="X1968" s="23"/>
      <c r="Y1968" s="23"/>
      <c r="Z1968" s="43"/>
      <c r="AA1968" s="23"/>
      <c r="AB1968" s="23"/>
      <c r="AC1968" s="23"/>
      <c r="AD1968" s="23"/>
      <c r="AE1968" s="23"/>
      <c r="AF1968" s="23"/>
      <c r="AG1968" s="23"/>
      <c r="AH1968" s="23"/>
      <c r="AI1968" s="49"/>
    </row>
    <row r="1969" spans="1:35">
      <c r="A1969" s="23"/>
      <c r="B1969" s="42"/>
      <c r="C1969" s="49"/>
      <c r="E1969" s="49"/>
      <c r="G1969" s="43"/>
      <c r="H1969" s="44"/>
      <c r="L1969" s="42"/>
      <c r="M1969" s="42"/>
      <c r="N1969" s="25"/>
      <c r="O1969" s="54"/>
      <c r="P1969"/>
      <c r="Q1969" s="25"/>
      <c r="R1969" s="54"/>
      <c r="W1969" s="23"/>
      <c r="X1969" s="23"/>
      <c r="Y1969" s="23"/>
      <c r="Z1969" s="43"/>
      <c r="AA1969" s="23"/>
      <c r="AB1969" s="23"/>
      <c r="AC1969" s="23"/>
      <c r="AD1969" s="23"/>
      <c r="AE1969" s="23"/>
      <c r="AF1969" s="23"/>
      <c r="AG1969" s="23"/>
      <c r="AH1969" s="23"/>
      <c r="AI1969" s="49"/>
    </row>
    <row r="1970" spans="1:35">
      <c r="A1970" s="23"/>
      <c r="B1970" s="42"/>
      <c r="C1970" s="49"/>
      <c r="E1970" s="49"/>
      <c r="G1970" s="43"/>
      <c r="H1970" s="44"/>
      <c r="L1970" s="42"/>
      <c r="M1970" s="42"/>
      <c r="N1970" s="25"/>
      <c r="O1970" s="54"/>
      <c r="P1970"/>
      <c r="Q1970" s="25"/>
      <c r="R1970" s="54"/>
      <c r="W1970" s="23"/>
      <c r="X1970" s="23"/>
      <c r="Y1970" s="23"/>
      <c r="Z1970" s="43"/>
      <c r="AA1970" s="23"/>
      <c r="AB1970" s="23"/>
      <c r="AC1970" s="23"/>
      <c r="AD1970" s="23"/>
      <c r="AE1970" s="23"/>
      <c r="AF1970" s="23"/>
      <c r="AG1970" s="23"/>
      <c r="AH1970" s="23"/>
      <c r="AI1970" s="49"/>
    </row>
    <row r="1971" spans="1:35">
      <c r="A1971" s="23"/>
      <c r="B1971" s="42"/>
      <c r="C1971" s="49"/>
      <c r="E1971" s="49"/>
      <c r="G1971" s="43"/>
      <c r="H1971" s="44"/>
      <c r="L1971" s="42"/>
      <c r="M1971" s="42"/>
      <c r="N1971" s="25"/>
      <c r="O1971" s="54"/>
      <c r="P1971"/>
      <c r="Q1971" s="25"/>
      <c r="R1971" s="54"/>
      <c r="W1971" s="23"/>
      <c r="X1971" s="23"/>
      <c r="Y1971" s="23"/>
      <c r="Z1971" s="43"/>
      <c r="AA1971" s="23"/>
      <c r="AB1971" s="23"/>
      <c r="AC1971" s="23"/>
      <c r="AD1971" s="23"/>
      <c r="AE1971" s="23"/>
      <c r="AF1971" s="23"/>
      <c r="AG1971" s="23"/>
      <c r="AH1971" s="23"/>
      <c r="AI1971" s="49"/>
    </row>
    <row r="1972" spans="1:35">
      <c r="A1972" s="23"/>
      <c r="B1972" s="42"/>
      <c r="C1972" s="49"/>
      <c r="E1972" s="49"/>
      <c r="G1972" s="43"/>
      <c r="H1972" s="44"/>
      <c r="L1972" s="42"/>
      <c r="M1972" s="42"/>
      <c r="N1972" s="25"/>
      <c r="O1972" s="54"/>
      <c r="P1972"/>
      <c r="Q1972" s="25"/>
      <c r="R1972" s="54"/>
      <c r="W1972" s="23"/>
      <c r="X1972" s="23"/>
      <c r="Y1972" s="23"/>
      <c r="Z1972" s="43"/>
      <c r="AA1972" s="23"/>
      <c r="AB1972" s="23"/>
      <c r="AC1972" s="23"/>
      <c r="AD1972" s="23"/>
      <c r="AE1972" s="23"/>
      <c r="AF1972" s="23"/>
      <c r="AG1972" s="23"/>
      <c r="AH1972" s="23"/>
      <c r="AI1972" s="49"/>
    </row>
    <row r="1973" spans="1:35">
      <c r="A1973" s="23"/>
      <c r="B1973" s="42"/>
      <c r="C1973" s="49"/>
      <c r="E1973" s="49"/>
      <c r="G1973" s="43"/>
      <c r="H1973" s="44"/>
      <c r="L1973" s="42"/>
      <c r="M1973" s="42"/>
      <c r="N1973" s="25"/>
      <c r="O1973" s="54"/>
      <c r="P1973"/>
      <c r="Q1973" s="25"/>
      <c r="R1973" s="54"/>
      <c r="W1973" s="23"/>
      <c r="X1973" s="23"/>
      <c r="Y1973" s="23"/>
      <c r="Z1973" s="43"/>
      <c r="AA1973" s="23"/>
      <c r="AB1973" s="23"/>
      <c r="AC1973" s="23"/>
      <c r="AD1973" s="23"/>
      <c r="AE1973" s="23"/>
      <c r="AF1973" s="23"/>
      <c r="AG1973" s="23"/>
      <c r="AH1973" s="23"/>
      <c r="AI1973" s="49"/>
    </row>
    <row r="1974" spans="1:35">
      <c r="A1974" s="23"/>
      <c r="B1974" s="42"/>
      <c r="C1974" s="49"/>
      <c r="E1974" s="49"/>
      <c r="G1974" s="43"/>
      <c r="H1974" s="44"/>
      <c r="L1974" s="42"/>
      <c r="M1974" s="42"/>
      <c r="N1974" s="25"/>
      <c r="O1974" s="54"/>
      <c r="P1974"/>
      <c r="Q1974" s="25"/>
      <c r="R1974" s="54"/>
      <c r="W1974" s="23"/>
      <c r="X1974" s="23"/>
      <c r="Y1974" s="23"/>
      <c r="Z1974" s="43"/>
      <c r="AA1974" s="23"/>
      <c r="AB1974" s="23"/>
      <c r="AC1974" s="23"/>
      <c r="AD1974" s="23"/>
      <c r="AE1974" s="23"/>
      <c r="AF1974" s="23"/>
      <c r="AG1974" s="23"/>
      <c r="AH1974" s="23"/>
      <c r="AI1974" s="49"/>
    </row>
    <row r="1975" spans="1:35">
      <c r="A1975" s="23"/>
      <c r="B1975" s="42"/>
      <c r="C1975" s="49"/>
      <c r="E1975" s="49"/>
      <c r="G1975" s="43"/>
      <c r="H1975" s="44"/>
      <c r="L1975" s="42"/>
      <c r="M1975" s="42"/>
      <c r="N1975" s="25"/>
      <c r="O1975" s="54"/>
      <c r="P1975"/>
      <c r="Q1975" s="25"/>
      <c r="R1975" s="54"/>
      <c r="W1975" s="23"/>
      <c r="X1975" s="23"/>
      <c r="Y1975" s="23"/>
      <c r="Z1975" s="43"/>
      <c r="AA1975" s="23"/>
      <c r="AB1975" s="23"/>
      <c r="AC1975" s="23"/>
      <c r="AD1975" s="23"/>
      <c r="AE1975" s="23"/>
      <c r="AF1975" s="23"/>
      <c r="AG1975" s="23"/>
      <c r="AH1975" s="23"/>
      <c r="AI1975" s="49"/>
    </row>
    <row r="1976" spans="1:35">
      <c r="A1976" s="23"/>
      <c r="B1976" s="42"/>
      <c r="C1976" s="49"/>
      <c r="E1976" s="49"/>
      <c r="G1976" s="43"/>
      <c r="H1976" s="44"/>
      <c r="L1976" s="42"/>
      <c r="M1976" s="42"/>
      <c r="N1976" s="25"/>
      <c r="O1976" s="54"/>
      <c r="P1976"/>
      <c r="Q1976" s="25"/>
      <c r="R1976" s="54"/>
      <c r="W1976" s="23"/>
      <c r="X1976" s="23"/>
      <c r="Y1976" s="23"/>
      <c r="Z1976" s="43"/>
      <c r="AA1976" s="23"/>
      <c r="AB1976" s="23"/>
      <c r="AC1976" s="23"/>
      <c r="AD1976" s="23"/>
      <c r="AE1976" s="23"/>
      <c r="AF1976" s="23"/>
      <c r="AG1976" s="23"/>
      <c r="AH1976" s="23"/>
      <c r="AI1976" s="49"/>
    </row>
    <row r="1977" spans="1:35">
      <c r="A1977" s="23"/>
      <c r="B1977" s="42"/>
      <c r="C1977" s="49"/>
      <c r="E1977" s="49"/>
      <c r="G1977" s="43"/>
      <c r="H1977" s="44"/>
      <c r="L1977" s="42"/>
      <c r="M1977" s="42"/>
      <c r="N1977" s="25"/>
      <c r="O1977" s="54"/>
      <c r="P1977"/>
      <c r="Q1977" s="25"/>
      <c r="R1977" s="54"/>
      <c r="W1977" s="23"/>
      <c r="X1977" s="23"/>
      <c r="Y1977" s="23"/>
      <c r="Z1977" s="43"/>
      <c r="AA1977" s="23"/>
      <c r="AB1977" s="23"/>
      <c r="AC1977" s="23"/>
      <c r="AD1977" s="23"/>
      <c r="AE1977" s="23"/>
      <c r="AF1977" s="23"/>
      <c r="AG1977" s="23"/>
      <c r="AH1977" s="23"/>
      <c r="AI1977" s="49"/>
    </row>
    <row r="1978" spans="1:35">
      <c r="A1978" s="23"/>
      <c r="B1978" s="42"/>
      <c r="C1978" s="49"/>
      <c r="E1978" s="49"/>
      <c r="G1978" s="43"/>
      <c r="H1978" s="44"/>
      <c r="L1978" s="42"/>
      <c r="M1978" s="42"/>
      <c r="N1978" s="25"/>
      <c r="O1978" s="54"/>
      <c r="P1978"/>
      <c r="Q1978" s="25"/>
      <c r="R1978" s="54"/>
      <c r="W1978" s="23"/>
      <c r="X1978" s="23"/>
      <c r="Y1978" s="23"/>
      <c r="Z1978" s="43"/>
      <c r="AA1978" s="23"/>
      <c r="AB1978" s="23"/>
      <c r="AC1978" s="23"/>
      <c r="AD1978" s="23"/>
      <c r="AE1978" s="23"/>
      <c r="AF1978" s="23"/>
      <c r="AG1978" s="23"/>
      <c r="AH1978" s="23"/>
      <c r="AI1978" s="49"/>
    </row>
    <row r="1979" spans="1:35">
      <c r="A1979" s="23"/>
      <c r="B1979" s="42"/>
      <c r="C1979" s="49"/>
      <c r="E1979" s="49"/>
      <c r="G1979" s="43"/>
      <c r="H1979" s="44"/>
      <c r="L1979" s="42"/>
      <c r="M1979" s="42"/>
      <c r="N1979" s="25"/>
      <c r="O1979" s="54"/>
      <c r="P1979"/>
      <c r="Q1979" s="25"/>
      <c r="R1979" s="54"/>
      <c r="W1979" s="23"/>
      <c r="X1979" s="23"/>
      <c r="Y1979" s="23"/>
      <c r="Z1979" s="43"/>
      <c r="AA1979" s="23"/>
      <c r="AB1979" s="23"/>
      <c r="AC1979" s="23"/>
      <c r="AD1979" s="23"/>
      <c r="AE1979" s="23"/>
      <c r="AF1979" s="23"/>
      <c r="AG1979" s="23"/>
      <c r="AH1979" s="23"/>
      <c r="AI1979" s="49"/>
    </row>
    <row r="1980" spans="1:35">
      <c r="A1980" s="23"/>
      <c r="B1980" s="42"/>
      <c r="C1980" s="49"/>
      <c r="E1980" s="49"/>
      <c r="G1980" s="43"/>
      <c r="H1980" s="44"/>
      <c r="L1980" s="42"/>
      <c r="M1980" s="42"/>
      <c r="N1980" s="25"/>
      <c r="O1980" s="54"/>
      <c r="P1980"/>
      <c r="Q1980" s="25"/>
      <c r="R1980" s="54"/>
      <c r="W1980" s="23"/>
      <c r="X1980" s="23"/>
      <c r="Y1980" s="23"/>
      <c r="Z1980" s="43"/>
      <c r="AA1980" s="23"/>
      <c r="AB1980" s="23"/>
      <c r="AC1980" s="23"/>
      <c r="AD1980" s="23"/>
      <c r="AE1980" s="23"/>
      <c r="AF1980" s="23"/>
      <c r="AG1980" s="23"/>
      <c r="AH1980" s="23"/>
      <c r="AI1980" s="49"/>
    </row>
    <row r="1981" spans="1:35">
      <c r="A1981" s="23"/>
      <c r="B1981" s="42"/>
      <c r="C1981" s="49"/>
      <c r="E1981" s="49"/>
      <c r="G1981" s="43"/>
      <c r="H1981" s="44"/>
      <c r="L1981" s="42"/>
      <c r="M1981" s="42"/>
      <c r="N1981" s="25"/>
      <c r="O1981" s="54"/>
      <c r="P1981"/>
      <c r="Q1981" s="25"/>
      <c r="R1981" s="54"/>
      <c r="W1981" s="23"/>
      <c r="X1981" s="23"/>
      <c r="Y1981" s="23"/>
      <c r="Z1981" s="43"/>
      <c r="AA1981" s="23"/>
      <c r="AB1981" s="23"/>
      <c r="AC1981" s="23"/>
      <c r="AD1981" s="23"/>
      <c r="AE1981" s="23"/>
      <c r="AF1981" s="23"/>
      <c r="AG1981" s="23"/>
      <c r="AH1981" s="23"/>
      <c r="AI1981" s="49"/>
    </row>
    <row r="1982" spans="1:35">
      <c r="A1982" s="23"/>
      <c r="B1982" s="42"/>
      <c r="C1982" s="49"/>
      <c r="E1982" s="49"/>
      <c r="G1982" s="43"/>
      <c r="H1982" s="44"/>
      <c r="L1982" s="42"/>
      <c r="M1982" s="42"/>
      <c r="N1982" s="25"/>
      <c r="O1982" s="54"/>
      <c r="P1982"/>
      <c r="Q1982" s="25"/>
      <c r="R1982" s="54"/>
      <c r="W1982" s="23"/>
      <c r="X1982" s="23"/>
      <c r="Y1982" s="23"/>
      <c r="Z1982" s="43"/>
      <c r="AA1982" s="23"/>
      <c r="AB1982" s="23"/>
      <c r="AC1982" s="23"/>
      <c r="AD1982" s="23"/>
      <c r="AE1982" s="23"/>
      <c r="AF1982" s="23"/>
      <c r="AG1982" s="23"/>
      <c r="AH1982" s="23"/>
      <c r="AI1982" s="49"/>
    </row>
    <row r="1983" spans="1:35">
      <c r="A1983" s="23"/>
      <c r="B1983" s="42"/>
      <c r="C1983" s="49"/>
      <c r="E1983" s="49"/>
      <c r="G1983" s="43"/>
      <c r="H1983" s="44"/>
      <c r="L1983" s="42"/>
      <c r="M1983" s="42"/>
      <c r="N1983" s="25"/>
      <c r="O1983" s="54"/>
      <c r="P1983"/>
      <c r="Q1983" s="25"/>
      <c r="R1983" s="54"/>
      <c r="W1983" s="23"/>
      <c r="X1983" s="23"/>
      <c r="Y1983" s="23"/>
      <c r="Z1983" s="43"/>
      <c r="AA1983" s="23"/>
      <c r="AB1983" s="23"/>
      <c r="AC1983" s="23"/>
      <c r="AD1983" s="23"/>
      <c r="AE1983" s="23"/>
      <c r="AF1983" s="23"/>
      <c r="AG1983" s="23"/>
      <c r="AH1983" s="23"/>
      <c r="AI1983" s="49"/>
    </row>
    <row r="1984" spans="1:35">
      <c r="A1984" s="23"/>
      <c r="B1984" s="42"/>
      <c r="C1984" s="49"/>
      <c r="E1984" s="49"/>
      <c r="G1984" s="43"/>
      <c r="H1984" s="44"/>
      <c r="L1984" s="42"/>
      <c r="M1984" s="42"/>
      <c r="N1984" s="25"/>
      <c r="O1984" s="54"/>
      <c r="P1984"/>
      <c r="Q1984" s="25"/>
      <c r="R1984" s="54"/>
      <c r="W1984" s="23"/>
      <c r="X1984" s="23"/>
      <c r="Y1984" s="23"/>
      <c r="Z1984" s="43"/>
      <c r="AA1984" s="23"/>
      <c r="AB1984" s="23"/>
      <c r="AC1984" s="23"/>
      <c r="AD1984" s="23"/>
      <c r="AE1984" s="23"/>
      <c r="AF1984" s="23"/>
      <c r="AG1984" s="23"/>
      <c r="AH1984" s="23"/>
      <c r="AI1984" s="49"/>
    </row>
    <row r="1985" spans="1:35">
      <c r="A1985" s="23"/>
      <c r="B1985" s="42"/>
      <c r="C1985" s="49"/>
      <c r="E1985" s="49"/>
      <c r="G1985" s="43"/>
      <c r="H1985" s="44"/>
      <c r="L1985" s="42"/>
      <c r="M1985" s="42"/>
      <c r="N1985" s="25"/>
      <c r="O1985" s="54"/>
      <c r="P1985"/>
      <c r="Q1985" s="25"/>
      <c r="R1985" s="54"/>
      <c r="W1985" s="23"/>
      <c r="X1985" s="23"/>
      <c r="Y1985" s="23"/>
      <c r="Z1985" s="43"/>
      <c r="AA1985" s="23"/>
      <c r="AB1985" s="23"/>
      <c r="AC1985" s="23"/>
      <c r="AD1985" s="23"/>
      <c r="AE1985" s="23"/>
      <c r="AF1985" s="23"/>
      <c r="AG1985" s="23"/>
      <c r="AH1985" s="23"/>
      <c r="AI1985" s="49"/>
    </row>
    <row r="1986" spans="1:35">
      <c r="A1986" s="23"/>
      <c r="B1986" s="42"/>
      <c r="C1986" s="49"/>
      <c r="E1986" s="49"/>
      <c r="G1986" s="43"/>
      <c r="H1986" s="44"/>
      <c r="L1986" s="42"/>
      <c r="M1986" s="42"/>
      <c r="N1986" s="25"/>
      <c r="O1986" s="54"/>
      <c r="P1986"/>
      <c r="Q1986" s="25"/>
      <c r="R1986" s="54"/>
      <c r="W1986" s="23"/>
      <c r="X1986" s="23"/>
      <c r="Y1986" s="23"/>
      <c r="Z1986" s="43"/>
      <c r="AA1986" s="23"/>
      <c r="AB1986" s="23"/>
      <c r="AC1986" s="23"/>
      <c r="AD1986" s="23"/>
      <c r="AE1986" s="23"/>
      <c r="AF1986" s="23"/>
      <c r="AG1986" s="23"/>
      <c r="AH1986" s="23"/>
      <c r="AI1986" s="49"/>
    </row>
    <row r="1987" spans="1:35">
      <c r="A1987" s="23"/>
      <c r="B1987" s="42"/>
      <c r="C1987" s="49"/>
      <c r="E1987" s="49"/>
      <c r="G1987" s="43"/>
      <c r="H1987" s="44"/>
      <c r="L1987" s="42"/>
      <c r="M1987" s="42"/>
      <c r="N1987" s="25"/>
      <c r="O1987" s="54"/>
      <c r="P1987"/>
      <c r="Q1987" s="25"/>
      <c r="R1987" s="54"/>
      <c r="W1987" s="23"/>
      <c r="X1987" s="23"/>
      <c r="Y1987" s="23"/>
      <c r="Z1987" s="43"/>
      <c r="AA1987" s="23"/>
      <c r="AB1987" s="23"/>
      <c r="AC1987" s="23"/>
      <c r="AD1987" s="23"/>
      <c r="AE1987" s="23"/>
      <c r="AF1987" s="23"/>
      <c r="AG1987" s="23"/>
      <c r="AH1987" s="23"/>
      <c r="AI1987" s="49"/>
    </row>
    <row r="1988" spans="1:35">
      <c r="A1988" s="23"/>
      <c r="B1988" s="42"/>
      <c r="C1988" s="49"/>
      <c r="E1988" s="49"/>
      <c r="G1988" s="43"/>
      <c r="H1988" s="44"/>
      <c r="L1988" s="42"/>
      <c r="M1988" s="42"/>
      <c r="N1988" s="25"/>
      <c r="O1988" s="54"/>
      <c r="P1988"/>
      <c r="Q1988" s="25"/>
      <c r="R1988" s="54"/>
      <c r="W1988" s="23"/>
      <c r="X1988" s="23"/>
      <c r="Y1988" s="23"/>
      <c r="Z1988" s="43"/>
      <c r="AA1988" s="23"/>
      <c r="AB1988" s="23"/>
      <c r="AC1988" s="23"/>
      <c r="AD1988" s="23"/>
      <c r="AE1988" s="23"/>
      <c r="AF1988" s="23"/>
      <c r="AG1988" s="23"/>
      <c r="AH1988" s="23"/>
      <c r="AI1988" s="49"/>
    </row>
    <row r="1989" spans="1:35">
      <c r="A1989" s="23"/>
      <c r="B1989" s="42"/>
      <c r="C1989" s="49"/>
      <c r="E1989" s="49"/>
      <c r="G1989" s="43"/>
      <c r="H1989" s="44"/>
      <c r="L1989" s="42"/>
      <c r="M1989" s="42"/>
      <c r="N1989" s="25"/>
      <c r="O1989" s="54"/>
      <c r="P1989"/>
      <c r="Q1989" s="25"/>
      <c r="R1989" s="54"/>
      <c r="W1989" s="23"/>
      <c r="X1989" s="23"/>
      <c r="Y1989" s="23"/>
      <c r="Z1989" s="43"/>
      <c r="AA1989" s="23"/>
      <c r="AB1989" s="23"/>
      <c r="AC1989" s="23"/>
      <c r="AD1989" s="23"/>
      <c r="AE1989" s="23"/>
      <c r="AF1989" s="23"/>
      <c r="AG1989" s="23"/>
      <c r="AH1989" s="23"/>
      <c r="AI1989" s="49"/>
    </row>
    <row r="1990" spans="1:35">
      <c r="A1990" s="23"/>
      <c r="B1990" s="42"/>
      <c r="C1990" s="49"/>
      <c r="E1990" s="49"/>
      <c r="G1990" s="43"/>
      <c r="H1990" s="44"/>
      <c r="L1990" s="42"/>
      <c r="M1990" s="42"/>
      <c r="N1990" s="25"/>
      <c r="O1990" s="54"/>
      <c r="P1990"/>
      <c r="Q1990" s="25"/>
      <c r="R1990" s="54"/>
      <c r="W1990" s="23"/>
      <c r="X1990" s="23"/>
      <c r="Y1990" s="23"/>
      <c r="Z1990" s="43"/>
      <c r="AA1990" s="23"/>
      <c r="AB1990" s="23"/>
      <c r="AC1990" s="23"/>
      <c r="AD1990" s="23"/>
      <c r="AE1990" s="23"/>
      <c r="AF1990" s="23"/>
      <c r="AG1990" s="23"/>
      <c r="AH1990" s="23"/>
      <c r="AI1990" s="49"/>
    </row>
    <row r="1991" spans="1:35">
      <c r="A1991" s="23"/>
      <c r="B1991" s="42"/>
      <c r="C1991" s="49"/>
      <c r="E1991" s="49"/>
      <c r="G1991" s="43"/>
      <c r="H1991" s="44"/>
      <c r="L1991" s="42"/>
      <c r="M1991" s="42"/>
      <c r="N1991" s="25"/>
      <c r="O1991" s="54"/>
      <c r="P1991"/>
      <c r="Q1991" s="25"/>
      <c r="R1991" s="54"/>
      <c r="W1991" s="23"/>
      <c r="X1991" s="23"/>
      <c r="Y1991" s="23"/>
      <c r="Z1991" s="43"/>
      <c r="AA1991" s="23"/>
      <c r="AB1991" s="23"/>
      <c r="AC1991" s="23"/>
      <c r="AD1991" s="23"/>
      <c r="AE1991" s="23"/>
      <c r="AF1991" s="23"/>
      <c r="AG1991" s="23"/>
      <c r="AH1991" s="23"/>
      <c r="AI1991" s="49"/>
    </row>
    <row r="1992" spans="1:35">
      <c r="A1992" s="23"/>
      <c r="B1992" s="42"/>
      <c r="C1992" s="49"/>
      <c r="E1992" s="49"/>
      <c r="G1992" s="43"/>
      <c r="H1992" s="44"/>
      <c r="L1992" s="42"/>
      <c r="M1992" s="42"/>
      <c r="N1992" s="25"/>
      <c r="O1992" s="54"/>
      <c r="P1992"/>
      <c r="Q1992" s="25"/>
      <c r="R1992" s="54"/>
      <c r="W1992" s="23"/>
      <c r="X1992" s="23"/>
      <c r="Y1992" s="23"/>
      <c r="Z1992" s="43"/>
      <c r="AA1992" s="23"/>
      <c r="AB1992" s="23"/>
      <c r="AC1992" s="23"/>
      <c r="AD1992" s="23"/>
      <c r="AE1992" s="23"/>
      <c r="AF1992" s="23"/>
      <c r="AG1992" s="23"/>
      <c r="AH1992" s="23"/>
      <c r="AI1992" s="49"/>
    </row>
    <row r="1993" spans="1:35">
      <c r="A1993" s="23"/>
      <c r="B1993" s="42"/>
      <c r="C1993" s="49"/>
      <c r="E1993" s="49"/>
      <c r="G1993" s="43"/>
      <c r="H1993" s="44"/>
      <c r="L1993" s="42"/>
      <c r="M1993" s="42"/>
      <c r="N1993" s="25"/>
      <c r="O1993" s="54"/>
      <c r="P1993"/>
      <c r="Q1993" s="25"/>
      <c r="R1993" s="54"/>
      <c r="W1993" s="23"/>
      <c r="X1993" s="23"/>
      <c r="Y1993" s="23"/>
      <c r="Z1993" s="43"/>
      <c r="AA1993" s="23"/>
      <c r="AB1993" s="23"/>
      <c r="AC1993" s="23"/>
      <c r="AD1993" s="23"/>
      <c r="AE1993" s="23"/>
      <c r="AF1993" s="23"/>
      <c r="AG1993" s="23"/>
      <c r="AH1993" s="23"/>
      <c r="AI1993" s="49"/>
    </row>
    <row r="1994" spans="1:35">
      <c r="A1994" s="23"/>
      <c r="B1994" s="42"/>
      <c r="C1994" s="49"/>
      <c r="E1994" s="49"/>
      <c r="G1994" s="43"/>
      <c r="H1994" s="44"/>
      <c r="L1994" s="42"/>
      <c r="M1994" s="42"/>
      <c r="N1994" s="25"/>
      <c r="O1994" s="54"/>
      <c r="P1994"/>
      <c r="Q1994" s="25"/>
      <c r="R1994" s="54"/>
      <c r="W1994" s="23"/>
      <c r="X1994" s="23"/>
      <c r="Y1994" s="23"/>
      <c r="Z1994" s="43"/>
      <c r="AA1994" s="23"/>
      <c r="AB1994" s="23"/>
      <c r="AC1994" s="23"/>
      <c r="AD1994" s="23"/>
      <c r="AE1994" s="23"/>
      <c r="AF1994" s="23"/>
      <c r="AG1994" s="23"/>
      <c r="AH1994" s="23"/>
      <c r="AI1994" s="49"/>
    </row>
    <row r="1995" spans="1:35">
      <c r="A1995" s="23"/>
      <c r="B1995" s="42"/>
      <c r="C1995" s="49"/>
      <c r="E1995" s="49"/>
      <c r="G1995" s="43"/>
      <c r="H1995" s="44"/>
      <c r="L1995" s="42"/>
      <c r="M1995" s="42"/>
      <c r="N1995" s="25"/>
      <c r="O1995" s="54"/>
      <c r="P1995"/>
      <c r="Q1995" s="25"/>
      <c r="R1995" s="54"/>
      <c r="W1995" s="23"/>
      <c r="X1995" s="23"/>
      <c r="Y1995" s="23"/>
      <c r="Z1995" s="43"/>
      <c r="AA1995" s="23"/>
      <c r="AB1995" s="23"/>
      <c r="AC1995" s="23"/>
      <c r="AD1995" s="23"/>
      <c r="AE1995" s="23"/>
      <c r="AF1995" s="23"/>
      <c r="AG1995" s="23"/>
      <c r="AH1995" s="23"/>
      <c r="AI1995" s="49"/>
    </row>
    <row r="1996" spans="1:35">
      <c r="A1996" s="23"/>
      <c r="B1996" s="42"/>
      <c r="C1996" s="49"/>
      <c r="E1996" s="49"/>
      <c r="G1996" s="43"/>
      <c r="H1996" s="44"/>
      <c r="L1996" s="42"/>
      <c r="M1996" s="42"/>
      <c r="N1996" s="25"/>
      <c r="O1996" s="54"/>
      <c r="P1996"/>
      <c r="Q1996" s="25"/>
      <c r="R1996" s="54"/>
      <c r="W1996" s="23"/>
      <c r="X1996" s="23"/>
      <c r="Y1996" s="23"/>
      <c r="Z1996" s="43"/>
      <c r="AA1996" s="23"/>
      <c r="AB1996" s="23"/>
      <c r="AC1996" s="23"/>
      <c r="AD1996" s="23"/>
      <c r="AE1996" s="23"/>
      <c r="AF1996" s="23"/>
      <c r="AG1996" s="23"/>
      <c r="AH1996" s="23"/>
      <c r="AI1996" s="49"/>
    </row>
    <row r="1997" spans="1:35">
      <c r="A1997" s="23"/>
      <c r="B1997" s="42"/>
      <c r="C1997" s="49"/>
      <c r="E1997" s="49"/>
      <c r="G1997" s="43"/>
      <c r="H1997" s="44"/>
      <c r="L1997" s="42"/>
      <c r="M1997" s="42"/>
      <c r="N1997" s="25"/>
      <c r="O1997" s="54"/>
      <c r="P1997"/>
      <c r="Q1997" s="25"/>
      <c r="R1997" s="54"/>
      <c r="W1997" s="23"/>
      <c r="X1997" s="23"/>
      <c r="Y1997" s="23"/>
      <c r="Z1997" s="43"/>
      <c r="AA1997" s="23"/>
      <c r="AB1997" s="23"/>
      <c r="AC1997" s="23"/>
      <c r="AD1997" s="23"/>
      <c r="AE1997" s="23"/>
      <c r="AF1997" s="23"/>
      <c r="AG1997" s="23"/>
      <c r="AH1997" s="23"/>
      <c r="AI1997" s="49"/>
    </row>
    <row r="1998" spans="1:35">
      <c r="A1998" s="23"/>
      <c r="B1998" s="42"/>
      <c r="C1998" s="49"/>
      <c r="E1998" s="49"/>
      <c r="G1998" s="43"/>
      <c r="H1998" s="44"/>
      <c r="L1998" s="42"/>
      <c r="M1998" s="42"/>
      <c r="N1998" s="25"/>
      <c r="O1998" s="54"/>
      <c r="P1998"/>
      <c r="Q1998" s="25"/>
      <c r="R1998" s="54"/>
      <c r="W1998" s="23"/>
      <c r="X1998" s="23"/>
      <c r="Y1998" s="23"/>
      <c r="Z1998" s="43"/>
      <c r="AA1998" s="23"/>
      <c r="AB1998" s="23"/>
      <c r="AC1998" s="23"/>
      <c r="AD1998" s="23"/>
      <c r="AE1998" s="23"/>
      <c r="AF1998" s="23"/>
      <c r="AG1998" s="23"/>
      <c r="AH1998" s="23"/>
      <c r="AI1998" s="49"/>
    </row>
    <row r="1999" spans="1:35">
      <c r="A1999" s="23"/>
      <c r="B1999" s="42"/>
      <c r="C1999" s="49"/>
      <c r="E1999" s="49"/>
      <c r="G1999" s="43"/>
      <c r="H1999" s="44"/>
      <c r="L1999" s="42"/>
      <c r="M1999" s="42"/>
      <c r="N1999" s="25"/>
      <c r="O1999" s="54"/>
      <c r="P1999"/>
      <c r="Q1999" s="25"/>
      <c r="R1999" s="54"/>
      <c r="W1999" s="23"/>
      <c r="X1999" s="23"/>
      <c r="Y1999" s="23"/>
      <c r="Z1999" s="43"/>
      <c r="AA1999" s="23"/>
      <c r="AB1999" s="23"/>
      <c r="AC1999" s="23"/>
      <c r="AD1999" s="23"/>
      <c r="AE1999" s="23"/>
      <c r="AF1999" s="23"/>
      <c r="AG1999" s="23"/>
      <c r="AH1999" s="23"/>
      <c r="AI1999" s="49"/>
    </row>
    <row r="2000" spans="1:35">
      <c r="A2000" s="23"/>
      <c r="B2000" s="42"/>
      <c r="C2000" s="49"/>
      <c r="E2000" s="49"/>
      <c r="G2000" s="43"/>
      <c r="H2000" s="44"/>
      <c r="L2000" s="42"/>
      <c r="M2000" s="42"/>
      <c r="N2000" s="25"/>
      <c r="O2000" s="54"/>
      <c r="P2000"/>
      <c r="Q2000" s="25"/>
      <c r="R2000" s="54"/>
      <c r="W2000" s="23"/>
      <c r="X2000" s="23"/>
      <c r="Y2000" s="23"/>
      <c r="Z2000" s="43"/>
      <c r="AA2000" s="23"/>
      <c r="AB2000" s="23"/>
      <c r="AC2000" s="23"/>
      <c r="AD2000" s="23"/>
      <c r="AE2000" s="23"/>
      <c r="AF2000" s="23"/>
      <c r="AG2000" s="23"/>
      <c r="AH2000" s="23"/>
      <c r="AI2000" s="49"/>
    </row>
    <row r="2001" spans="1:35">
      <c r="A2001" s="23"/>
      <c r="B2001" s="42"/>
      <c r="C2001" s="49"/>
      <c r="E2001" s="49"/>
      <c r="G2001" s="43"/>
      <c r="H2001" s="44"/>
      <c r="L2001" s="42"/>
      <c r="M2001" s="42"/>
      <c r="N2001" s="25"/>
      <c r="O2001" s="54"/>
      <c r="P2001"/>
      <c r="Q2001" s="25"/>
      <c r="R2001" s="54"/>
      <c r="W2001" s="23"/>
      <c r="X2001" s="23"/>
      <c r="Y2001" s="23"/>
      <c r="Z2001" s="43"/>
      <c r="AA2001" s="23"/>
      <c r="AB2001" s="23"/>
      <c r="AC2001" s="23"/>
      <c r="AD2001" s="23"/>
      <c r="AE2001" s="23"/>
      <c r="AF2001" s="23"/>
      <c r="AG2001" s="23"/>
      <c r="AH2001" s="23"/>
      <c r="AI2001" s="49"/>
    </row>
    <row r="2002" spans="1:35">
      <c r="A2002" s="23"/>
      <c r="B2002" s="42"/>
      <c r="C2002" s="49"/>
      <c r="E2002" s="49"/>
      <c r="G2002" s="43"/>
      <c r="H2002" s="44"/>
      <c r="L2002" s="42"/>
      <c r="M2002" s="42"/>
      <c r="N2002" s="25"/>
      <c r="O2002" s="54"/>
      <c r="P2002"/>
      <c r="Q2002" s="25"/>
      <c r="R2002" s="54"/>
      <c r="W2002" s="23"/>
      <c r="X2002" s="23"/>
      <c r="Y2002" s="23"/>
      <c r="Z2002" s="43"/>
      <c r="AA2002" s="23"/>
      <c r="AB2002" s="23"/>
      <c r="AC2002" s="23"/>
      <c r="AD2002" s="23"/>
      <c r="AE2002" s="23"/>
      <c r="AF2002" s="23"/>
      <c r="AG2002" s="23"/>
      <c r="AH2002" s="23"/>
      <c r="AI2002" s="49"/>
    </row>
    <row r="2003" spans="1:35">
      <c r="A2003" s="23"/>
      <c r="B2003" s="42"/>
      <c r="C2003" s="49"/>
      <c r="E2003" s="49"/>
      <c r="G2003" s="43"/>
      <c r="H2003" s="44"/>
      <c r="L2003" s="42"/>
      <c r="M2003" s="42"/>
      <c r="N2003" s="25"/>
      <c r="O2003" s="54"/>
      <c r="P2003"/>
      <c r="Q2003" s="25"/>
      <c r="R2003" s="54"/>
      <c r="W2003" s="23"/>
      <c r="X2003" s="23"/>
      <c r="Y2003" s="23"/>
      <c r="Z2003" s="43"/>
      <c r="AA2003" s="23"/>
      <c r="AB2003" s="23"/>
      <c r="AC2003" s="23"/>
      <c r="AD2003" s="23"/>
      <c r="AE2003" s="23"/>
      <c r="AF2003" s="23"/>
      <c r="AG2003" s="23"/>
      <c r="AH2003" s="23"/>
      <c r="AI2003" s="49"/>
    </row>
    <row r="2004" spans="1:35">
      <c r="A2004" s="23"/>
      <c r="B2004" s="42"/>
      <c r="C2004" s="49"/>
      <c r="E2004" s="49"/>
      <c r="G2004" s="43"/>
      <c r="H2004" s="44"/>
      <c r="L2004" s="42"/>
      <c r="M2004" s="42"/>
      <c r="N2004" s="25"/>
      <c r="O2004" s="54"/>
      <c r="P2004"/>
      <c r="Q2004" s="25"/>
      <c r="R2004" s="54"/>
      <c r="W2004" s="23"/>
      <c r="X2004" s="23"/>
      <c r="Y2004" s="23"/>
      <c r="Z2004" s="43"/>
      <c r="AA2004" s="23"/>
      <c r="AB2004" s="23"/>
      <c r="AC2004" s="23"/>
      <c r="AD2004" s="23"/>
      <c r="AE2004" s="23"/>
      <c r="AF2004" s="23"/>
      <c r="AG2004" s="23"/>
      <c r="AH2004" s="23"/>
      <c r="AI2004" s="49"/>
    </row>
    <row r="2005" spans="1:35">
      <c r="A2005" s="23"/>
      <c r="B2005" s="42"/>
      <c r="C2005" s="49"/>
      <c r="E2005" s="49"/>
      <c r="G2005" s="43"/>
      <c r="H2005" s="44"/>
      <c r="L2005" s="42"/>
      <c r="M2005" s="42"/>
      <c r="N2005" s="25"/>
      <c r="O2005" s="54"/>
      <c r="P2005"/>
      <c r="Q2005" s="25"/>
      <c r="R2005" s="54"/>
      <c r="W2005" s="23"/>
      <c r="X2005" s="23"/>
      <c r="Y2005" s="23"/>
      <c r="Z2005" s="43"/>
      <c r="AA2005" s="23"/>
      <c r="AB2005" s="23"/>
      <c r="AC2005" s="23"/>
      <c r="AD2005" s="23"/>
      <c r="AE2005" s="23"/>
      <c r="AF2005" s="23"/>
      <c r="AG2005" s="23"/>
      <c r="AH2005" s="23"/>
      <c r="AI2005" s="49"/>
    </row>
    <row r="2006" spans="1:35">
      <c r="A2006" s="23"/>
      <c r="B2006" s="42"/>
      <c r="C2006" s="49"/>
      <c r="E2006" s="49"/>
      <c r="G2006" s="43"/>
      <c r="H2006" s="44"/>
      <c r="L2006" s="42"/>
      <c r="M2006" s="42"/>
      <c r="N2006" s="25"/>
      <c r="O2006" s="54"/>
      <c r="P2006"/>
      <c r="Q2006" s="25"/>
      <c r="R2006" s="54"/>
      <c r="W2006" s="23"/>
      <c r="X2006" s="23"/>
      <c r="Y2006" s="23"/>
      <c r="Z2006" s="43"/>
      <c r="AA2006" s="23"/>
      <c r="AB2006" s="23"/>
      <c r="AC2006" s="23"/>
      <c r="AD2006" s="23"/>
      <c r="AE2006" s="23"/>
      <c r="AF2006" s="23"/>
      <c r="AG2006" s="23"/>
      <c r="AH2006" s="23"/>
      <c r="AI2006" s="49"/>
    </row>
    <row r="2007" spans="1:35">
      <c r="A2007" s="23"/>
      <c r="B2007" s="42"/>
      <c r="C2007" s="49"/>
      <c r="E2007" s="49"/>
      <c r="G2007" s="43"/>
      <c r="H2007" s="44"/>
      <c r="L2007" s="42"/>
      <c r="M2007" s="42"/>
      <c r="N2007" s="25"/>
      <c r="O2007" s="54"/>
      <c r="P2007"/>
      <c r="Q2007" s="25"/>
      <c r="R2007" s="54"/>
      <c r="W2007" s="23"/>
      <c r="X2007" s="23"/>
      <c r="Y2007" s="23"/>
      <c r="Z2007" s="43"/>
      <c r="AA2007" s="23"/>
      <c r="AB2007" s="23"/>
      <c r="AC2007" s="23"/>
      <c r="AD2007" s="23"/>
      <c r="AE2007" s="23"/>
      <c r="AF2007" s="23"/>
      <c r="AG2007" s="23"/>
      <c r="AH2007" s="23"/>
      <c r="AI2007" s="49"/>
    </row>
    <row r="2008" spans="1:35">
      <c r="A2008" s="23"/>
      <c r="B2008" s="42"/>
      <c r="C2008" s="49"/>
      <c r="E2008" s="49"/>
      <c r="G2008" s="43"/>
      <c r="H2008" s="44"/>
      <c r="L2008" s="42"/>
      <c r="M2008" s="42"/>
      <c r="N2008" s="25"/>
      <c r="O2008" s="54"/>
      <c r="P2008"/>
      <c r="Q2008" s="25"/>
      <c r="R2008" s="54"/>
      <c r="W2008" s="23"/>
      <c r="X2008" s="23"/>
      <c r="Y2008" s="23"/>
      <c r="Z2008" s="43"/>
      <c r="AA2008" s="23"/>
      <c r="AB2008" s="23"/>
      <c r="AC2008" s="23"/>
      <c r="AD2008" s="23"/>
      <c r="AE2008" s="23"/>
      <c r="AF2008" s="23"/>
      <c r="AG2008" s="23"/>
      <c r="AH2008" s="23"/>
      <c r="AI2008" s="49"/>
    </row>
    <row r="2009" spans="1:35">
      <c r="A2009" s="23"/>
      <c r="B2009" s="42"/>
      <c r="C2009" s="49"/>
      <c r="E2009" s="49"/>
      <c r="G2009" s="43"/>
      <c r="H2009" s="44"/>
      <c r="L2009" s="42"/>
      <c r="M2009" s="42"/>
      <c r="N2009" s="25"/>
      <c r="O2009" s="54"/>
      <c r="P2009"/>
      <c r="Q2009" s="25"/>
      <c r="R2009" s="54"/>
      <c r="W2009" s="23"/>
      <c r="X2009" s="23"/>
      <c r="Y2009" s="23"/>
      <c r="Z2009" s="43"/>
      <c r="AA2009" s="23"/>
      <c r="AB2009" s="23"/>
      <c r="AC2009" s="23"/>
      <c r="AD2009" s="23"/>
      <c r="AE2009" s="23"/>
      <c r="AF2009" s="23"/>
      <c r="AG2009" s="23"/>
      <c r="AH2009" s="23"/>
      <c r="AI2009" s="49"/>
    </row>
    <row r="2010" spans="1:35">
      <c r="A2010" s="23"/>
      <c r="B2010" s="42"/>
      <c r="C2010" s="49"/>
      <c r="E2010" s="49"/>
      <c r="G2010" s="43"/>
      <c r="H2010" s="44"/>
      <c r="L2010" s="42"/>
      <c r="M2010" s="42"/>
      <c r="N2010" s="25"/>
      <c r="O2010" s="54"/>
      <c r="P2010"/>
      <c r="Q2010" s="25"/>
      <c r="R2010" s="54"/>
      <c r="W2010" s="23"/>
      <c r="X2010" s="23"/>
      <c r="Y2010" s="23"/>
      <c r="Z2010" s="43"/>
      <c r="AA2010" s="23"/>
      <c r="AB2010" s="23"/>
      <c r="AC2010" s="23"/>
      <c r="AD2010" s="23"/>
      <c r="AE2010" s="23"/>
      <c r="AF2010" s="23"/>
      <c r="AG2010" s="23"/>
      <c r="AH2010" s="23"/>
      <c r="AI2010" s="49"/>
    </row>
    <row r="2011" spans="1:35">
      <c r="A2011" s="23"/>
      <c r="B2011" s="42"/>
      <c r="C2011" s="49"/>
      <c r="E2011" s="49"/>
      <c r="G2011" s="43"/>
      <c r="H2011" s="44"/>
      <c r="L2011" s="42"/>
      <c r="M2011" s="42"/>
      <c r="N2011" s="25"/>
      <c r="O2011" s="54"/>
      <c r="P2011"/>
      <c r="Q2011" s="25"/>
      <c r="R2011" s="54"/>
      <c r="W2011" s="23"/>
      <c r="X2011" s="23"/>
      <c r="Y2011" s="23"/>
      <c r="Z2011" s="43"/>
      <c r="AA2011" s="23"/>
      <c r="AB2011" s="23"/>
      <c r="AC2011" s="23"/>
      <c r="AD2011" s="23"/>
      <c r="AE2011" s="23"/>
      <c r="AF2011" s="23"/>
      <c r="AG2011" s="23"/>
      <c r="AH2011" s="23"/>
      <c r="AI2011" s="49"/>
    </row>
    <row r="2012" spans="1:35">
      <c r="A2012" s="23"/>
      <c r="B2012" s="42"/>
      <c r="C2012" s="49"/>
      <c r="E2012" s="49"/>
      <c r="G2012" s="43"/>
      <c r="H2012" s="44"/>
      <c r="L2012" s="42"/>
      <c r="M2012" s="42"/>
      <c r="N2012" s="25"/>
      <c r="O2012" s="54"/>
      <c r="P2012"/>
      <c r="Q2012" s="25"/>
      <c r="R2012" s="54"/>
      <c r="W2012" s="23"/>
      <c r="X2012" s="23"/>
      <c r="Y2012" s="23"/>
      <c r="Z2012" s="43"/>
      <c r="AA2012" s="23"/>
      <c r="AB2012" s="23"/>
      <c r="AC2012" s="23"/>
      <c r="AD2012" s="23"/>
      <c r="AE2012" s="23"/>
      <c r="AF2012" s="23"/>
      <c r="AG2012" s="23"/>
      <c r="AH2012" s="23"/>
      <c r="AI2012" s="49"/>
    </row>
    <row r="2013" spans="1:35">
      <c r="A2013" s="23"/>
      <c r="B2013" s="42"/>
      <c r="C2013" s="49"/>
      <c r="E2013" s="49"/>
      <c r="G2013" s="43"/>
      <c r="H2013" s="44"/>
      <c r="L2013" s="42"/>
      <c r="M2013" s="42"/>
      <c r="N2013" s="25"/>
      <c r="O2013" s="54"/>
      <c r="P2013"/>
      <c r="Q2013" s="25"/>
      <c r="R2013" s="54"/>
      <c r="W2013" s="23"/>
      <c r="X2013" s="23"/>
      <c r="Y2013" s="23"/>
      <c r="Z2013" s="43"/>
      <c r="AA2013" s="23"/>
      <c r="AB2013" s="23"/>
      <c r="AC2013" s="23"/>
      <c r="AD2013" s="23"/>
      <c r="AE2013" s="23"/>
      <c r="AF2013" s="23"/>
      <c r="AG2013" s="23"/>
      <c r="AH2013" s="23"/>
      <c r="AI2013" s="49"/>
    </row>
    <row r="2014" spans="1:35">
      <c r="A2014" s="23"/>
      <c r="B2014" s="42"/>
      <c r="C2014" s="49"/>
      <c r="E2014" s="49"/>
      <c r="G2014" s="43"/>
      <c r="H2014" s="44"/>
      <c r="L2014" s="42"/>
      <c r="M2014" s="42"/>
      <c r="N2014" s="25"/>
      <c r="O2014" s="54"/>
      <c r="P2014"/>
      <c r="Q2014" s="25"/>
      <c r="R2014" s="54"/>
      <c r="W2014" s="23"/>
      <c r="X2014" s="23"/>
      <c r="Y2014" s="23"/>
      <c r="Z2014" s="43"/>
      <c r="AA2014" s="23"/>
      <c r="AB2014" s="23"/>
      <c r="AC2014" s="23"/>
      <c r="AD2014" s="23"/>
      <c r="AE2014" s="23"/>
      <c r="AF2014" s="23"/>
      <c r="AG2014" s="23"/>
      <c r="AH2014" s="23"/>
      <c r="AI2014" s="49"/>
    </row>
    <row r="2015" spans="1:35">
      <c r="A2015" s="23"/>
      <c r="B2015" s="42"/>
      <c r="C2015" s="49"/>
      <c r="E2015" s="49"/>
      <c r="G2015" s="43"/>
      <c r="H2015" s="44"/>
      <c r="L2015" s="42"/>
      <c r="M2015" s="42"/>
      <c r="N2015" s="25"/>
      <c r="O2015" s="54"/>
      <c r="P2015"/>
      <c r="Q2015" s="25"/>
      <c r="R2015" s="54"/>
      <c r="W2015" s="23"/>
      <c r="X2015" s="23"/>
      <c r="Y2015" s="23"/>
      <c r="Z2015" s="43"/>
      <c r="AA2015" s="23"/>
      <c r="AB2015" s="23"/>
      <c r="AC2015" s="23"/>
      <c r="AD2015" s="23"/>
      <c r="AE2015" s="23"/>
      <c r="AF2015" s="23"/>
      <c r="AG2015" s="23"/>
      <c r="AH2015" s="23"/>
      <c r="AI2015" s="49"/>
    </row>
    <row r="2016" spans="1:35">
      <c r="A2016" s="23"/>
      <c r="B2016" s="42"/>
      <c r="C2016" s="49"/>
      <c r="E2016" s="49"/>
      <c r="G2016" s="43"/>
      <c r="H2016" s="44"/>
      <c r="L2016" s="42"/>
      <c r="M2016" s="42"/>
      <c r="N2016" s="25"/>
      <c r="O2016" s="54"/>
      <c r="P2016"/>
      <c r="Q2016" s="25"/>
      <c r="R2016" s="54"/>
      <c r="W2016" s="23"/>
      <c r="X2016" s="23"/>
      <c r="Y2016" s="23"/>
      <c r="Z2016" s="43"/>
      <c r="AA2016" s="23"/>
      <c r="AB2016" s="23"/>
      <c r="AC2016" s="23"/>
      <c r="AD2016" s="23"/>
      <c r="AE2016" s="23"/>
      <c r="AF2016" s="23"/>
      <c r="AG2016" s="23"/>
      <c r="AH2016" s="23"/>
      <c r="AI2016" s="49"/>
    </row>
    <row r="2017" spans="1:35">
      <c r="A2017" s="23"/>
      <c r="B2017" s="42"/>
      <c r="C2017" s="49"/>
      <c r="E2017" s="49"/>
      <c r="G2017" s="43"/>
      <c r="H2017" s="44"/>
      <c r="L2017" s="42"/>
      <c r="M2017" s="42"/>
      <c r="N2017" s="25"/>
      <c r="O2017" s="54"/>
      <c r="P2017"/>
      <c r="Q2017" s="25"/>
      <c r="R2017" s="54"/>
      <c r="W2017" s="23"/>
      <c r="X2017" s="23"/>
      <c r="Y2017" s="23"/>
      <c r="Z2017" s="43"/>
      <c r="AA2017" s="23"/>
      <c r="AB2017" s="23"/>
      <c r="AC2017" s="23"/>
      <c r="AD2017" s="23"/>
      <c r="AE2017" s="23"/>
      <c r="AF2017" s="23"/>
      <c r="AG2017" s="23"/>
      <c r="AH2017" s="23"/>
      <c r="AI2017" s="49"/>
    </row>
    <row r="2018" spans="1:35">
      <c r="A2018" s="23"/>
      <c r="B2018" s="42"/>
      <c r="C2018" s="49"/>
      <c r="E2018" s="49"/>
      <c r="G2018" s="43"/>
      <c r="H2018" s="44"/>
      <c r="L2018" s="42"/>
      <c r="M2018" s="42"/>
      <c r="N2018" s="25"/>
      <c r="O2018" s="54"/>
      <c r="P2018"/>
      <c r="Q2018" s="25"/>
      <c r="R2018" s="54"/>
      <c r="W2018" s="23"/>
      <c r="X2018" s="23"/>
      <c r="Y2018" s="23"/>
      <c r="Z2018" s="43"/>
      <c r="AA2018" s="23"/>
      <c r="AB2018" s="23"/>
      <c r="AC2018" s="23"/>
      <c r="AD2018" s="23"/>
      <c r="AE2018" s="23"/>
      <c r="AF2018" s="23"/>
      <c r="AG2018" s="23"/>
      <c r="AH2018" s="23"/>
      <c r="AI2018" s="49"/>
    </row>
    <row r="2019" spans="1:35">
      <c r="A2019" s="23"/>
      <c r="B2019" s="42"/>
      <c r="C2019" s="49"/>
      <c r="E2019" s="49"/>
      <c r="G2019" s="43"/>
      <c r="H2019" s="44"/>
      <c r="L2019" s="42"/>
      <c r="M2019" s="42"/>
      <c r="N2019" s="25"/>
      <c r="O2019" s="54"/>
      <c r="P2019"/>
      <c r="Q2019" s="25"/>
      <c r="R2019" s="54"/>
      <c r="W2019" s="23"/>
      <c r="X2019" s="23"/>
      <c r="Y2019" s="23"/>
      <c r="Z2019" s="43"/>
      <c r="AA2019" s="23"/>
      <c r="AB2019" s="23"/>
      <c r="AC2019" s="23"/>
      <c r="AD2019" s="23"/>
      <c r="AE2019" s="23"/>
      <c r="AF2019" s="23"/>
      <c r="AG2019" s="23"/>
      <c r="AH2019" s="23"/>
      <c r="AI2019" s="49"/>
    </row>
    <row r="2020" spans="1:35">
      <c r="B2020" s="42"/>
      <c r="G2020" s="43"/>
      <c r="H2020" s="44"/>
      <c r="L2020" s="42"/>
      <c r="M2020" s="42"/>
      <c r="N2020" s="25"/>
      <c r="O2020" s="54"/>
      <c r="P2020"/>
      <c r="Q2020" s="25"/>
      <c r="R2020" s="54"/>
      <c r="W2020" s="23"/>
      <c r="X2020" s="23"/>
      <c r="Y2020" s="23"/>
      <c r="Z2020" s="43"/>
      <c r="AA2020" s="23"/>
      <c r="AB2020" s="23"/>
      <c r="AC2020" s="23"/>
      <c r="AD2020" s="23"/>
      <c r="AE2020" s="23"/>
      <c r="AF2020" s="23"/>
      <c r="AG2020" s="23"/>
      <c r="AH2020" s="23"/>
      <c r="AI2020" s="48"/>
    </row>
    <row r="2021" spans="1:35">
      <c r="A2021" s="23"/>
      <c r="B2021" s="42"/>
      <c r="C2021" s="49"/>
      <c r="E2021" s="49"/>
      <c r="G2021" s="43"/>
      <c r="H2021" s="44"/>
      <c r="L2021" s="42"/>
      <c r="M2021" s="42"/>
      <c r="N2021" s="25"/>
      <c r="O2021" s="54"/>
      <c r="P2021"/>
      <c r="Q2021" s="25"/>
      <c r="R2021" s="54"/>
      <c r="W2021" s="23"/>
      <c r="X2021" s="23"/>
      <c r="Y2021" s="23"/>
      <c r="Z2021" s="43"/>
      <c r="AA2021" s="23"/>
      <c r="AB2021" s="23"/>
      <c r="AC2021" s="23"/>
      <c r="AD2021" s="23"/>
      <c r="AE2021" s="23"/>
      <c r="AF2021" s="23"/>
      <c r="AG2021" s="23"/>
      <c r="AH2021" s="23"/>
      <c r="AI2021" s="49"/>
    </row>
    <row r="2022" spans="1:35">
      <c r="A2022" s="23"/>
      <c r="B2022" s="42"/>
      <c r="C2022" s="49"/>
      <c r="E2022" s="49"/>
      <c r="G2022" s="43"/>
      <c r="H2022" s="44"/>
      <c r="L2022" s="42"/>
      <c r="M2022" s="42"/>
      <c r="N2022" s="25"/>
      <c r="O2022" s="54"/>
      <c r="P2022"/>
      <c r="Q2022" s="25"/>
      <c r="R2022" s="54"/>
      <c r="W2022" s="23"/>
      <c r="X2022" s="23"/>
      <c r="Y2022" s="23"/>
      <c r="Z2022" s="43"/>
      <c r="AA2022" s="23"/>
      <c r="AB2022" s="23"/>
      <c r="AC2022" s="23"/>
      <c r="AD2022" s="23"/>
      <c r="AE2022" s="23"/>
      <c r="AF2022" s="23"/>
      <c r="AG2022" s="23"/>
      <c r="AH2022" s="23"/>
      <c r="AI2022" s="49"/>
    </row>
    <row r="2023" spans="1:35">
      <c r="A2023" s="23"/>
      <c r="B2023" s="42"/>
      <c r="C2023" s="49"/>
      <c r="E2023" s="49"/>
      <c r="G2023" s="43"/>
      <c r="H2023" s="44"/>
      <c r="L2023" s="42"/>
      <c r="M2023" s="42"/>
      <c r="N2023" s="25"/>
      <c r="O2023" s="54"/>
      <c r="P2023"/>
      <c r="Q2023" s="25"/>
      <c r="R2023" s="54"/>
      <c r="W2023" s="23"/>
      <c r="X2023" s="23"/>
      <c r="Y2023" s="23"/>
      <c r="Z2023" s="43"/>
      <c r="AA2023" s="23"/>
      <c r="AB2023" s="23"/>
      <c r="AC2023" s="23"/>
      <c r="AD2023" s="23"/>
      <c r="AE2023" s="23"/>
      <c r="AF2023" s="23"/>
      <c r="AG2023" s="23"/>
      <c r="AH2023" s="23"/>
      <c r="AI2023" s="49"/>
    </row>
    <row r="2024" spans="1:35">
      <c r="A2024" s="23"/>
      <c r="B2024" s="42"/>
      <c r="C2024" s="49"/>
      <c r="E2024" s="49"/>
      <c r="G2024" s="43"/>
      <c r="H2024" s="44"/>
      <c r="L2024" s="42"/>
      <c r="M2024" s="42"/>
      <c r="N2024" s="25"/>
      <c r="O2024" s="54"/>
      <c r="P2024"/>
      <c r="Q2024" s="25"/>
      <c r="R2024" s="54"/>
      <c r="W2024" s="23"/>
      <c r="X2024" s="23"/>
      <c r="Y2024" s="23"/>
      <c r="Z2024" s="43"/>
      <c r="AA2024" s="23"/>
      <c r="AB2024" s="23"/>
      <c r="AC2024" s="23"/>
      <c r="AD2024" s="23"/>
      <c r="AE2024" s="23"/>
      <c r="AF2024" s="23"/>
      <c r="AG2024" s="23"/>
      <c r="AH2024" s="23"/>
      <c r="AI2024" s="49"/>
    </row>
    <row r="2025" spans="1:35">
      <c r="A2025" s="23"/>
      <c r="B2025" s="42"/>
      <c r="C2025" s="49"/>
      <c r="E2025" s="49"/>
      <c r="G2025" s="43"/>
      <c r="H2025" s="44"/>
      <c r="L2025" s="42"/>
      <c r="M2025" s="42"/>
      <c r="N2025" s="25"/>
      <c r="O2025" s="54"/>
      <c r="P2025"/>
      <c r="Q2025" s="25"/>
      <c r="R2025" s="54"/>
      <c r="W2025" s="23"/>
      <c r="X2025" s="23"/>
      <c r="Y2025" s="23"/>
      <c r="Z2025" s="43"/>
      <c r="AA2025" s="23"/>
      <c r="AB2025" s="23"/>
      <c r="AC2025" s="23"/>
      <c r="AD2025" s="23"/>
      <c r="AE2025" s="23"/>
      <c r="AF2025" s="23"/>
      <c r="AG2025" s="23"/>
      <c r="AH2025" s="23"/>
      <c r="AI2025" s="49"/>
    </row>
    <row r="2026" spans="1:35">
      <c r="B2026" s="42"/>
      <c r="G2026" s="43"/>
      <c r="H2026" s="44"/>
      <c r="L2026" s="42"/>
      <c r="M2026" s="42"/>
      <c r="N2026" s="25"/>
      <c r="O2026" s="54"/>
      <c r="P2026"/>
      <c r="Q2026" s="25"/>
      <c r="R2026" s="54"/>
      <c r="W2026" s="23"/>
      <c r="X2026" s="23"/>
      <c r="Y2026" s="23"/>
      <c r="Z2026" s="43"/>
      <c r="AA2026" s="23"/>
      <c r="AB2026" s="23"/>
      <c r="AC2026" s="23"/>
      <c r="AD2026" s="23"/>
      <c r="AE2026" s="23"/>
      <c r="AF2026" s="23"/>
      <c r="AG2026" s="23"/>
      <c r="AH2026" s="23"/>
      <c r="AI2026" s="48"/>
    </row>
    <row r="2027" spans="1:35">
      <c r="B2027" s="42"/>
      <c r="G2027" s="43"/>
      <c r="H2027" s="44"/>
      <c r="L2027" s="42"/>
      <c r="M2027" s="42"/>
      <c r="N2027" s="25"/>
      <c r="O2027" s="54"/>
      <c r="P2027"/>
      <c r="Q2027" s="25"/>
      <c r="R2027" s="54"/>
      <c r="W2027" s="23"/>
      <c r="X2027" s="23"/>
      <c r="Y2027" s="23"/>
      <c r="Z2027" s="43"/>
      <c r="AA2027" s="23"/>
      <c r="AB2027" s="23"/>
      <c r="AC2027" s="23"/>
      <c r="AD2027" s="23"/>
      <c r="AE2027" s="23"/>
      <c r="AF2027" s="23"/>
      <c r="AG2027" s="23"/>
      <c r="AH2027" s="23"/>
      <c r="AI2027" s="48"/>
    </row>
    <row r="2028" spans="1:35">
      <c r="B2028" s="42"/>
      <c r="G2028" s="43"/>
      <c r="H2028" s="44"/>
      <c r="L2028" s="42"/>
      <c r="M2028" s="42"/>
      <c r="N2028" s="25"/>
      <c r="O2028" s="54"/>
      <c r="P2028"/>
      <c r="Q2028" s="25"/>
      <c r="R2028" s="54"/>
      <c r="W2028" s="23"/>
      <c r="X2028" s="23"/>
      <c r="Y2028" s="23"/>
      <c r="Z2028" s="43"/>
      <c r="AA2028" s="23"/>
      <c r="AB2028" s="23"/>
      <c r="AC2028" s="23"/>
      <c r="AD2028" s="23"/>
      <c r="AE2028" s="23"/>
      <c r="AF2028" s="23"/>
      <c r="AG2028" s="23"/>
      <c r="AH2028" s="23"/>
    </row>
    <row r="2029" spans="1:35">
      <c r="B2029" s="42"/>
      <c r="G2029" s="43"/>
      <c r="H2029" s="44"/>
      <c r="L2029" s="42"/>
      <c r="M2029" s="42"/>
      <c r="N2029" s="25"/>
      <c r="O2029" s="54"/>
      <c r="P2029"/>
      <c r="Q2029" s="25"/>
      <c r="R2029" s="54"/>
      <c r="W2029" s="23"/>
      <c r="X2029" s="23"/>
      <c r="Y2029" s="23"/>
      <c r="Z2029" s="43"/>
      <c r="AA2029" s="23"/>
      <c r="AB2029" s="23"/>
      <c r="AC2029" s="23"/>
      <c r="AD2029" s="23"/>
      <c r="AE2029" s="23"/>
      <c r="AF2029" s="23"/>
      <c r="AG2029" s="23"/>
      <c r="AH2029" s="23"/>
      <c r="AI2029" s="48"/>
    </row>
    <row r="2030" spans="1:35">
      <c r="B2030" s="42"/>
      <c r="G2030" s="43"/>
      <c r="H2030" s="44"/>
      <c r="L2030" s="42"/>
      <c r="M2030" s="42"/>
      <c r="N2030" s="25"/>
      <c r="O2030" s="54"/>
      <c r="P2030"/>
      <c r="Q2030" s="25"/>
      <c r="R2030" s="54"/>
      <c r="W2030" s="23"/>
      <c r="X2030" s="23"/>
      <c r="Y2030" s="23"/>
      <c r="Z2030" s="43"/>
      <c r="AA2030" s="23"/>
      <c r="AB2030" s="23"/>
      <c r="AC2030" s="23"/>
      <c r="AD2030" s="23"/>
      <c r="AE2030" s="23"/>
      <c r="AF2030" s="23"/>
      <c r="AG2030" s="23"/>
      <c r="AH2030" s="23"/>
      <c r="AI2030" s="48"/>
    </row>
    <row r="2031" spans="1:35">
      <c r="B2031" s="42"/>
      <c r="G2031" s="43"/>
      <c r="H2031" s="44"/>
      <c r="L2031" s="42"/>
      <c r="M2031" s="42"/>
      <c r="N2031" s="25"/>
      <c r="O2031" s="54"/>
      <c r="P2031"/>
      <c r="Q2031" s="25"/>
      <c r="R2031" s="54"/>
      <c r="W2031" s="23"/>
      <c r="X2031" s="23"/>
      <c r="Y2031" s="23"/>
      <c r="Z2031" s="43"/>
      <c r="AA2031" s="23"/>
      <c r="AB2031" s="23"/>
      <c r="AC2031" s="23"/>
      <c r="AD2031" s="23"/>
      <c r="AE2031" s="23"/>
      <c r="AF2031" s="23"/>
      <c r="AG2031" s="23"/>
      <c r="AH2031" s="23"/>
      <c r="AI2031" s="48"/>
    </row>
    <row r="2032" spans="1:35">
      <c r="B2032" s="42"/>
      <c r="G2032" s="43"/>
      <c r="H2032" s="44"/>
      <c r="L2032" s="42"/>
      <c r="M2032" s="42"/>
      <c r="N2032" s="25"/>
      <c r="O2032" s="54"/>
      <c r="P2032"/>
      <c r="Q2032" s="25"/>
      <c r="R2032" s="54"/>
      <c r="W2032" s="23"/>
      <c r="X2032" s="23"/>
      <c r="Y2032" s="23"/>
      <c r="Z2032" s="43"/>
      <c r="AA2032" s="23"/>
      <c r="AB2032" s="23"/>
      <c r="AC2032" s="23"/>
      <c r="AD2032" s="23"/>
      <c r="AE2032" s="23"/>
      <c r="AF2032" s="23"/>
      <c r="AG2032" s="23"/>
      <c r="AH2032" s="23"/>
      <c r="AI2032" s="48"/>
    </row>
    <row r="2033" spans="1:35">
      <c r="B2033" s="42"/>
      <c r="G2033" s="43"/>
      <c r="H2033" s="44"/>
      <c r="L2033" s="42"/>
      <c r="M2033" s="42"/>
      <c r="N2033" s="25"/>
      <c r="O2033" s="54"/>
      <c r="P2033"/>
      <c r="Q2033" s="25"/>
      <c r="R2033" s="54"/>
      <c r="W2033" s="23"/>
      <c r="X2033" s="23"/>
      <c r="Y2033" s="23"/>
      <c r="Z2033" s="43"/>
      <c r="AA2033" s="23"/>
      <c r="AB2033" s="23"/>
      <c r="AC2033" s="23"/>
      <c r="AD2033" s="23"/>
      <c r="AE2033" s="23"/>
      <c r="AF2033" s="23"/>
      <c r="AG2033" s="23"/>
      <c r="AH2033" s="23"/>
      <c r="AI2033" s="48"/>
    </row>
    <row r="2034" spans="1:35">
      <c r="B2034" s="42"/>
      <c r="G2034" s="43"/>
      <c r="H2034" s="44"/>
      <c r="L2034" s="42"/>
      <c r="M2034" s="42"/>
      <c r="N2034" s="25"/>
      <c r="O2034" s="54"/>
      <c r="P2034"/>
      <c r="Q2034" s="25"/>
      <c r="R2034" s="54"/>
      <c r="W2034" s="23"/>
      <c r="X2034" s="23"/>
      <c r="Y2034" s="23"/>
      <c r="Z2034" s="43"/>
      <c r="AA2034" s="23"/>
      <c r="AB2034" s="23"/>
      <c r="AC2034" s="23"/>
      <c r="AD2034" s="23"/>
      <c r="AE2034" s="23"/>
      <c r="AF2034" s="23"/>
      <c r="AG2034" s="23"/>
      <c r="AH2034" s="23"/>
      <c r="AI2034" s="48"/>
    </row>
    <row r="2035" spans="1:35">
      <c r="B2035" s="42"/>
      <c r="G2035" s="43"/>
      <c r="H2035" s="44"/>
      <c r="L2035" s="42"/>
      <c r="M2035" s="42"/>
      <c r="N2035" s="25"/>
      <c r="O2035" s="54"/>
      <c r="P2035"/>
      <c r="Q2035" s="25"/>
      <c r="R2035" s="54"/>
      <c r="W2035" s="23"/>
      <c r="X2035" s="23"/>
      <c r="Y2035" s="23"/>
      <c r="Z2035" s="43"/>
      <c r="AA2035" s="23"/>
      <c r="AB2035" s="23"/>
      <c r="AC2035" s="23"/>
      <c r="AD2035" s="23"/>
      <c r="AE2035" s="23"/>
      <c r="AF2035" s="23"/>
      <c r="AG2035" s="23"/>
      <c r="AH2035" s="23"/>
      <c r="AI2035" s="48"/>
    </row>
    <row r="2036" spans="1:35">
      <c r="B2036" s="42"/>
      <c r="G2036" s="43"/>
      <c r="H2036" s="44"/>
      <c r="L2036" s="42"/>
      <c r="M2036" s="42"/>
      <c r="N2036" s="25"/>
      <c r="O2036" s="54"/>
      <c r="P2036"/>
      <c r="Q2036" s="25"/>
      <c r="R2036" s="54"/>
      <c r="W2036" s="23"/>
      <c r="X2036" s="23"/>
      <c r="Y2036" s="23"/>
      <c r="Z2036" s="43"/>
      <c r="AA2036" s="23"/>
      <c r="AB2036" s="23"/>
      <c r="AC2036" s="23"/>
      <c r="AD2036" s="23"/>
      <c r="AE2036" s="23"/>
      <c r="AF2036" s="23"/>
      <c r="AG2036" s="23"/>
      <c r="AH2036" s="23"/>
      <c r="AI2036" s="48"/>
    </row>
    <row r="2037" spans="1:35">
      <c r="B2037" s="42"/>
      <c r="G2037" s="43"/>
      <c r="H2037" s="44"/>
      <c r="L2037" s="42"/>
      <c r="M2037" s="42"/>
      <c r="N2037" s="25"/>
      <c r="O2037" s="54"/>
      <c r="P2037"/>
      <c r="Q2037" s="25"/>
      <c r="R2037" s="54"/>
      <c r="W2037" s="23"/>
      <c r="X2037" s="23"/>
      <c r="Y2037" s="23"/>
      <c r="Z2037" s="43"/>
      <c r="AA2037" s="23"/>
      <c r="AB2037" s="23"/>
      <c r="AC2037" s="23"/>
      <c r="AD2037" s="23"/>
      <c r="AE2037" s="23"/>
      <c r="AF2037" s="23"/>
      <c r="AG2037" s="23"/>
      <c r="AH2037" s="23"/>
      <c r="AI2037" s="48"/>
    </row>
    <row r="2038" spans="1:35">
      <c r="B2038" s="42"/>
      <c r="G2038" s="43"/>
      <c r="H2038" s="44"/>
      <c r="L2038" s="42"/>
      <c r="M2038" s="42"/>
      <c r="N2038" s="25"/>
      <c r="O2038" s="54"/>
      <c r="P2038"/>
      <c r="Q2038" s="25"/>
      <c r="R2038" s="54"/>
      <c r="W2038" s="23"/>
      <c r="X2038" s="23"/>
      <c r="Y2038" s="23"/>
      <c r="Z2038" s="43"/>
      <c r="AA2038" s="23"/>
      <c r="AB2038" s="23"/>
      <c r="AC2038" s="23"/>
      <c r="AD2038" s="23"/>
      <c r="AE2038" s="23"/>
      <c r="AF2038" s="23"/>
      <c r="AG2038" s="23"/>
      <c r="AH2038" s="23"/>
      <c r="AI2038" s="48"/>
    </row>
    <row r="2039" spans="1:35">
      <c r="B2039" s="42"/>
      <c r="G2039" s="43"/>
      <c r="H2039" s="44"/>
      <c r="L2039" s="42"/>
      <c r="M2039" s="42"/>
      <c r="N2039" s="25"/>
      <c r="O2039" s="54"/>
      <c r="P2039"/>
      <c r="Q2039" s="25"/>
      <c r="R2039" s="54"/>
      <c r="W2039" s="23"/>
      <c r="X2039" s="23"/>
      <c r="Y2039" s="23"/>
      <c r="Z2039" s="43"/>
      <c r="AA2039" s="23"/>
      <c r="AB2039" s="23"/>
      <c r="AC2039" s="23"/>
      <c r="AD2039" s="23"/>
      <c r="AE2039" s="23"/>
      <c r="AF2039" s="23"/>
      <c r="AG2039" s="23"/>
      <c r="AH2039" s="23"/>
      <c r="AI2039" s="48"/>
    </row>
    <row r="2040" spans="1:35">
      <c r="B2040" s="42"/>
      <c r="G2040" s="43"/>
      <c r="H2040" s="44"/>
      <c r="L2040" s="42"/>
      <c r="M2040" s="42"/>
      <c r="N2040" s="25"/>
      <c r="O2040" s="54"/>
      <c r="P2040"/>
      <c r="Q2040" s="25"/>
      <c r="R2040" s="54"/>
      <c r="W2040" s="23"/>
      <c r="X2040" s="23"/>
      <c r="Y2040" s="23"/>
      <c r="Z2040" s="43"/>
      <c r="AA2040" s="23"/>
      <c r="AB2040" s="23"/>
      <c r="AC2040" s="23"/>
      <c r="AD2040" s="23"/>
      <c r="AE2040" s="23"/>
      <c r="AF2040" s="23"/>
      <c r="AG2040" s="23"/>
      <c r="AH2040" s="23"/>
      <c r="AI2040" s="48"/>
    </row>
    <row r="2041" spans="1:35">
      <c r="A2041" s="45"/>
      <c r="B2041" s="42"/>
      <c r="C2041" s="45"/>
      <c r="E2041" s="45"/>
      <c r="G2041" s="43"/>
      <c r="H2041" s="44"/>
      <c r="L2041" s="42"/>
      <c r="M2041" s="42"/>
      <c r="N2041" s="25"/>
      <c r="O2041" s="54"/>
      <c r="P2041"/>
      <c r="Q2041" s="25"/>
      <c r="R2041" s="54"/>
      <c r="W2041" s="23"/>
      <c r="X2041" s="23"/>
      <c r="Y2041" s="23"/>
      <c r="Z2041" s="43"/>
      <c r="AA2041" s="23"/>
      <c r="AB2041" s="23"/>
      <c r="AC2041" s="23"/>
      <c r="AD2041" s="23"/>
      <c r="AE2041" s="23"/>
      <c r="AF2041" s="23"/>
      <c r="AG2041" s="23"/>
      <c r="AH2041" s="23"/>
      <c r="AI2041" s="48"/>
    </row>
    <row r="2042" spans="1:35">
      <c r="A2042" s="45"/>
      <c r="B2042" s="42"/>
      <c r="C2042" s="45"/>
      <c r="E2042" s="45"/>
      <c r="G2042" s="43"/>
      <c r="H2042" s="44"/>
      <c r="L2042" s="42"/>
      <c r="M2042" s="42"/>
      <c r="N2042" s="25"/>
      <c r="O2042" s="54"/>
      <c r="P2042"/>
      <c r="Q2042" s="25"/>
      <c r="R2042" s="54"/>
      <c r="W2042" s="23"/>
      <c r="X2042" s="23"/>
      <c r="Y2042" s="23"/>
      <c r="Z2042" s="43"/>
      <c r="AA2042" s="23"/>
      <c r="AB2042" s="23"/>
      <c r="AC2042" s="23"/>
      <c r="AD2042" s="23"/>
      <c r="AE2042" s="23"/>
      <c r="AF2042" s="23"/>
      <c r="AG2042" s="23"/>
      <c r="AH2042" s="23"/>
      <c r="AI2042" s="48"/>
    </row>
    <row r="2043" spans="1:35">
      <c r="A2043" s="45"/>
      <c r="B2043" s="42"/>
      <c r="C2043" s="45"/>
      <c r="E2043" s="45"/>
      <c r="G2043" s="43"/>
      <c r="H2043" s="44"/>
      <c r="L2043" s="42"/>
      <c r="M2043" s="42"/>
      <c r="N2043" s="25"/>
      <c r="O2043" s="54"/>
      <c r="P2043"/>
      <c r="Q2043" s="25"/>
      <c r="R2043" s="54"/>
      <c r="W2043" s="23"/>
      <c r="X2043" s="23"/>
      <c r="Y2043" s="23"/>
      <c r="Z2043" s="43"/>
      <c r="AA2043" s="23"/>
      <c r="AB2043" s="23"/>
      <c r="AC2043" s="23"/>
      <c r="AD2043" s="23"/>
      <c r="AE2043" s="23"/>
      <c r="AF2043" s="23"/>
      <c r="AG2043" s="23"/>
      <c r="AH2043" s="23"/>
      <c r="AI2043" s="48"/>
    </row>
    <row r="2044" spans="1:35">
      <c r="A2044" s="45"/>
      <c r="B2044" s="42"/>
      <c r="C2044" s="45"/>
      <c r="E2044" s="45"/>
      <c r="G2044" s="43"/>
      <c r="H2044" s="44"/>
      <c r="L2044" s="42"/>
      <c r="M2044" s="42"/>
      <c r="N2044" s="25"/>
      <c r="O2044" s="54"/>
      <c r="P2044"/>
      <c r="Q2044" s="25"/>
      <c r="R2044" s="54"/>
      <c r="W2044" s="23"/>
      <c r="X2044" s="23"/>
      <c r="Y2044" s="23"/>
      <c r="Z2044" s="43"/>
      <c r="AA2044" s="23"/>
      <c r="AB2044" s="23"/>
      <c r="AC2044" s="23"/>
      <c r="AD2044" s="23"/>
      <c r="AE2044" s="23"/>
      <c r="AF2044" s="23"/>
      <c r="AG2044" s="23"/>
      <c r="AH2044" s="23"/>
      <c r="AI2044" s="48"/>
    </row>
    <row r="2045" spans="1:35">
      <c r="A2045" s="45"/>
      <c r="B2045" s="42"/>
      <c r="C2045" s="45"/>
      <c r="E2045" s="45"/>
      <c r="G2045" s="43"/>
      <c r="H2045" s="44"/>
      <c r="L2045" s="42"/>
      <c r="M2045" s="42"/>
      <c r="N2045" s="25"/>
      <c r="O2045" s="54"/>
      <c r="P2045"/>
      <c r="Q2045" s="25"/>
      <c r="R2045" s="54"/>
      <c r="W2045" s="23"/>
      <c r="X2045" s="23"/>
      <c r="Y2045" s="23"/>
      <c r="Z2045" s="43"/>
      <c r="AA2045" s="23"/>
      <c r="AB2045" s="23"/>
      <c r="AC2045" s="23"/>
      <c r="AD2045" s="23"/>
      <c r="AE2045" s="23"/>
      <c r="AF2045" s="23"/>
      <c r="AG2045" s="23"/>
      <c r="AH2045" s="23"/>
      <c r="AI2045" s="48"/>
    </row>
    <row r="2046" spans="1:35">
      <c r="A2046" s="45"/>
      <c r="B2046" s="42"/>
      <c r="C2046" s="45"/>
      <c r="E2046" s="45"/>
      <c r="G2046" s="43"/>
      <c r="H2046" s="44"/>
      <c r="L2046" s="42"/>
      <c r="M2046" s="42"/>
      <c r="N2046" s="25"/>
      <c r="O2046" s="54"/>
      <c r="P2046"/>
      <c r="Q2046" s="25"/>
      <c r="R2046" s="54"/>
      <c r="W2046" s="23"/>
      <c r="X2046" s="23"/>
      <c r="Y2046" s="23"/>
      <c r="Z2046" s="43"/>
      <c r="AA2046" s="23"/>
      <c r="AB2046" s="23"/>
      <c r="AC2046" s="23"/>
      <c r="AD2046" s="23"/>
      <c r="AE2046" s="23"/>
      <c r="AF2046" s="23"/>
      <c r="AG2046" s="23"/>
      <c r="AH2046" s="23"/>
      <c r="AI2046" s="48"/>
    </row>
    <row r="2047" spans="1:35">
      <c r="A2047" s="45"/>
      <c r="B2047" s="42"/>
      <c r="C2047" s="45"/>
      <c r="E2047" s="45"/>
      <c r="G2047" s="43"/>
      <c r="H2047" s="44"/>
      <c r="L2047" s="42"/>
      <c r="M2047" s="42"/>
      <c r="N2047" s="25"/>
      <c r="O2047" s="54"/>
      <c r="P2047"/>
      <c r="Q2047" s="25"/>
      <c r="R2047" s="54"/>
      <c r="W2047" s="23"/>
      <c r="X2047" s="23"/>
      <c r="Y2047" s="23"/>
      <c r="Z2047" s="43"/>
      <c r="AA2047" s="23"/>
      <c r="AB2047" s="23"/>
      <c r="AC2047" s="23"/>
      <c r="AD2047" s="23"/>
      <c r="AE2047" s="23"/>
      <c r="AF2047" s="23"/>
      <c r="AG2047" s="23"/>
      <c r="AH2047" s="23"/>
      <c r="AI2047" s="48"/>
    </row>
    <row r="2048" spans="1:35">
      <c r="A2048" s="45"/>
      <c r="B2048" s="42"/>
      <c r="C2048" s="45"/>
      <c r="E2048" s="45"/>
      <c r="G2048" s="43"/>
      <c r="H2048" s="44"/>
      <c r="L2048" s="42"/>
      <c r="M2048" s="42"/>
      <c r="N2048" s="25"/>
      <c r="O2048" s="54"/>
      <c r="P2048"/>
      <c r="Q2048" s="25"/>
      <c r="R2048" s="54"/>
      <c r="W2048" s="23"/>
      <c r="X2048" s="23"/>
      <c r="Y2048" s="23"/>
      <c r="Z2048" s="43"/>
      <c r="AA2048" s="23"/>
      <c r="AB2048" s="23"/>
      <c r="AC2048" s="23"/>
      <c r="AD2048" s="23"/>
      <c r="AE2048" s="23"/>
      <c r="AF2048" s="23"/>
      <c r="AG2048" s="23"/>
      <c r="AH2048" s="23"/>
      <c r="AI2048" s="48"/>
    </row>
    <row r="2049" spans="1:35">
      <c r="A2049" s="45"/>
      <c r="B2049" s="42"/>
      <c r="C2049" s="45"/>
      <c r="E2049" s="45"/>
      <c r="G2049" s="43"/>
      <c r="H2049" s="44"/>
      <c r="L2049" s="42"/>
      <c r="M2049" s="42"/>
      <c r="N2049" s="25"/>
      <c r="O2049" s="54"/>
      <c r="P2049"/>
      <c r="Q2049" s="25"/>
      <c r="R2049" s="54"/>
      <c r="W2049" s="23"/>
      <c r="X2049" s="23"/>
      <c r="Y2049" s="23"/>
      <c r="Z2049" s="43"/>
      <c r="AA2049" s="23"/>
      <c r="AB2049" s="23"/>
      <c r="AC2049" s="23"/>
      <c r="AD2049" s="23"/>
      <c r="AE2049" s="23"/>
      <c r="AF2049" s="23"/>
      <c r="AG2049" s="23"/>
      <c r="AH2049" s="23"/>
      <c r="AI2049" s="48"/>
    </row>
    <row r="2050" spans="1:35">
      <c r="A2050" s="45"/>
      <c r="B2050" s="42"/>
      <c r="C2050" s="45"/>
      <c r="E2050" s="45"/>
      <c r="G2050" s="43"/>
      <c r="H2050" s="44"/>
      <c r="L2050" s="42"/>
      <c r="M2050" s="42"/>
      <c r="N2050" s="25"/>
      <c r="O2050" s="54"/>
      <c r="P2050"/>
      <c r="Q2050" s="25"/>
      <c r="R2050" s="54"/>
      <c r="W2050" s="23"/>
      <c r="X2050" s="23"/>
      <c r="Y2050" s="23"/>
      <c r="Z2050" s="43"/>
      <c r="AA2050" s="23"/>
      <c r="AB2050" s="23"/>
      <c r="AC2050" s="23"/>
      <c r="AD2050" s="23"/>
      <c r="AE2050" s="23"/>
      <c r="AF2050" s="23"/>
      <c r="AG2050" s="23"/>
      <c r="AH2050" s="23"/>
      <c r="AI2050" s="48"/>
    </row>
    <row r="2051" spans="1:35">
      <c r="A2051" s="45"/>
      <c r="B2051" s="42"/>
      <c r="C2051" s="45"/>
      <c r="E2051" s="45"/>
      <c r="G2051" s="43"/>
      <c r="H2051" s="44"/>
      <c r="L2051" s="42"/>
      <c r="M2051" s="42"/>
      <c r="N2051" s="25"/>
      <c r="O2051" s="54"/>
      <c r="P2051"/>
      <c r="Q2051" s="25"/>
      <c r="R2051" s="54"/>
      <c r="W2051" s="23"/>
      <c r="X2051" s="23"/>
      <c r="Y2051" s="23"/>
      <c r="Z2051" s="43"/>
      <c r="AA2051" s="23"/>
      <c r="AB2051" s="23"/>
      <c r="AC2051" s="23"/>
      <c r="AD2051" s="23"/>
      <c r="AE2051" s="23"/>
      <c r="AF2051" s="23"/>
      <c r="AG2051" s="23"/>
      <c r="AH2051" s="23"/>
      <c r="AI2051" s="48"/>
    </row>
    <row r="2052" spans="1:35">
      <c r="A2052" s="45"/>
      <c r="B2052" s="42"/>
      <c r="C2052" s="45"/>
      <c r="E2052" s="45"/>
      <c r="G2052" s="43"/>
      <c r="H2052" s="44"/>
      <c r="L2052" s="42"/>
      <c r="M2052" s="42"/>
      <c r="N2052" s="25"/>
      <c r="O2052" s="54"/>
      <c r="P2052"/>
      <c r="Q2052" s="25"/>
      <c r="R2052" s="54"/>
      <c r="W2052" s="23"/>
      <c r="X2052" s="23"/>
      <c r="Y2052" s="23"/>
      <c r="Z2052" s="43"/>
      <c r="AA2052" s="23"/>
      <c r="AB2052" s="23"/>
      <c r="AC2052" s="23"/>
      <c r="AD2052" s="23"/>
      <c r="AE2052" s="23"/>
      <c r="AF2052" s="23"/>
      <c r="AG2052" s="23"/>
      <c r="AH2052" s="23"/>
      <c r="AI2052" s="48"/>
    </row>
    <row r="2053" spans="1:35">
      <c r="A2053" s="45"/>
      <c r="B2053" s="42"/>
      <c r="C2053" s="45"/>
      <c r="E2053" s="45"/>
      <c r="G2053" s="43"/>
      <c r="H2053" s="44"/>
      <c r="L2053" s="42"/>
      <c r="M2053" s="42"/>
      <c r="N2053" s="25"/>
      <c r="O2053" s="54"/>
      <c r="P2053"/>
      <c r="Q2053" s="25"/>
      <c r="R2053" s="54"/>
      <c r="W2053" s="23"/>
      <c r="X2053" s="23"/>
      <c r="Y2053" s="23"/>
      <c r="Z2053" s="43"/>
      <c r="AA2053" s="23"/>
      <c r="AB2053" s="23"/>
      <c r="AC2053" s="23"/>
      <c r="AD2053" s="23"/>
      <c r="AE2053" s="23"/>
      <c r="AF2053" s="23"/>
      <c r="AG2053" s="23"/>
      <c r="AH2053" s="23"/>
      <c r="AI2053" s="48"/>
    </row>
    <row r="2054" spans="1:35">
      <c r="A2054" s="45"/>
      <c r="B2054" s="42"/>
      <c r="C2054" s="45"/>
      <c r="E2054" s="45"/>
      <c r="G2054" s="43"/>
      <c r="H2054" s="44"/>
      <c r="L2054" s="42"/>
      <c r="M2054" s="42"/>
      <c r="N2054" s="25"/>
      <c r="O2054" s="54"/>
      <c r="P2054"/>
      <c r="Q2054" s="25"/>
      <c r="R2054" s="54"/>
      <c r="W2054" s="23"/>
      <c r="X2054" s="23"/>
      <c r="Y2054" s="23"/>
      <c r="Z2054" s="43"/>
      <c r="AA2054" s="23"/>
      <c r="AB2054" s="23"/>
      <c r="AC2054" s="23"/>
      <c r="AD2054" s="23"/>
      <c r="AE2054" s="23"/>
      <c r="AF2054" s="23"/>
      <c r="AG2054" s="23"/>
      <c r="AH2054" s="23"/>
      <c r="AI2054" s="48"/>
    </row>
    <row r="2055" spans="1:35">
      <c r="A2055" s="45"/>
      <c r="B2055" s="42"/>
      <c r="C2055" s="45"/>
      <c r="E2055" s="45"/>
      <c r="G2055" s="43"/>
      <c r="H2055" s="44"/>
      <c r="L2055" s="42"/>
      <c r="M2055" s="42"/>
      <c r="N2055" s="25"/>
      <c r="O2055" s="54"/>
      <c r="P2055"/>
      <c r="Q2055" s="25"/>
      <c r="R2055" s="54"/>
      <c r="W2055" s="23"/>
      <c r="X2055" s="23"/>
      <c r="Y2055" s="23"/>
      <c r="Z2055" s="43"/>
      <c r="AA2055" s="23"/>
      <c r="AB2055" s="23"/>
      <c r="AC2055" s="23"/>
      <c r="AD2055" s="23"/>
      <c r="AE2055" s="23"/>
      <c r="AF2055" s="23"/>
      <c r="AG2055" s="23"/>
      <c r="AH2055" s="23"/>
      <c r="AI2055" s="48"/>
    </row>
    <row r="2056" spans="1:35">
      <c r="A2056" s="45"/>
      <c r="B2056" s="42"/>
      <c r="C2056" s="45"/>
      <c r="E2056" s="45"/>
      <c r="G2056" s="43"/>
      <c r="H2056" s="44"/>
      <c r="L2056" s="42"/>
      <c r="M2056" s="42"/>
      <c r="N2056" s="25"/>
      <c r="O2056" s="54"/>
      <c r="P2056"/>
      <c r="Q2056" s="25"/>
      <c r="R2056" s="54"/>
      <c r="W2056" s="23"/>
      <c r="X2056" s="23"/>
      <c r="Y2056" s="23"/>
      <c r="Z2056" s="43"/>
      <c r="AA2056" s="23"/>
      <c r="AB2056" s="23"/>
      <c r="AC2056" s="23"/>
      <c r="AD2056" s="23"/>
      <c r="AE2056" s="23"/>
      <c r="AF2056" s="23"/>
      <c r="AG2056" s="23"/>
      <c r="AH2056" s="23"/>
      <c r="AI2056" s="48"/>
    </row>
    <row r="2057" spans="1:35">
      <c r="A2057" s="45"/>
      <c r="B2057" s="42"/>
      <c r="C2057" s="45"/>
      <c r="E2057" s="45"/>
      <c r="G2057" s="43"/>
      <c r="H2057" s="44"/>
      <c r="L2057" s="42"/>
      <c r="M2057" s="42"/>
      <c r="N2057" s="25"/>
      <c r="O2057" s="54"/>
      <c r="P2057"/>
      <c r="Q2057" s="25"/>
      <c r="R2057" s="54"/>
      <c r="W2057" s="23"/>
      <c r="X2057" s="23"/>
      <c r="Y2057" s="23"/>
      <c r="Z2057" s="43"/>
      <c r="AA2057" s="23"/>
      <c r="AB2057" s="23"/>
      <c r="AC2057" s="23"/>
      <c r="AD2057" s="23"/>
      <c r="AE2057" s="23"/>
      <c r="AF2057" s="23"/>
      <c r="AG2057" s="23"/>
      <c r="AH2057" s="23"/>
      <c r="AI2057" s="48"/>
    </row>
    <row r="2058" spans="1:35">
      <c r="A2058" s="45"/>
      <c r="B2058" s="42"/>
      <c r="C2058" s="45"/>
      <c r="E2058" s="45"/>
      <c r="G2058" s="43"/>
      <c r="H2058" s="44"/>
      <c r="L2058" s="42"/>
      <c r="M2058" s="42"/>
      <c r="N2058" s="25"/>
      <c r="O2058" s="54"/>
      <c r="P2058"/>
      <c r="Q2058" s="25"/>
      <c r="R2058" s="54"/>
      <c r="W2058" s="23"/>
      <c r="X2058" s="23"/>
      <c r="Y2058" s="23"/>
      <c r="Z2058" s="43"/>
      <c r="AA2058" s="23"/>
      <c r="AB2058" s="23"/>
      <c r="AC2058" s="23"/>
      <c r="AD2058" s="23"/>
      <c r="AE2058" s="23"/>
      <c r="AF2058" s="23"/>
      <c r="AG2058" s="23"/>
      <c r="AH2058" s="23"/>
      <c r="AI2058" s="48"/>
    </row>
    <row r="2059" spans="1:35">
      <c r="A2059" s="45"/>
      <c r="B2059" s="42"/>
      <c r="C2059" s="45"/>
      <c r="E2059" s="45"/>
      <c r="G2059" s="43"/>
      <c r="H2059" s="44"/>
      <c r="L2059" s="42"/>
      <c r="M2059" s="42"/>
      <c r="N2059" s="25"/>
      <c r="O2059" s="54"/>
      <c r="P2059"/>
      <c r="Q2059" s="25"/>
      <c r="R2059" s="54"/>
      <c r="W2059" s="23"/>
      <c r="X2059" s="23"/>
      <c r="Y2059" s="23"/>
      <c r="Z2059" s="43"/>
      <c r="AA2059" s="23"/>
      <c r="AB2059" s="23"/>
      <c r="AC2059" s="23"/>
      <c r="AD2059" s="23"/>
      <c r="AE2059" s="23"/>
      <c r="AF2059" s="23"/>
      <c r="AG2059" s="23"/>
      <c r="AH2059" s="23"/>
      <c r="AI2059" s="48"/>
    </row>
    <row r="2060" spans="1:35">
      <c r="A2060" s="45"/>
      <c r="B2060" s="42"/>
      <c r="C2060" s="45"/>
      <c r="E2060" s="45"/>
      <c r="G2060" s="43"/>
      <c r="H2060" s="44"/>
      <c r="L2060" s="42"/>
      <c r="M2060" s="42"/>
      <c r="N2060" s="25"/>
      <c r="O2060" s="54"/>
      <c r="P2060"/>
      <c r="Q2060" s="25"/>
      <c r="R2060" s="54"/>
      <c r="W2060" s="23"/>
      <c r="X2060" s="23"/>
      <c r="Y2060" s="23"/>
      <c r="Z2060" s="43"/>
      <c r="AA2060" s="23"/>
      <c r="AB2060" s="23"/>
      <c r="AC2060" s="23"/>
      <c r="AD2060" s="23"/>
      <c r="AE2060" s="23"/>
      <c r="AF2060" s="23"/>
      <c r="AG2060" s="23"/>
      <c r="AH2060" s="23"/>
      <c r="AI2060" s="48"/>
    </row>
    <row r="2061" spans="1:35">
      <c r="A2061" s="45"/>
      <c r="B2061" s="42"/>
      <c r="C2061" s="45"/>
      <c r="E2061" s="45"/>
      <c r="G2061" s="43"/>
      <c r="H2061" s="44"/>
      <c r="L2061" s="42"/>
      <c r="M2061" s="42"/>
      <c r="N2061" s="25"/>
      <c r="O2061" s="54"/>
      <c r="P2061"/>
      <c r="Q2061" s="25"/>
      <c r="R2061" s="54"/>
      <c r="W2061" s="23"/>
      <c r="X2061" s="23"/>
      <c r="Y2061" s="23"/>
      <c r="Z2061" s="43"/>
      <c r="AA2061" s="23"/>
      <c r="AB2061" s="23"/>
      <c r="AC2061" s="23"/>
      <c r="AD2061" s="23"/>
      <c r="AE2061" s="23"/>
      <c r="AF2061" s="23"/>
      <c r="AG2061" s="23"/>
      <c r="AH2061" s="23"/>
      <c r="AI2061" s="48"/>
    </row>
    <row r="2062" spans="1:35">
      <c r="A2062" s="45"/>
      <c r="B2062" s="42"/>
      <c r="C2062" s="45"/>
      <c r="E2062" s="45"/>
      <c r="G2062" s="43"/>
      <c r="H2062" s="44"/>
      <c r="L2062" s="42"/>
      <c r="M2062" s="42"/>
      <c r="N2062" s="25"/>
      <c r="O2062" s="54"/>
      <c r="P2062"/>
      <c r="Q2062" s="25"/>
      <c r="R2062" s="54"/>
      <c r="W2062" s="23"/>
      <c r="X2062" s="23"/>
      <c r="Y2062" s="23"/>
      <c r="Z2062" s="43"/>
      <c r="AA2062" s="23"/>
      <c r="AB2062" s="23"/>
      <c r="AC2062" s="23"/>
      <c r="AD2062" s="23"/>
      <c r="AE2062" s="23"/>
      <c r="AF2062" s="23"/>
      <c r="AG2062" s="23"/>
      <c r="AH2062" s="23"/>
      <c r="AI2062" s="48"/>
    </row>
    <row r="2063" spans="1:35">
      <c r="A2063" s="45"/>
      <c r="B2063" s="42"/>
      <c r="C2063" s="45"/>
      <c r="E2063" s="45"/>
      <c r="G2063" s="43"/>
      <c r="H2063" s="44"/>
      <c r="L2063" s="42"/>
      <c r="M2063" s="42"/>
      <c r="N2063" s="25"/>
      <c r="O2063" s="54"/>
      <c r="P2063"/>
      <c r="Q2063" s="25"/>
      <c r="R2063" s="54"/>
      <c r="W2063" s="23"/>
      <c r="X2063" s="23"/>
      <c r="Y2063" s="23"/>
      <c r="Z2063" s="43"/>
      <c r="AA2063" s="23"/>
      <c r="AB2063" s="23"/>
      <c r="AC2063" s="23"/>
      <c r="AD2063" s="23"/>
      <c r="AE2063" s="23"/>
      <c r="AF2063" s="23"/>
      <c r="AG2063" s="23"/>
      <c r="AH2063" s="23"/>
      <c r="AI2063" s="48"/>
    </row>
    <row r="2064" spans="1:35">
      <c r="A2064" s="45"/>
      <c r="B2064" s="42"/>
      <c r="C2064" s="45"/>
      <c r="E2064" s="45"/>
      <c r="G2064" s="43"/>
      <c r="H2064" s="44"/>
      <c r="L2064" s="42"/>
      <c r="M2064" s="42"/>
      <c r="N2064" s="25"/>
      <c r="O2064" s="54"/>
      <c r="P2064"/>
      <c r="Q2064" s="25"/>
      <c r="R2064" s="54"/>
      <c r="W2064" s="23"/>
      <c r="X2064" s="23"/>
      <c r="Y2064" s="23"/>
      <c r="Z2064" s="43"/>
      <c r="AA2064" s="23"/>
      <c r="AB2064" s="23"/>
      <c r="AC2064" s="23"/>
      <c r="AD2064" s="23"/>
      <c r="AE2064" s="23"/>
      <c r="AF2064" s="23"/>
      <c r="AG2064" s="23"/>
      <c r="AH2064" s="23"/>
      <c r="AI2064" s="48"/>
    </row>
    <row r="2065" spans="1:35">
      <c r="A2065" s="45"/>
      <c r="B2065" s="42"/>
      <c r="C2065" s="45"/>
      <c r="E2065" s="45"/>
      <c r="G2065" s="43"/>
      <c r="H2065" s="44"/>
      <c r="L2065" s="42"/>
      <c r="M2065" s="42"/>
      <c r="N2065" s="25"/>
      <c r="O2065" s="54"/>
      <c r="P2065"/>
      <c r="Q2065" s="25"/>
      <c r="R2065" s="54"/>
      <c r="W2065" s="23"/>
      <c r="X2065" s="23"/>
      <c r="Y2065" s="23"/>
      <c r="Z2065" s="43"/>
      <c r="AA2065" s="23"/>
      <c r="AB2065" s="23"/>
      <c r="AC2065" s="23"/>
      <c r="AD2065" s="23"/>
      <c r="AE2065" s="23"/>
      <c r="AF2065" s="23"/>
      <c r="AG2065" s="23"/>
      <c r="AH2065" s="23"/>
      <c r="AI2065" s="48"/>
    </row>
    <row r="2066" spans="1:35">
      <c r="A2066" s="45"/>
      <c r="B2066" s="42"/>
      <c r="C2066" s="45"/>
      <c r="E2066" s="45"/>
      <c r="G2066" s="43"/>
      <c r="H2066" s="44"/>
      <c r="L2066" s="42"/>
      <c r="M2066" s="42"/>
      <c r="N2066" s="25"/>
      <c r="O2066" s="54"/>
      <c r="P2066"/>
      <c r="Q2066" s="25"/>
      <c r="R2066" s="54"/>
      <c r="W2066" s="23"/>
      <c r="X2066" s="23"/>
      <c r="Y2066" s="23"/>
      <c r="Z2066" s="43"/>
      <c r="AA2066" s="23"/>
      <c r="AB2066" s="23"/>
      <c r="AC2066" s="23"/>
      <c r="AD2066" s="23"/>
      <c r="AE2066" s="23"/>
      <c r="AF2066" s="23"/>
      <c r="AG2066" s="23"/>
      <c r="AH2066" s="23"/>
      <c r="AI2066" s="48"/>
    </row>
    <row r="2067" spans="1:35">
      <c r="A2067" s="45"/>
      <c r="B2067" s="42"/>
      <c r="C2067" s="45"/>
      <c r="E2067" s="45"/>
      <c r="G2067" s="43"/>
      <c r="H2067" s="44"/>
      <c r="L2067" s="42"/>
      <c r="M2067" s="42"/>
      <c r="N2067" s="25"/>
      <c r="O2067" s="54"/>
      <c r="P2067"/>
      <c r="Q2067" s="25"/>
      <c r="R2067" s="54"/>
      <c r="W2067" s="23"/>
      <c r="X2067" s="23"/>
      <c r="Y2067" s="23"/>
      <c r="Z2067" s="43"/>
      <c r="AA2067" s="23"/>
      <c r="AB2067" s="23"/>
      <c r="AC2067" s="23"/>
      <c r="AD2067" s="23"/>
      <c r="AE2067" s="23"/>
      <c r="AF2067" s="23"/>
      <c r="AG2067" s="23"/>
      <c r="AH2067" s="23"/>
      <c r="AI2067" s="48"/>
    </row>
    <row r="2068" spans="1:35">
      <c r="A2068" s="45"/>
      <c r="B2068" s="42"/>
      <c r="C2068" s="45"/>
      <c r="E2068" s="45"/>
      <c r="G2068" s="43"/>
      <c r="H2068" s="44"/>
      <c r="L2068" s="42"/>
      <c r="M2068" s="42"/>
      <c r="N2068" s="25"/>
      <c r="O2068" s="54"/>
      <c r="P2068"/>
      <c r="Q2068" s="25"/>
      <c r="R2068" s="54"/>
      <c r="W2068" s="23"/>
      <c r="X2068" s="23"/>
      <c r="Y2068" s="23"/>
      <c r="Z2068" s="43"/>
      <c r="AA2068" s="23"/>
      <c r="AB2068" s="23"/>
      <c r="AC2068" s="23"/>
      <c r="AD2068" s="23"/>
      <c r="AE2068" s="23"/>
      <c r="AF2068" s="23"/>
      <c r="AG2068" s="23"/>
      <c r="AH2068" s="23"/>
      <c r="AI2068" s="48"/>
    </row>
    <row r="2069" spans="1:35">
      <c r="A2069" s="45"/>
      <c r="B2069" s="42"/>
      <c r="C2069" s="45"/>
      <c r="E2069" s="45"/>
      <c r="G2069" s="43"/>
      <c r="H2069" s="44"/>
      <c r="L2069" s="42"/>
      <c r="M2069" s="42"/>
      <c r="N2069" s="25"/>
      <c r="O2069" s="54"/>
      <c r="P2069"/>
      <c r="Q2069" s="25"/>
      <c r="R2069" s="54"/>
      <c r="W2069" s="23"/>
      <c r="X2069" s="23"/>
      <c r="Y2069" s="23"/>
      <c r="Z2069" s="43"/>
      <c r="AA2069" s="23"/>
      <c r="AB2069" s="23"/>
      <c r="AC2069" s="23"/>
      <c r="AD2069" s="23"/>
      <c r="AE2069" s="23"/>
      <c r="AF2069" s="23"/>
      <c r="AG2069" s="23"/>
      <c r="AH2069" s="23"/>
      <c r="AI2069" s="48"/>
    </row>
    <row r="2070" spans="1:35">
      <c r="A2070" s="45"/>
      <c r="B2070" s="42"/>
      <c r="C2070" s="45"/>
      <c r="E2070" s="45"/>
      <c r="G2070" s="43"/>
      <c r="H2070" s="44"/>
      <c r="L2070" s="42"/>
      <c r="M2070" s="42"/>
      <c r="N2070" s="25"/>
      <c r="O2070" s="54"/>
      <c r="P2070"/>
      <c r="Q2070" s="25"/>
      <c r="R2070" s="54"/>
      <c r="W2070" s="23"/>
      <c r="X2070" s="23"/>
      <c r="Y2070" s="23"/>
      <c r="Z2070" s="43"/>
      <c r="AA2070" s="23"/>
      <c r="AB2070" s="23"/>
      <c r="AC2070" s="23"/>
      <c r="AD2070" s="23"/>
      <c r="AE2070" s="23"/>
      <c r="AF2070" s="23"/>
      <c r="AG2070" s="23"/>
      <c r="AH2070" s="23"/>
      <c r="AI2070" s="48"/>
    </row>
    <row r="2071" spans="1:35">
      <c r="A2071" s="45"/>
      <c r="B2071" s="42"/>
      <c r="C2071" s="45"/>
      <c r="E2071" s="45"/>
      <c r="G2071" s="43"/>
      <c r="H2071" s="44"/>
      <c r="L2071" s="42"/>
      <c r="M2071" s="42"/>
      <c r="N2071" s="25"/>
      <c r="O2071" s="54"/>
      <c r="P2071"/>
      <c r="Q2071" s="25"/>
      <c r="R2071" s="54"/>
      <c r="W2071" s="23"/>
      <c r="X2071" s="23"/>
      <c r="Y2071" s="23"/>
      <c r="Z2071" s="43"/>
      <c r="AA2071" s="23"/>
      <c r="AB2071" s="23"/>
      <c r="AC2071" s="23"/>
      <c r="AD2071" s="23"/>
      <c r="AE2071" s="23"/>
      <c r="AF2071" s="23"/>
      <c r="AG2071" s="23"/>
      <c r="AH2071" s="23"/>
      <c r="AI2071" s="48"/>
    </row>
    <row r="2072" spans="1:35">
      <c r="A2072" s="45"/>
      <c r="B2072" s="42"/>
      <c r="C2072" s="45"/>
      <c r="E2072" s="45"/>
      <c r="G2072" s="43"/>
      <c r="H2072" s="44"/>
      <c r="L2072" s="42"/>
      <c r="M2072" s="42"/>
      <c r="N2072" s="25"/>
      <c r="O2072" s="54"/>
      <c r="P2072"/>
      <c r="Q2072" s="25"/>
      <c r="R2072" s="54"/>
      <c r="W2072" s="23"/>
      <c r="X2072" s="23"/>
      <c r="Y2072" s="23"/>
      <c r="Z2072" s="43"/>
      <c r="AA2072" s="23"/>
      <c r="AB2072" s="23"/>
      <c r="AC2072" s="23"/>
      <c r="AD2072" s="23"/>
      <c r="AE2072" s="23"/>
      <c r="AF2072" s="23"/>
      <c r="AG2072" s="23"/>
      <c r="AH2072" s="23"/>
      <c r="AI2072" s="48"/>
    </row>
    <row r="2073" spans="1:35">
      <c r="A2073" s="45"/>
      <c r="B2073" s="42"/>
      <c r="C2073" s="45"/>
      <c r="E2073" s="45"/>
      <c r="G2073" s="43"/>
      <c r="H2073" s="44"/>
      <c r="L2073" s="42"/>
      <c r="M2073" s="42"/>
      <c r="N2073" s="25"/>
      <c r="O2073" s="54"/>
      <c r="P2073"/>
      <c r="Q2073" s="25"/>
      <c r="R2073" s="54"/>
      <c r="W2073" s="23"/>
      <c r="X2073" s="23"/>
      <c r="Y2073" s="23"/>
      <c r="Z2073" s="43"/>
      <c r="AA2073" s="23"/>
      <c r="AB2073" s="23"/>
      <c r="AC2073" s="23"/>
      <c r="AD2073" s="23"/>
      <c r="AE2073" s="23"/>
      <c r="AF2073" s="23"/>
      <c r="AG2073" s="23"/>
      <c r="AH2073" s="23"/>
      <c r="AI2073" s="48"/>
    </row>
    <row r="2074" spans="1:35">
      <c r="A2074" s="45"/>
      <c r="B2074" s="42"/>
      <c r="C2074" s="45"/>
      <c r="E2074" s="45"/>
      <c r="G2074" s="43"/>
      <c r="H2074" s="44"/>
      <c r="L2074" s="42"/>
      <c r="M2074" s="42"/>
      <c r="N2074" s="25"/>
      <c r="O2074" s="54"/>
      <c r="P2074"/>
      <c r="Q2074" s="25"/>
      <c r="R2074" s="54"/>
      <c r="W2074" s="23"/>
      <c r="X2074" s="23"/>
      <c r="Y2074" s="23"/>
      <c r="Z2074" s="43"/>
      <c r="AA2074" s="23"/>
      <c r="AB2074" s="23"/>
      <c r="AC2074" s="23"/>
      <c r="AD2074" s="23"/>
      <c r="AE2074" s="23"/>
      <c r="AF2074" s="23"/>
      <c r="AG2074" s="23"/>
      <c r="AH2074" s="23"/>
      <c r="AI2074" s="48"/>
    </row>
    <row r="2075" spans="1:35">
      <c r="A2075" s="45"/>
      <c r="B2075" s="42"/>
      <c r="C2075" s="45"/>
      <c r="E2075" s="45"/>
      <c r="G2075" s="43"/>
      <c r="H2075" s="44"/>
      <c r="L2075" s="42"/>
      <c r="M2075" s="42"/>
      <c r="N2075" s="25"/>
      <c r="O2075" s="54"/>
      <c r="P2075"/>
      <c r="Q2075" s="25"/>
      <c r="R2075" s="54"/>
      <c r="W2075" s="23"/>
      <c r="X2075" s="23"/>
      <c r="Y2075" s="23"/>
      <c r="Z2075" s="43"/>
      <c r="AA2075" s="23"/>
      <c r="AB2075" s="23"/>
      <c r="AC2075" s="23"/>
      <c r="AD2075" s="23"/>
      <c r="AE2075" s="23"/>
      <c r="AF2075" s="23"/>
      <c r="AG2075" s="23"/>
      <c r="AH2075" s="23"/>
      <c r="AI2075" s="48"/>
    </row>
    <row r="2076" spans="1:35">
      <c r="A2076" s="45"/>
      <c r="B2076" s="42"/>
      <c r="C2076" s="45"/>
      <c r="E2076" s="45"/>
      <c r="G2076" s="43"/>
      <c r="H2076" s="44"/>
      <c r="L2076" s="42"/>
      <c r="M2076" s="42"/>
      <c r="N2076" s="25"/>
      <c r="O2076" s="54"/>
      <c r="P2076"/>
      <c r="Q2076" s="25"/>
      <c r="R2076" s="54"/>
      <c r="W2076" s="23"/>
      <c r="X2076" s="23"/>
      <c r="Y2076" s="23"/>
      <c r="Z2076" s="43"/>
      <c r="AA2076" s="23"/>
      <c r="AB2076" s="23"/>
      <c r="AC2076" s="23"/>
      <c r="AD2076" s="23"/>
      <c r="AE2076" s="23"/>
      <c r="AF2076" s="23"/>
      <c r="AG2076" s="23"/>
      <c r="AH2076" s="23"/>
      <c r="AI2076" s="48"/>
    </row>
    <row r="2077" spans="1:35">
      <c r="A2077" s="45"/>
      <c r="B2077" s="42"/>
      <c r="C2077" s="45"/>
      <c r="E2077" s="45"/>
      <c r="G2077" s="43"/>
      <c r="H2077" s="44"/>
      <c r="L2077" s="42"/>
      <c r="M2077" s="42"/>
      <c r="N2077" s="25"/>
      <c r="O2077" s="54"/>
      <c r="P2077"/>
      <c r="Q2077" s="25"/>
      <c r="R2077" s="54"/>
      <c r="W2077" s="23"/>
      <c r="X2077" s="23"/>
      <c r="Y2077" s="23"/>
      <c r="Z2077" s="43"/>
      <c r="AA2077" s="23"/>
      <c r="AB2077" s="23"/>
      <c r="AC2077" s="23"/>
      <c r="AD2077" s="23"/>
      <c r="AE2077" s="23"/>
      <c r="AF2077" s="23"/>
      <c r="AG2077" s="23"/>
      <c r="AH2077" s="23"/>
      <c r="AI2077" s="48"/>
    </row>
    <row r="2078" spans="1:35">
      <c r="A2078" s="45"/>
      <c r="B2078" s="42"/>
      <c r="C2078" s="45"/>
      <c r="E2078" s="45"/>
      <c r="G2078" s="43"/>
      <c r="H2078" s="44"/>
      <c r="L2078" s="42"/>
      <c r="M2078" s="42"/>
      <c r="N2078" s="25"/>
      <c r="O2078" s="54"/>
      <c r="P2078"/>
      <c r="Q2078" s="25"/>
      <c r="R2078" s="54"/>
      <c r="W2078" s="23"/>
      <c r="X2078" s="23"/>
      <c r="Y2078" s="23"/>
      <c r="Z2078" s="43"/>
      <c r="AA2078" s="23"/>
      <c r="AB2078" s="23"/>
      <c r="AC2078" s="23"/>
      <c r="AD2078" s="23"/>
      <c r="AE2078" s="23"/>
      <c r="AF2078" s="23"/>
      <c r="AG2078" s="23"/>
      <c r="AH2078" s="23"/>
      <c r="AI2078" s="48"/>
    </row>
    <row r="2079" spans="1:35">
      <c r="A2079" s="45"/>
      <c r="B2079" s="42"/>
      <c r="C2079" s="45"/>
      <c r="E2079" s="45"/>
      <c r="G2079" s="43"/>
      <c r="H2079" s="44"/>
      <c r="L2079" s="42"/>
      <c r="M2079" s="42"/>
      <c r="N2079" s="25"/>
      <c r="O2079" s="54"/>
      <c r="P2079"/>
      <c r="Q2079" s="25"/>
      <c r="R2079" s="54"/>
      <c r="W2079" s="23"/>
      <c r="X2079" s="23"/>
      <c r="Y2079" s="23"/>
      <c r="Z2079" s="43"/>
      <c r="AA2079" s="23"/>
      <c r="AB2079" s="23"/>
      <c r="AC2079" s="23"/>
      <c r="AD2079" s="23"/>
      <c r="AE2079" s="23"/>
      <c r="AF2079" s="23"/>
      <c r="AG2079" s="23"/>
      <c r="AH2079" s="23"/>
      <c r="AI2079" s="48"/>
    </row>
    <row r="2080" spans="1:35">
      <c r="A2080" s="45"/>
      <c r="B2080" s="42"/>
      <c r="C2080" s="45"/>
      <c r="E2080" s="45"/>
      <c r="G2080" s="43"/>
      <c r="H2080" s="44"/>
      <c r="L2080" s="42"/>
      <c r="M2080" s="42"/>
      <c r="N2080" s="25"/>
      <c r="O2080" s="54"/>
      <c r="P2080"/>
      <c r="Q2080" s="25"/>
      <c r="R2080" s="54"/>
      <c r="W2080" s="23"/>
      <c r="X2080" s="23"/>
      <c r="Y2080" s="23"/>
      <c r="Z2080" s="43"/>
      <c r="AA2080" s="23"/>
      <c r="AB2080" s="23"/>
      <c r="AC2080" s="23"/>
      <c r="AD2080" s="23"/>
      <c r="AE2080" s="23"/>
      <c r="AF2080" s="23"/>
      <c r="AG2080" s="23"/>
      <c r="AH2080" s="23"/>
      <c r="AI2080" s="48"/>
    </row>
    <row r="2081" spans="1:35">
      <c r="A2081" s="45"/>
      <c r="B2081" s="42"/>
      <c r="C2081" s="45"/>
      <c r="E2081" s="45"/>
      <c r="G2081" s="43"/>
      <c r="H2081" s="44"/>
      <c r="L2081" s="42"/>
      <c r="M2081" s="42"/>
      <c r="N2081" s="25"/>
      <c r="O2081" s="54"/>
      <c r="P2081"/>
      <c r="Q2081" s="25"/>
      <c r="R2081" s="54"/>
      <c r="W2081" s="23"/>
      <c r="X2081" s="23"/>
      <c r="Y2081" s="23"/>
      <c r="Z2081" s="43"/>
      <c r="AA2081" s="23"/>
      <c r="AB2081" s="23"/>
      <c r="AC2081" s="23"/>
      <c r="AD2081" s="23"/>
      <c r="AE2081" s="23"/>
      <c r="AF2081" s="23"/>
      <c r="AG2081" s="23"/>
      <c r="AH2081" s="23"/>
      <c r="AI2081" s="48"/>
    </row>
    <row r="2082" spans="1:35">
      <c r="A2082" s="45"/>
      <c r="B2082" s="42"/>
      <c r="C2082" s="45"/>
      <c r="E2082" s="45"/>
      <c r="G2082" s="43"/>
      <c r="H2082" s="44"/>
      <c r="L2082" s="42"/>
      <c r="M2082" s="42"/>
      <c r="N2082" s="25"/>
      <c r="O2082" s="54"/>
      <c r="P2082"/>
      <c r="Q2082" s="25"/>
      <c r="R2082" s="54"/>
      <c r="W2082" s="23"/>
      <c r="X2082" s="23"/>
      <c r="Y2082" s="23"/>
      <c r="Z2082" s="43"/>
      <c r="AA2082" s="23"/>
      <c r="AB2082" s="23"/>
      <c r="AC2082" s="23"/>
      <c r="AD2082" s="23"/>
      <c r="AE2082" s="23"/>
      <c r="AF2082" s="23"/>
      <c r="AG2082" s="23"/>
      <c r="AH2082" s="23"/>
      <c r="AI2082" s="48"/>
    </row>
    <row r="2083" spans="1:35">
      <c r="A2083" s="45"/>
      <c r="B2083" s="42"/>
      <c r="C2083" s="45"/>
      <c r="E2083" s="45"/>
      <c r="G2083" s="43"/>
      <c r="H2083" s="44"/>
      <c r="L2083" s="42"/>
      <c r="M2083" s="42"/>
      <c r="N2083" s="25"/>
      <c r="O2083" s="54"/>
      <c r="P2083"/>
      <c r="Q2083" s="25"/>
      <c r="R2083" s="54"/>
      <c r="W2083" s="23"/>
      <c r="X2083" s="23"/>
      <c r="Y2083" s="23"/>
      <c r="Z2083" s="43"/>
      <c r="AA2083" s="23"/>
      <c r="AB2083" s="23"/>
      <c r="AC2083" s="23"/>
      <c r="AD2083" s="23"/>
      <c r="AE2083" s="23"/>
      <c r="AF2083" s="23"/>
      <c r="AG2083" s="23"/>
      <c r="AH2083" s="23"/>
      <c r="AI2083" s="48"/>
    </row>
    <row r="2084" spans="1:35">
      <c r="B2084" s="42"/>
      <c r="G2084" s="43"/>
      <c r="H2084" s="44"/>
      <c r="L2084" s="42"/>
      <c r="M2084" s="42"/>
      <c r="N2084" s="25"/>
      <c r="O2084" s="54"/>
      <c r="P2084"/>
      <c r="Q2084" s="25"/>
      <c r="R2084" s="54"/>
      <c r="W2084" s="23"/>
      <c r="X2084" s="23"/>
      <c r="Y2084" s="23"/>
      <c r="Z2084" s="43"/>
      <c r="AA2084" s="23"/>
      <c r="AB2084" s="23"/>
      <c r="AC2084" s="23"/>
      <c r="AD2084" s="23"/>
      <c r="AE2084" s="23"/>
      <c r="AF2084" s="23"/>
      <c r="AG2084" s="23"/>
      <c r="AH2084" s="23"/>
      <c r="AI2084" s="48"/>
    </row>
    <row r="2085" spans="1:35">
      <c r="B2085" s="42"/>
      <c r="G2085" s="43"/>
      <c r="H2085" s="44"/>
      <c r="L2085" s="42"/>
      <c r="M2085" s="42"/>
      <c r="N2085" s="25"/>
      <c r="O2085" s="54"/>
      <c r="P2085"/>
      <c r="Q2085" s="25"/>
      <c r="R2085" s="54"/>
      <c r="W2085" s="23"/>
      <c r="X2085" s="23"/>
      <c r="Y2085" s="23"/>
      <c r="Z2085" s="43"/>
      <c r="AA2085" s="23"/>
      <c r="AB2085" s="23"/>
      <c r="AC2085" s="23"/>
      <c r="AD2085" s="23"/>
      <c r="AE2085" s="23"/>
      <c r="AF2085" s="23"/>
      <c r="AG2085" s="23"/>
      <c r="AH2085" s="23"/>
      <c r="AI2085" s="48"/>
    </row>
    <row r="2086" spans="1:35">
      <c r="B2086" s="42"/>
      <c r="G2086" s="43"/>
      <c r="H2086" s="44"/>
      <c r="L2086" s="42"/>
      <c r="M2086" s="42"/>
      <c r="N2086" s="25"/>
      <c r="O2086" s="54"/>
      <c r="P2086"/>
      <c r="Q2086" s="25"/>
      <c r="R2086" s="54"/>
      <c r="W2086" s="23"/>
      <c r="X2086" s="23"/>
      <c r="Y2086" s="23"/>
      <c r="Z2086" s="43"/>
      <c r="AA2086" s="23"/>
      <c r="AB2086" s="23"/>
      <c r="AC2086" s="23"/>
      <c r="AD2086" s="23"/>
      <c r="AE2086" s="23"/>
      <c r="AF2086" s="23"/>
      <c r="AG2086" s="23"/>
      <c r="AH2086" s="23"/>
      <c r="AI2086" s="48"/>
    </row>
    <row r="2087" spans="1:35">
      <c r="B2087" s="42"/>
      <c r="G2087" s="43"/>
      <c r="H2087" s="44"/>
      <c r="L2087" s="42"/>
      <c r="M2087" s="42"/>
      <c r="N2087" s="25"/>
      <c r="O2087" s="54"/>
      <c r="P2087"/>
      <c r="Q2087" s="25"/>
      <c r="R2087" s="54"/>
      <c r="W2087" s="23"/>
      <c r="X2087" s="23"/>
      <c r="Y2087" s="23"/>
      <c r="Z2087" s="43"/>
      <c r="AA2087" s="23"/>
      <c r="AB2087" s="23"/>
      <c r="AC2087" s="23"/>
      <c r="AD2087" s="23"/>
      <c r="AE2087" s="23"/>
      <c r="AF2087" s="23"/>
      <c r="AG2087" s="23"/>
      <c r="AH2087" s="23"/>
      <c r="AI2087" s="48"/>
    </row>
    <row r="2088" spans="1:35">
      <c r="A2088" s="23"/>
      <c r="B2088" s="42"/>
      <c r="C2088" s="49"/>
      <c r="E2088" s="49"/>
      <c r="G2088" s="43"/>
      <c r="H2088" s="44"/>
      <c r="L2088" s="42"/>
      <c r="M2088" s="42"/>
      <c r="N2088" s="25"/>
      <c r="O2088" s="54"/>
      <c r="P2088"/>
      <c r="Q2088" s="25"/>
      <c r="R2088" s="54"/>
      <c r="W2088" s="23"/>
      <c r="X2088" s="23"/>
      <c r="Y2088" s="23"/>
      <c r="Z2088" s="43"/>
      <c r="AA2088" s="23"/>
      <c r="AB2088" s="23"/>
      <c r="AC2088" s="23"/>
      <c r="AD2088" s="23"/>
      <c r="AE2088" s="23"/>
      <c r="AF2088" s="23"/>
      <c r="AG2088" s="23"/>
      <c r="AH2088" s="23"/>
      <c r="AI2088" s="49"/>
    </row>
    <row r="2089" spans="1:35">
      <c r="B2089" s="42"/>
      <c r="G2089" s="43"/>
      <c r="H2089" s="44"/>
      <c r="L2089" s="42"/>
      <c r="M2089" s="42"/>
      <c r="N2089" s="25"/>
      <c r="O2089" s="54"/>
      <c r="P2089"/>
      <c r="Q2089" s="25"/>
      <c r="R2089" s="54"/>
      <c r="W2089" s="23"/>
      <c r="X2089" s="23"/>
      <c r="Y2089" s="23"/>
      <c r="Z2089" s="43"/>
      <c r="AA2089" s="23"/>
      <c r="AB2089" s="23"/>
      <c r="AC2089" s="23"/>
      <c r="AD2089" s="23"/>
      <c r="AE2089" s="23"/>
      <c r="AF2089" s="23"/>
      <c r="AG2089" s="23"/>
      <c r="AH2089" s="23"/>
      <c r="AI2089" s="48"/>
    </row>
    <row r="2090" spans="1:35">
      <c r="B2090" s="42"/>
      <c r="G2090" s="43"/>
      <c r="H2090" s="44"/>
      <c r="L2090" s="42"/>
      <c r="M2090" s="42"/>
      <c r="N2090" s="25"/>
      <c r="O2090" s="54"/>
      <c r="P2090"/>
      <c r="Q2090" s="25"/>
      <c r="R2090" s="54"/>
      <c r="W2090" s="23"/>
      <c r="X2090" s="23"/>
      <c r="Y2090" s="23"/>
      <c r="Z2090" s="43"/>
      <c r="AA2090" s="23"/>
      <c r="AB2090" s="23"/>
      <c r="AC2090" s="23"/>
      <c r="AD2090" s="23"/>
      <c r="AE2090" s="23"/>
      <c r="AF2090" s="23"/>
      <c r="AG2090" s="23"/>
      <c r="AH2090" s="23"/>
      <c r="AI2090" s="48"/>
    </row>
    <row r="2091" spans="1:35">
      <c r="B2091" s="42"/>
      <c r="G2091" s="43"/>
      <c r="H2091" s="44"/>
      <c r="L2091" s="42"/>
      <c r="M2091" s="42"/>
      <c r="N2091" s="25"/>
      <c r="O2091" s="54"/>
      <c r="P2091"/>
      <c r="Q2091" s="25"/>
      <c r="R2091" s="54"/>
      <c r="W2091" s="23"/>
      <c r="X2091" s="23"/>
      <c r="Y2091" s="23"/>
      <c r="Z2091" s="43"/>
      <c r="AA2091" s="23"/>
      <c r="AB2091" s="23"/>
      <c r="AC2091" s="23"/>
      <c r="AD2091" s="23"/>
      <c r="AE2091" s="23"/>
      <c r="AF2091" s="23"/>
      <c r="AG2091" s="23"/>
      <c r="AH2091" s="23"/>
      <c r="AI2091" s="48"/>
    </row>
    <row r="2092" spans="1:35">
      <c r="B2092" s="42"/>
      <c r="G2092" s="43"/>
      <c r="H2092" s="44"/>
      <c r="L2092" s="42"/>
      <c r="M2092" s="42"/>
      <c r="N2092" s="25"/>
      <c r="O2092" s="54"/>
      <c r="P2092"/>
      <c r="Q2092" s="25"/>
      <c r="R2092" s="54"/>
      <c r="W2092" s="23"/>
      <c r="X2092" s="23"/>
      <c r="Y2092" s="23"/>
      <c r="Z2092" s="43"/>
      <c r="AA2092" s="23"/>
      <c r="AB2092" s="23"/>
      <c r="AC2092" s="23"/>
      <c r="AD2092" s="23"/>
      <c r="AE2092" s="23"/>
      <c r="AF2092" s="23"/>
      <c r="AG2092" s="23"/>
      <c r="AH2092" s="23"/>
      <c r="AI2092" s="48"/>
    </row>
    <row r="2093" spans="1:35">
      <c r="B2093" s="42"/>
      <c r="G2093" s="43"/>
      <c r="H2093" s="44"/>
      <c r="L2093" s="42"/>
      <c r="M2093" s="42"/>
      <c r="N2093" s="25"/>
      <c r="O2093" s="54"/>
      <c r="P2093"/>
      <c r="Q2093" s="25"/>
      <c r="R2093" s="54"/>
      <c r="W2093" s="23"/>
      <c r="X2093" s="23"/>
      <c r="Y2093" s="23"/>
      <c r="Z2093" s="43"/>
      <c r="AA2093" s="23"/>
      <c r="AB2093" s="23"/>
      <c r="AC2093" s="23"/>
      <c r="AD2093" s="23"/>
      <c r="AE2093" s="23"/>
      <c r="AF2093" s="23"/>
      <c r="AG2093" s="23"/>
      <c r="AH2093" s="23"/>
      <c r="AI2093" s="48"/>
    </row>
    <row r="2094" spans="1:35">
      <c r="B2094" s="42"/>
      <c r="G2094" s="43"/>
      <c r="H2094" s="44"/>
      <c r="L2094" s="42"/>
      <c r="M2094" s="42"/>
      <c r="N2094" s="25"/>
      <c r="O2094" s="54"/>
      <c r="P2094"/>
      <c r="Q2094" s="25"/>
      <c r="R2094" s="54"/>
      <c r="W2094" s="23"/>
      <c r="X2094" s="23"/>
      <c r="Y2094" s="23"/>
      <c r="Z2094" s="43"/>
      <c r="AA2094" s="23"/>
      <c r="AB2094" s="23"/>
      <c r="AC2094" s="23"/>
      <c r="AD2094" s="23"/>
      <c r="AE2094" s="23"/>
      <c r="AF2094" s="23"/>
      <c r="AG2094" s="23"/>
      <c r="AH2094" s="23"/>
      <c r="AI2094" s="48"/>
    </row>
    <row r="2095" spans="1:35">
      <c r="B2095" s="42"/>
      <c r="G2095" s="43"/>
      <c r="H2095" s="44"/>
      <c r="L2095" s="42"/>
      <c r="M2095" s="42"/>
      <c r="N2095" s="25"/>
      <c r="O2095" s="54"/>
      <c r="P2095"/>
      <c r="Q2095" s="25"/>
      <c r="R2095" s="54"/>
      <c r="W2095" s="23"/>
      <c r="X2095" s="23"/>
      <c r="Y2095" s="23"/>
      <c r="Z2095" s="43"/>
      <c r="AA2095" s="23"/>
      <c r="AB2095" s="23"/>
      <c r="AC2095" s="23"/>
      <c r="AD2095" s="23"/>
      <c r="AE2095" s="23"/>
      <c r="AF2095" s="23"/>
      <c r="AG2095" s="23"/>
      <c r="AH2095" s="23"/>
      <c r="AI2095" s="48"/>
    </row>
    <row r="2096" spans="1:35">
      <c r="B2096" s="42"/>
      <c r="G2096" s="43"/>
      <c r="H2096" s="44"/>
      <c r="L2096" s="42"/>
      <c r="M2096" s="42"/>
      <c r="N2096" s="25"/>
      <c r="O2096" s="54"/>
      <c r="P2096"/>
      <c r="Q2096" s="25"/>
      <c r="R2096" s="54"/>
      <c r="W2096" s="23"/>
      <c r="X2096" s="23"/>
      <c r="Y2096" s="23"/>
      <c r="Z2096" s="43"/>
      <c r="AA2096" s="23"/>
      <c r="AB2096" s="23"/>
      <c r="AC2096" s="23"/>
      <c r="AD2096" s="23"/>
      <c r="AE2096" s="23"/>
      <c r="AF2096" s="23"/>
      <c r="AG2096" s="23"/>
      <c r="AH2096" s="23"/>
      <c r="AI2096" s="48"/>
    </row>
    <row r="2097" spans="2:35">
      <c r="B2097" s="42"/>
      <c r="G2097" s="43"/>
      <c r="H2097" s="44"/>
      <c r="L2097" s="42"/>
      <c r="M2097" s="42"/>
      <c r="N2097" s="25"/>
      <c r="O2097" s="54"/>
      <c r="P2097"/>
      <c r="Q2097" s="25"/>
      <c r="R2097" s="54"/>
      <c r="W2097" s="23"/>
      <c r="X2097" s="23"/>
      <c r="Y2097" s="23"/>
      <c r="Z2097" s="43"/>
      <c r="AA2097" s="23"/>
      <c r="AB2097" s="23"/>
      <c r="AC2097" s="23"/>
      <c r="AD2097" s="23"/>
      <c r="AE2097" s="23"/>
      <c r="AF2097" s="23"/>
      <c r="AG2097" s="23"/>
      <c r="AH2097" s="23"/>
      <c r="AI2097" s="48"/>
    </row>
    <row r="2098" spans="2:35">
      <c r="B2098" s="42"/>
      <c r="G2098" s="43"/>
      <c r="H2098" s="44"/>
      <c r="L2098" s="42"/>
      <c r="M2098" s="42"/>
      <c r="N2098" s="25"/>
      <c r="O2098" s="54"/>
      <c r="P2098"/>
      <c r="Q2098" s="25"/>
      <c r="R2098" s="54"/>
      <c r="W2098" s="23"/>
      <c r="X2098" s="23"/>
      <c r="Y2098" s="23"/>
      <c r="Z2098" s="43"/>
      <c r="AA2098" s="23"/>
      <c r="AB2098" s="23"/>
      <c r="AC2098" s="23"/>
      <c r="AD2098" s="23"/>
      <c r="AE2098" s="23"/>
      <c r="AF2098" s="23"/>
      <c r="AG2098" s="23"/>
      <c r="AH2098" s="23"/>
      <c r="AI2098" s="48"/>
    </row>
    <row r="2099" spans="2:35">
      <c r="B2099" s="42"/>
      <c r="G2099" s="43"/>
      <c r="H2099" s="44"/>
      <c r="L2099" s="42"/>
      <c r="M2099" s="42"/>
      <c r="N2099" s="25"/>
      <c r="O2099" s="54"/>
      <c r="P2099"/>
      <c r="Q2099" s="25"/>
      <c r="R2099" s="54"/>
      <c r="W2099" s="23"/>
      <c r="X2099" s="23"/>
      <c r="Y2099" s="23"/>
      <c r="Z2099" s="43"/>
      <c r="AA2099" s="23"/>
      <c r="AB2099" s="23"/>
      <c r="AC2099" s="23"/>
      <c r="AD2099" s="23"/>
      <c r="AE2099" s="23"/>
      <c r="AF2099" s="23"/>
      <c r="AG2099" s="23"/>
      <c r="AH2099" s="23"/>
      <c r="AI2099" s="48"/>
    </row>
    <row r="2100" spans="2:35">
      <c r="B2100" s="42"/>
      <c r="G2100" s="43"/>
      <c r="H2100" s="44"/>
      <c r="L2100" s="42"/>
      <c r="M2100" s="42"/>
      <c r="N2100" s="25"/>
      <c r="O2100" s="54"/>
      <c r="P2100"/>
      <c r="Q2100" s="25"/>
      <c r="R2100" s="54"/>
      <c r="W2100" s="23"/>
      <c r="X2100" s="23"/>
      <c r="Y2100" s="23"/>
      <c r="Z2100" s="43"/>
      <c r="AA2100" s="23"/>
      <c r="AB2100" s="23"/>
      <c r="AC2100" s="23"/>
      <c r="AD2100" s="23"/>
      <c r="AE2100" s="23"/>
      <c r="AF2100" s="23"/>
      <c r="AG2100" s="23"/>
      <c r="AH2100" s="23"/>
      <c r="AI2100" s="48"/>
    </row>
    <row r="2101" spans="2:35">
      <c r="B2101" s="42"/>
      <c r="G2101" s="43"/>
      <c r="H2101" s="44"/>
      <c r="L2101" s="42"/>
      <c r="M2101" s="42"/>
      <c r="N2101" s="25"/>
      <c r="O2101" s="54"/>
      <c r="P2101"/>
      <c r="Q2101" s="25"/>
      <c r="R2101" s="54"/>
      <c r="W2101" s="23"/>
      <c r="X2101" s="23"/>
      <c r="Y2101" s="23"/>
      <c r="Z2101" s="43"/>
      <c r="AA2101" s="23"/>
      <c r="AB2101" s="23"/>
      <c r="AC2101" s="23"/>
      <c r="AD2101" s="23"/>
      <c r="AE2101" s="23"/>
      <c r="AF2101" s="23"/>
      <c r="AG2101" s="23"/>
      <c r="AH2101" s="23"/>
      <c r="AI2101" s="48"/>
    </row>
    <row r="2102" spans="2:35">
      <c r="B2102" s="42"/>
      <c r="G2102" s="43"/>
      <c r="H2102" s="44"/>
      <c r="L2102" s="42"/>
      <c r="M2102" s="42"/>
      <c r="N2102" s="25"/>
      <c r="O2102" s="54"/>
      <c r="P2102"/>
      <c r="Q2102" s="25"/>
      <c r="R2102" s="54"/>
      <c r="W2102" s="23"/>
      <c r="X2102" s="23"/>
      <c r="Y2102" s="23"/>
      <c r="Z2102" s="43"/>
      <c r="AA2102" s="23"/>
      <c r="AB2102" s="23"/>
      <c r="AC2102" s="23"/>
      <c r="AD2102" s="23"/>
      <c r="AE2102" s="23"/>
      <c r="AF2102" s="23"/>
      <c r="AG2102" s="23"/>
      <c r="AH2102" s="23"/>
      <c r="AI2102" s="48"/>
    </row>
    <row r="2103" spans="2:35">
      <c r="B2103" s="42"/>
      <c r="G2103" s="43"/>
      <c r="H2103" s="44"/>
      <c r="L2103" s="42"/>
      <c r="M2103" s="42"/>
      <c r="N2103" s="25"/>
      <c r="O2103" s="54"/>
      <c r="P2103"/>
      <c r="Q2103" s="25"/>
      <c r="R2103" s="54"/>
      <c r="W2103" s="23"/>
      <c r="X2103" s="23"/>
      <c r="Y2103" s="23"/>
      <c r="Z2103" s="43"/>
      <c r="AA2103" s="23"/>
      <c r="AB2103" s="23"/>
      <c r="AC2103" s="23"/>
      <c r="AD2103" s="23"/>
      <c r="AE2103" s="23"/>
      <c r="AF2103" s="23"/>
      <c r="AG2103" s="23"/>
      <c r="AH2103" s="23"/>
      <c r="AI2103" s="48"/>
    </row>
    <row r="2104" spans="2:35">
      <c r="B2104" s="42"/>
      <c r="G2104" s="43"/>
      <c r="H2104" s="44"/>
      <c r="L2104" s="42"/>
      <c r="M2104" s="42"/>
      <c r="N2104" s="25"/>
      <c r="O2104" s="54"/>
      <c r="P2104"/>
      <c r="Q2104" s="25"/>
      <c r="R2104" s="54"/>
      <c r="W2104" s="23"/>
      <c r="X2104" s="23"/>
      <c r="Y2104" s="23"/>
      <c r="Z2104" s="43"/>
      <c r="AA2104" s="23"/>
      <c r="AB2104" s="23"/>
      <c r="AC2104" s="23"/>
      <c r="AD2104" s="23"/>
      <c r="AE2104" s="23"/>
      <c r="AF2104" s="23"/>
      <c r="AG2104" s="23"/>
      <c r="AH2104" s="23"/>
      <c r="AI2104" s="48"/>
    </row>
    <row r="2105" spans="2:35">
      <c r="B2105" s="42"/>
      <c r="G2105" s="43"/>
      <c r="H2105" s="44"/>
      <c r="L2105" s="42"/>
      <c r="M2105" s="42"/>
      <c r="N2105" s="25"/>
      <c r="O2105" s="54"/>
      <c r="P2105"/>
      <c r="Q2105" s="25"/>
      <c r="R2105" s="54"/>
      <c r="W2105" s="23"/>
      <c r="X2105" s="23"/>
      <c r="Y2105" s="23"/>
      <c r="Z2105" s="43"/>
      <c r="AA2105" s="23"/>
      <c r="AB2105" s="23"/>
      <c r="AC2105" s="23"/>
      <c r="AD2105" s="23"/>
      <c r="AE2105" s="23"/>
      <c r="AF2105" s="23"/>
      <c r="AG2105" s="23"/>
      <c r="AH2105" s="23"/>
      <c r="AI2105" s="48"/>
    </row>
    <row r="2106" spans="2:35">
      <c r="B2106" s="42"/>
      <c r="G2106" s="43"/>
      <c r="H2106" s="44"/>
      <c r="L2106" s="42"/>
      <c r="M2106" s="42"/>
      <c r="N2106" s="25"/>
      <c r="O2106" s="54"/>
      <c r="P2106"/>
      <c r="Q2106" s="25"/>
      <c r="R2106" s="54"/>
      <c r="W2106" s="23"/>
      <c r="X2106" s="23"/>
      <c r="Y2106" s="23"/>
      <c r="Z2106" s="43"/>
      <c r="AA2106" s="23"/>
      <c r="AB2106" s="23"/>
      <c r="AC2106" s="23"/>
      <c r="AD2106" s="23"/>
      <c r="AE2106" s="23"/>
      <c r="AF2106" s="23"/>
      <c r="AG2106" s="23"/>
      <c r="AH2106" s="23"/>
      <c r="AI2106" s="48"/>
    </row>
    <row r="2107" spans="2:35">
      <c r="B2107" s="42"/>
      <c r="G2107" s="43"/>
      <c r="H2107" s="44"/>
      <c r="L2107" s="42"/>
      <c r="M2107" s="42"/>
      <c r="N2107" s="25"/>
      <c r="O2107" s="54"/>
      <c r="P2107"/>
      <c r="Q2107" s="25"/>
      <c r="R2107" s="54"/>
      <c r="W2107" s="23"/>
      <c r="X2107" s="23"/>
      <c r="Y2107" s="23"/>
      <c r="Z2107" s="43"/>
      <c r="AA2107" s="23"/>
      <c r="AB2107" s="23"/>
      <c r="AC2107" s="23"/>
      <c r="AD2107" s="23"/>
      <c r="AE2107" s="23"/>
      <c r="AF2107" s="23"/>
      <c r="AG2107" s="23"/>
      <c r="AH2107" s="23"/>
      <c r="AI2107" s="48"/>
    </row>
    <row r="2108" spans="2:35">
      <c r="B2108" s="42"/>
      <c r="G2108" s="43"/>
      <c r="H2108" s="44"/>
      <c r="L2108" s="42"/>
      <c r="M2108" s="42"/>
      <c r="N2108" s="25"/>
      <c r="O2108" s="54"/>
      <c r="P2108"/>
      <c r="Q2108" s="25"/>
      <c r="R2108" s="54"/>
      <c r="W2108" s="23"/>
      <c r="X2108" s="23"/>
      <c r="Y2108" s="23"/>
      <c r="Z2108" s="43"/>
      <c r="AA2108" s="23"/>
      <c r="AB2108" s="23"/>
      <c r="AC2108" s="23"/>
      <c r="AD2108" s="23"/>
      <c r="AE2108" s="23"/>
      <c r="AF2108" s="23"/>
      <c r="AG2108" s="23"/>
      <c r="AH2108" s="23"/>
      <c r="AI2108" s="48"/>
    </row>
    <row r="2109" spans="2:35">
      <c r="B2109" s="42"/>
      <c r="G2109" s="43"/>
      <c r="H2109" s="44"/>
      <c r="L2109" s="42"/>
      <c r="M2109" s="42"/>
      <c r="N2109" s="25"/>
      <c r="O2109" s="54"/>
      <c r="P2109"/>
      <c r="Q2109" s="25"/>
      <c r="R2109" s="54"/>
      <c r="W2109" s="23"/>
      <c r="X2109" s="23"/>
      <c r="Y2109" s="23"/>
      <c r="Z2109" s="43"/>
      <c r="AA2109" s="23"/>
      <c r="AB2109" s="23"/>
      <c r="AC2109" s="23"/>
      <c r="AD2109" s="23"/>
      <c r="AE2109" s="23"/>
      <c r="AF2109" s="23"/>
      <c r="AG2109" s="23"/>
      <c r="AH2109" s="23"/>
      <c r="AI2109" s="48"/>
    </row>
    <row r="2110" spans="2:35">
      <c r="B2110" s="42"/>
      <c r="G2110" s="43"/>
      <c r="H2110" s="44"/>
      <c r="L2110" s="42"/>
      <c r="M2110" s="42"/>
      <c r="N2110" s="25"/>
      <c r="O2110" s="54"/>
      <c r="P2110"/>
      <c r="Q2110" s="25"/>
      <c r="R2110" s="54"/>
      <c r="W2110" s="23"/>
      <c r="X2110" s="23"/>
      <c r="Y2110" s="23"/>
      <c r="Z2110" s="43"/>
      <c r="AA2110" s="23"/>
      <c r="AB2110" s="23"/>
      <c r="AC2110" s="23"/>
      <c r="AD2110" s="23"/>
      <c r="AE2110" s="23"/>
      <c r="AF2110" s="23"/>
      <c r="AG2110" s="23"/>
      <c r="AH2110" s="23"/>
      <c r="AI2110" s="48"/>
    </row>
    <row r="2111" spans="2:35">
      <c r="B2111" s="42"/>
      <c r="G2111" s="43"/>
      <c r="H2111" s="44"/>
      <c r="L2111" s="42"/>
      <c r="M2111" s="42"/>
      <c r="N2111" s="25"/>
      <c r="O2111" s="54"/>
      <c r="P2111"/>
      <c r="Q2111" s="25"/>
      <c r="R2111" s="54"/>
      <c r="W2111" s="23"/>
      <c r="X2111" s="23"/>
      <c r="Y2111" s="23"/>
      <c r="Z2111" s="43"/>
      <c r="AA2111" s="23"/>
      <c r="AB2111" s="23"/>
      <c r="AC2111" s="23"/>
      <c r="AD2111" s="23"/>
      <c r="AE2111" s="23"/>
      <c r="AF2111" s="23"/>
      <c r="AG2111" s="23"/>
      <c r="AH2111" s="23"/>
      <c r="AI2111" s="48"/>
    </row>
    <row r="2112" spans="2:35">
      <c r="B2112" s="42"/>
      <c r="G2112" s="43"/>
      <c r="H2112" s="44"/>
      <c r="L2112" s="42"/>
      <c r="M2112" s="42"/>
      <c r="N2112" s="25"/>
      <c r="O2112" s="54"/>
      <c r="P2112"/>
      <c r="Q2112" s="25"/>
      <c r="R2112" s="54"/>
      <c r="W2112" s="23"/>
      <c r="X2112" s="23"/>
      <c r="Y2112" s="23"/>
      <c r="Z2112" s="43"/>
      <c r="AA2112" s="23"/>
      <c r="AB2112" s="23"/>
      <c r="AC2112" s="23"/>
      <c r="AD2112" s="23"/>
      <c r="AE2112" s="23"/>
      <c r="AF2112" s="23"/>
      <c r="AG2112" s="23"/>
      <c r="AH2112" s="23"/>
      <c r="AI2112" s="48"/>
    </row>
    <row r="2113" spans="2:35">
      <c r="B2113" s="42"/>
      <c r="G2113" s="43"/>
      <c r="H2113" s="44"/>
      <c r="L2113" s="42"/>
      <c r="M2113" s="42"/>
      <c r="N2113" s="25"/>
      <c r="O2113" s="54"/>
      <c r="P2113"/>
      <c r="Q2113" s="25"/>
      <c r="R2113" s="54"/>
      <c r="W2113" s="23"/>
      <c r="X2113" s="23"/>
      <c r="Y2113" s="23"/>
      <c r="Z2113" s="43"/>
      <c r="AA2113" s="23"/>
      <c r="AB2113" s="23"/>
      <c r="AC2113" s="23"/>
      <c r="AD2113" s="23"/>
      <c r="AE2113" s="23"/>
      <c r="AF2113" s="23"/>
      <c r="AG2113" s="23"/>
      <c r="AH2113" s="23"/>
      <c r="AI2113" s="48"/>
    </row>
    <row r="2114" spans="2:35">
      <c r="B2114" s="42"/>
      <c r="G2114" s="43"/>
      <c r="H2114" s="44"/>
      <c r="L2114" s="42"/>
      <c r="M2114" s="42"/>
      <c r="N2114" s="25"/>
      <c r="O2114" s="54"/>
      <c r="P2114"/>
      <c r="Q2114" s="25"/>
      <c r="R2114" s="54"/>
      <c r="W2114" s="23"/>
      <c r="X2114" s="23"/>
      <c r="Y2114" s="23"/>
      <c r="Z2114" s="43"/>
      <c r="AA2114" s="23"/>
      <c r="AB2114" s="23"/>
      <c r="AC2114" s="23"/>
      <c r="AD2114" s="23"/>
      <c r="AE2114" s="23"/>
      <c r="AF2114" s="23"/>
      <c r="AG2114" s="23"/>
      <c r="AH2114" s="23"/>
      <c r="AI2114" s="48"/>
    </row>
    <row r="2115" spans="2:35">
      <c r="B2115" s="42"/>
      <c r="G2115" s="43"/>
      <c r="H2115" s="44"/>
      <c r="L2115" s="42"/>
      <c r="M2115" s="42"/>
      <c r="N2115" s="25"/>
      <c r="O2115" s="54"/>
      <c r="P2115"/>
      <c r="Q2115" s="25"/>
      <c r="R2115" s="54"/>
      <c r="W2115" s="23"/>
      <c r="X2115" s="23"/>
      <c r="Y2115" s="23"/>
      <c r="Z2115" s="43"/>
      <c r="AA2115" s="23"/>
      <c r="AB2115" s="23"/>
      <c r="AC2115" s="23"/>
      <c r="AD2115" s="23"/>
      <c r="AE2115" s="23"/>
      <c r="AF2115" s="23"/>
      <c r="AG2115" s="23"/>
      <c r="AH2115" s="23"/>
      <c r="AI2115" s="48"/>
    </row>
    <row r="2116" spans="2:35">
      <c r="B2116" s="42"/>
      <c r="G2116" s="43"/>
      <c r="H2116" s="44"/>
      <c r="L2116" s="42"/>
      <c r="M2116" s="42"/>
      <c r="N2116" s="25"/>
      <c r="O2116" s="54"/>
      <c r="P2116"/>
      <c r="Q2116" s="25"/>
      <c r="R2116" s="54"/>
      <c r="W2116" s="23"/>
      <c r="X2116" s="23"/>
      <c r="Y2116" s="23"/>
      <c r="Z2116" s="43"/>
      <c r="AA2116" s="23"/>
      <c r="AB2116" s="23"/>
      <c r="AC2116" s="23"/>
      <c r="AD2116" s="23"/>
      <c r="AE2116" s="23"/>
      <c r="AF2116" s="23"/>
      <c r="AG2116" s="23"/>
      <c r="AH2116" s="23"/>
      <c r="AI2116" s="48"/>
    </row>
    <row r="2117" spans="2:35">
      <c r="B2117" s="42"/>
      <c r="G2117" s="43"/>
      <c r="H2117" s="44"/>
      <c r="L2117" s="42"/>
      <c r="M2117" s="42"/>
      <c r="N2117" s="25"/>
      <c r="O2117" s="54"/>
      <c r="P2117"/>
      <c r="Q2117" s="25"/>
      <c r="R2117" s="54"/>
      <c r="W2117" s="23"/>
      <c r="X2117" s="23"/>
      <c r="Y2117" s="23"/>
      <c r="Z2117" s="43"/>
      <c r="AA2117" s="23"/>
      <c r="AB2117" s="23"/>
      <c r="AC2117" s="23"/>
      <c r="AD2117" s="23"/>
      <c r="AE2117" s="23"/>
      <c r="AF2117" s="23"/>
      <c r="AG2117" s="23"/>
      <c r="AH2117" s="23"/>
      <c r="AI2117" s="48"/>
    </row>
    <row r="2118" spans="2:35">
      <c r="B2118" s="42"/>
      <c r="G2118" s="43"/>
      <c r="H2118" s="44"/>
      <c r="L2118" s="42"/>
      <c r="M2118" s="42"/>
      <c r="N2118" s="25"/>
      <c r="O2118" s="54"/>
      <c r="P2118"/>
      <c r="Q2118" s="25"/>
      <c r="R2118" s="54"/>
      <c r="W2118" s="23"/>
      <c r="X2118" s="23"/>
      <c r="Y2118" s="23"/>
      <c r="Z2118" s="43"/>
      <c r="AA2118" s="23"/>
      <c r="AB2118" s="23"/>
      <c r="AC2118" s="23"/>
      <c r="AD2118" s="23"/>
      <c r="AE2118" s="23"/>
      <c r="AF2118" s="23"/>
      <c r="AG2118" s="23"/>
      <c r="AH2118" s="23"/>
      <c r="AI2118" s="48"/>
    </row>
    <row r="2119" spans="2:35">
      <c r="B2119" s="42"/>
      <c r="G2119" s="43"/>
      <c r="H2119" s="44"/>
      <c r="L2119" s="42"/>
      <c r="M2119" s="42"/>
      <c r="N2119" s="25"/>
      <c r="O2119" s="54"/>
      <c r="P2119"/>
      <c r="Q2119" s="25"/>
      <c r="R2119" s="54"/>
      <c r="W2119" s="23"/>
      <c r="X2119" s="23"/>
      <c r="Y2119" s="23"/>
      <c r="Z2119" s="43"/>
      <c r="AA2119" s="23"/>
      <c r="AB2119" s="23"/>
      <c r="AC2119" s="23"/>
      <c r="AD2119" s="23"/>
      <c r="AE2119" s="23"/>
      <c r="AF2119" s="23"/>
      <c r="AG2119" s="23"/>
      <c r="AH2119" s="23"/>
      <c r="AI2119" s="48"/>
    </row>
    <row r="2120" spans="2:35">
      <c r="B2120" s="42"/>
      <c r="G2120" s="43"/>
      <c r="H2120" s="44"/>
      <c r="L2120" s="42"/>
      <c r="M2120" s="42"/>
      <c r="N2120" s="25"/>
      <c r="O2120" s="54"/>
      <c r="P2120"/>
      <c r="Q2120" s="25"/>
      <c r="R2120" s="54"/>
      <c r="W2120" s="23"/>
      <c r="X2120" s="23"/>
      <c r="Y2120" s="23"/>
      <c r="Z2120" s="43"/>
      <c r="AA2120" s="23"/>
      <c r="AB2120" s="23"/>
      <c r="AC2120" s="23"/>
      <c r="AD2120" s="23"/>
      <c r="AE2120" s="23"/>
      <c r="AF2120" s="23"/>
      <c r="AG2120" s="23"/>
      <c r="AH2120" s="23"/>
      <c r="AI2120" s="48"/>
    </row>
    <row r="2121" spans="2:35">
      <c r="B2121" s="42"/>
      <c r="G2121" s="43"/>
      <c r="H2121" s="44"/>
      <c r="L2121" s="42"/>
      <c r="M2121" s="42"/>
      <c r="N2121" s="25"/>
      <c r="O2121" s="54"/>
      <c r="P2121"/>
      <c r="Q2121" s="25"/>
      <c r="R2121" s="54"/>
      <c r="W2121" s="23"/>
      <c r="X2121" s="23"/>
      <c r="Y2121" s="23"/>
      <c r="Z2121" s="43"/>
      <c r="AA2121" s="23"/>
      <c r="AB2121" s="23"/>
      <c r="AC2121" s="23"/>
      <c r="AD2121" s="23"/>
      <c r="AE2121" s="23"/>
      <c r="AF2121" s="23"/>
      <c r="AG2121" s="23"/>
      <c r="AH2121" s="23"/>
      <c r="AI2121" s="48"/>
    </row>
    <row r="2122" spans="2:35">
      <c r="B2122" s="42"/>
      <c r="G2122" s="43"/>
      <c r="H2122" s="44"/>
      <c r="L2122" s="42"/>
      <c r="M2122" s="42"/>
      <c r="N2122" s="25"/>
      <c r="O2122" s="54"/>
      <c r="P2122"/>
      <c r="Q2122" s="25"/>
      <c r="R2122" s="54"/>
      <c r="W2122" s="23"/>
      <c r="X2122" s="23"/>
      <c r="Y2122" s="23"/>
      <c r="Z2122" s="43"/>
      <c r="AA2122" s="23"/>
      <c r="AB2122" s="23"/>
      <c r="AC2122" s="23"/>
      <c r="AD2122" s="23"/>
      <c r="AE2122" s="23"/>
      <c r="AF2122" s="23"/>
      <c r="AG2122" s="23"/>
      <c r="AH2122" s="23"/>
      <c r="AI2122" s="48"/>
    </row>
    <row r="2123" spans="2:35">
      <c r="B2123" s="42"/>
      <c r="G2123" s="43"/>
      <c r="H2123" s="44"/>
      <c r="L2123" s="42"/>
      <c r="M2123" s="42"/>
      <c r="N2123" s="25"/>
      <c r="O2123" s="54"/>
      <c r="P2123"/>
      <c r="Q2123" s="25"/>
      <c r="R2123" s="54"/>
      <c r="W2123" s="23"/>
      <c r="X2123" s="23"/>
      <c r="Y2123" s="23"/>
      <c r="Z2123" s="43"/>
      <c r="AA2123" s="23"/>
      <c r="AB2123" s="23"/>
      <c r="AC2123" s="23"/>
      <c r="AD2123" s="23"/>
      <c r="AE2123" s="23"/>
      <c r="AF2123" s="23"/>
      <c r="AG2123" s="23"/>
      <c r="AH2123" s="23"/>
      <c r="AI2123" s="48"/>
    </row>
    <row r="2124" spans="2:35">
      <c r="B2124" s="42"/>
      <c r="G2124" s="43"/>
      <c r="H2124" s="44"/>
      <c r="L2124" s="42"/>
      <c r="M2124" s="42"/>
      <c r="N2124" s="25"/>
      <c r="O2124" s="54"/>
      <c r="P2124"/>
      <c r="Q2124" s="25"/>
      <c r="R2124" s="54"/>
      <c r="W2124" s="23"/>
      <c r="X2124" s="23"/>
      <c r="Y2124" s="23"/>
      <c r="Z2124" s="43"/>
      <c r="AA2124" s="23"/>
      <c r="AB2124" s="23"/>
      <c r="AC2124" s="23"/>
      <c r="AD2124" s="23"/>
      <c r="AE2124" s="23"/>
      <c r="AF2124" s="23"/>
      <c r="AG2124" s="23"/>
      <c r="AH2124" s="23"/>
      <c r="AI2124" s="48"/>
    </row>
    <row r="2125" spans="2:35">
      <c r="B2125" s="42"/>
      <c r="G2125" s="43"/>
      <c r="H2125" s="44"/>
      <c r="L2125" s="42"/>
      <c r="M2125" s="42"/>
      <c r="N2125" s="25"/>
      <c r="O2125" s="54"/>
      <c r="P2125"/>
      <c r="Q2125" s="25"/>
      <c r="R2125" s="54"/>
      <c r="W2125" s="23"/>
      <c r="X2125" s="23"/>
      <c r="Y2125" s="23"/>
      <c r="Z2125" s="43"/>
      <c r="AA2125" s="23"/>
      <c r="AB2125" s="23"/>
      <c r="AC2125" s="23"/>
      <c r="AD2125" s="23"/>
      <c r="AE2125" s="23"/>
      <c r="AF2125" s="23"/>
      <c r="AG2125" s="23"/>
      <c r="AH2125" s="23"/>
      <c r="AI2125" s="48"/>
    </row>
    <row r="2126" spans="2:35">
      <c r="B2126" s="42"/>
      <c r="G2126" s="43"/>
      <c r="H2126" s="44"/>
      <c r="L2126" s="42"/>
      <c r="M2126" s="42"/>
      <c r="N2126" s="25"/>
      <c r="O2126" s="54"/>
      <c r="P2126"/>
      <c r="Q2126" s="25"/>
      <c r="R2126" s="54"/>
      <c r="W2126" s="23"/>
      <c r="X2126" s="23"/>
      <c r="Y2126" s="23"/>
      <c r="Z2126" s="43"/>
      <c r="AA2126" s="23"/>
      <c r="AB2126" s="23"/>
      <c r="AC2126" s="23"/>
      <c r="AD2126" s="23"/>
      <c r="AE2126" s="23"/>
      <c r="AF2126" s="23"/>
      <c r="AG2126" s="23"/>
      <c r="AH2126" s="23"/>
      <c r="AI2126" s="48"/>
    </row>
    <row r="2127" spans="2:35">
      <c r="B2127" s="42"/>
      <c r="G2127" s="43"/>
      <c r="H2127" s="44"/>
      <c r="L2127" s="42"/>
      <c r="M2127" s="42"/>
      <c r="N2127" s="25"/>
      <c r="O2127" s="54"/>
      <c r="P2127"/>
      <c r="Q2127" s="25"/>
      <c r="R2127" s="54"/>
      <c r="W2127" s="23"/>
      <c r="X2127" s="23"/>
      <c r="Y2127" s="23"/>
      <c r="Z2127" s="43"/>
      <c r="AA2127" s="23"/>
      <c r="AB2127" s="23"/>
      <c r="AC2127" s="23"/>
      <c r="AD2127" s="23"/>
      <c r="AE2127" s="23"/>
      <c r="AF2127" s="23"/>
      <c r="AG2127" s="23"/>
      <c r="AH2127" s="23"/>
      <c r="AI2127" s="48"/>
    </row>
    <row r="2128" spans="2:35">
      <c r="B2128" s="42"/>
      <c r="G2128" s="43"/>
      <c r="H2128" s="44"/>
      <c r="L2128" s="42"/>
      <c r="M2128" s="42"/>
      <c r="N2128" s="25"/>
      <c r="O2128" s="54"/>
      <c r="P2128"/>
      <c r="Q2128" s="25"/>
      <c r="R2128" s="54"/>
      <c r="W2128" s="23"/>
      <c r="X2128" s="23"/>
      <c r="Y2128" s="23"/>
      <c r="Z2128" s="43"/>
      <c r="AA2128" s="23"/>
      <c r="AB2128" s="23"/>
      <c r="AC2128" s="23"/>
      <c r="AD2128" s="23"/>
      <c r="AE2128" s="23"/>
      <c r="AF2128" s="23"/>
      <c r="AG2128" s="23"/>
      <c r="AH2128" s="23"/>
      <c r="AI2128" s="48"/>
    </row>
    <row r="2129" spans="1:35">
      <c r="B2129" s="42"/>
      <c r="G2129" s="43"/>
      <c r="H2129" s="44"/>
      <c r="L2129" s="42"/>
      <c r="M2129" s="42"/>
      <c r="N2129" s="25"/>
      <c r="O2129" s="54"/>
      <c r="P2129"/>
      <c r="Q2129" s="25"/>
      <c r="R2129" s="54"/>
      <c r="W2129" s="23"/>
      <c r="X2129" s="23"/>
      <c r="Y2129" s="23"/>
      <c r="Z2129" s="43"/>
      <c r="AA2129" s="23"/>
      <c r="AB2129" s="23"/>
      <c r="AC2129" s="23"/>
      <c r="AD2129" s="23"/>
      <c r="AE2129" s="23"/>
      <c r="AF2129" s="23"/>
      <c r="AG2129" s="23"/>
      <c r="AH2129" s="23"/>
      <c r="AI2129" s="48"/>
    </row>
    <row r="2130" spans="1:35">
      <c r="B2130" s="42"/>
      <c r="G2130" s="43"/>
      <c r="H2130" s="44"/>
      <c r="L2130" s="42"/>
      <c r="M2130" s="42"/>
      <c r="N2130" s="25"/>
      <c r="O2130" s="54"/>
      <c r="P2130"/>
      <c r="Q2130" s="25"/>
      <c r="R2130" s="54"/>
      <c r="W2130" s="23"/>
      <c r="X2130" s="23"/>
      <c r="Y2130" s="23"/>
      <c r="Z2130" s="43"/>
      <c r="AA2130" s="23"/>
      <c r="AB2130" s="23"/>
      <c r="AC2130" s="23"/>
      <c r="AD2130" s="23"/>
      <c r="AE2130" s="23"/>
      <c r="AF2130" s="23"/>
      <c r="AG2130" s="23"/>
      <c r="AH2130" s="23"/>
      <c r="AI2130" s="48"/>
    </row>
    <row r="2131" spans="1:35">
      <c r="B2131" s="42"/>
      <c r="G2131" s="43"/>
      <c r="H2131" s="44"/>
      <c r="L2131" s="42"/>
      <c r="M2131" s="42"/>
      <c r="N2131" s="25"/>
      <c r="O2131" s="54"/>
      <c r="P2131"/>
      <c r="Q2131" s="25"/>
      <c r="R2131" s="54"/>
      <c r="W2131" s="23"/>
      <c r="X2131" s="23"/>
      <c r="Y2131" s="23"/>
      <c r="Z2131" s="43"/>
      <c r="AA2131" s="23"/>
      <c r="AB2131" s="23"/>
      <c r="AC2131" s="23"/>
      <c r="AD2131" s="23"/>
      <c r="AE2131" s="23"/>
      <c r="AF2131" s="23"/>
      <c r="AG2131" s="23"/>
      <c r="AH2131" s="23"/>
      <c r="AI2131" s="48"/>
    </row>
    <row r="2132" spans="1:35">
      <c r="B2132" s="42"/>
      <c r="G2132" s="43"/>
      <c r="H2132" s="44"/>
      <c r="L2132" s="42"/>
      <c r="M2132" s="42"/>
      <c r="N2132" s="25"/>
      <c r="O2132" s="54"/>
      <c r="P2132"/>
      <c r="Q2132" s="25"/>
      <c r="R2132" s="54"/>
      <c r="W2132" s="23"/>
      <c r="X2132" s="23"/>
      <c r="Y2132" s="23"/>
      <c r="Z2132" s="43"/>
      <c r="AA2132" s="23"/>
      <c r="AB2132" s="23"/>
      <c r="AC2132" s="23"/>
      <c r="AD2132" s="23"/>
      <c r="AE2132" s="23"/>
      <c r="AF2132" s="23"/>
      <c r="AG2132" s="23"/>
      <c r="AH2132" s="23"/>
      <c r="AI2132" s="48"/>
    </row>
    <row r="2133" spans="1:35">
      <c r="B2133" s="42"/>
      <c r="G2133" s="43"/>
      <c r="H2133" s="44"/>
      <c r="L2133" s="42"/>
      <c r="M2133" s="42"/>
      <c r="N2133" s="25"/>
      <c r="O2133" s="54"/>
      <c r="P2133"/>
      <c r="Q2133" s="25"/>
      <c r="R2133" s="54"/>
      <c r="W2133" s="23"/>
      <c r="X2133" s="23"/>
      <c r="Y2133" s="23"/>
      <c r="Z2133" s="43"/>
      <c r="AA2133" s="23"/>
      <c r="AB2133" s="23"/>
      <c r="AC2133" s="23"/>
      <c r="AD2133" s="23"/>
      <c r="AE2133" s="23"/>
      <c r="AF2133" s="23"/>
      <c r="AG2133" s="23"/>
      <c r="AH2133" s="23"/>
      <c r="AI2133" s="48"/>
    </row>
    <row r="2134" spans="1:35">
      <c r="A2134" s="23"/>
      <c r="B2134" s="42"/>
      <c r="C2134" s="49"/>
      <c r="E2134" s="49"/>
      <c r="G2134" s="43"/>
      <c r="H2134" s="44"/>
      <c r="L2134" s="42"/>
      <c r="M2134" s="42"/>
      <c r="N2134" s="25"/>
      <c r="O2134" s="54"/>
      <c r="P2134"/>
      <c r="Q2134" s="25"/>
      <c r="R2134" s="54"/>
      <c r="W2134" s="23"/>
      <c r="X2134" s="23"/>
      <c r="Y2134" s="23"/>
      <c r="Z2134" s="43"/>
      <c r="AA2134" s="23"/>
      <c r="AB2134" s="23"/>
      <c r="AC2134" s="23"/>
      <c r="AD2134" s="23"/>
      <c r="AE2134" s="23"/>
      <c r="AF2134" s="23"/>
      <c r="AG2134" s="23"/>
      <c r="AH2134" s="23"/>
      <c r="AI2134" s="49"/>
    </row>
    <row r="2135" spans="1:35">
      <c r="A2135" s="23"/>
      <c r="B2135" s="42"/>
      <c r="C2135" s="49"/>
      <c r="E2135" s="49"/>
      <c r="G2135" s="43"/>
      <c r="H2135" s="44"/>
      <c r="L2135" s="42"/>
      <c r="M2135" s="42"/>
      <c r="N2135" s="25"/>
      <c r="O2135" s="54"/>
      <c r="P2135"/>
      <c r="Q2135" s="25"/>
      <c r="R2135" s="54"/>
      <c r="W2135" s="23"/>
      <c r="X2135" s="23"/>
      <c r="Y2135" s="23"/>
      <c r="Z2135" s="43"/>
      <c r="AA2135" s="23"/>
      <c r="AB2135" s="23"/>
      <c r="AC2135" s="23"/>
      <c r="AD2135" s="23"/>
      <c r="AE2135" s="23"/>
      <c r="AF2135" s="23"/>
      <c r="AG2135" s="23"/>
      <c r="AH2135" s="23"/>
      <c r="AI2135" s="49"/>
    </row>
    <row r="2136" spans="1:35">
      <c r="A2136" s="23"/>
      <c r="B2136" s="42"/>
      <c r="C2136" s="49"/>
      <c r="E2136" s="49"/>
      <c r="G2136" s="43"/>
      <c r="H2136" s="44"/>
      <c r="L2136" s="42"/>
      <c r="M2136" s="42"/>
      <c r="N2136" s="25"/>
      <c r="O2136" s="54"/>
      <c r="P2136"/>
      <c r="Q2136" s="25"/>
      <c r="R2136" s="54"/>
      <c r="W2136" s="23"/>
      <c r="X2136" s="23"/>
      <c r="Y2136" s="23"/>
      <c r="Z2136" s="43"/>
      <c r="AA2136" s="23"/>
      <c r="AB2136" s="23"/>
      <c r="AC2136" s="23"/>
      <c r="AD2136" s="23"/>
      <c r="AE2136" s="23"/>
      <c r="AF2136" s="23"/>
      <c r="AG2136" s="23"/>
      <c r="AH2136" s="23"/>
      <c r="AI2136" s="49"/>
    </row>
    <row r="2137" spans="1:35">
      <c r="A2137" s="23"/>
      <c r="B2137" s="42"/>
      <c r="C2137" s="49"/>
      <c r="E2137" s="49"/>
      <c r="G2137" s="43"/>
      <c r="H2137" s="44"/>
      <c r="L2137" s="42"/>
      <c r="M2137" s="42"/>
      <c r="N2137" s="25"/>
      <c r="O2137" s="54"/>
      <c r="P2137"/>
      <c r="Q2137" s="25"/>
      <c r="R2137" s="54"/>
      <c r="W2137" s="23"/>
      <c r="X2137" s="23"/>
      <c r="Y2137" s="23"/>
      <c r="Z2137" s="43"/>
      <c r="AA2137" s="23"/>
      <c r="AB2137" s="23"/>
      <c r="AC2137" s="23"/>
      <c r="AD2137" s="23"/>
      <c r="AE2137" s="23"/>
      <c r="AF2137" s="23"/>
      <c r="AG2137" s="23"/>
      <c r="AH2137" s="23"/>
      <c r="AI2137" s="49"/>
    </row>
    <row r="2138" spans="1:35">
      <c r="B2138" s="42"/>
      <c r="C2138" s="49"/>
      <c r="E2138" s="49"/>
      <c r="G2138" s="43"/>
      <c r="H2138" s="44"/>
      <c r="L2138" s="42"/>
      <c r="M2138" s="42"/>
      <c r="N2138" s="25"/>
      <c r="O2138" s="54"/>
      <c r="P2138"/>
      <c r="Q2138" s="25"/>
      <c r="R2138" s="54"/>
      <c r="W2138" s="23"/>
      <c r="X2138" s="23"/>
      <c r="Y2138" s="23"/>
      <c r="Z2138" s="43"/>
      <c r="AA2138" s="23"/>
      <c r="AB2138" s="23"/>
      <c r="AC2138" s="23"/>
      <c r="AD2138" s="23"/>
      <c r="AE2138" s="23"/>
      <c r="AF2138" s="23"/>
      <c r="AG2138" s="23"/>
      <c r="AH2138" s="23"/>
      <c r="AI2138" s="23"/>
    </row>
    <row r="2139" spans="1:35">
      <c r="B2139" s="42"/>
      <c r="C2139" s="49"/>
      <c r="E2139" s="49"/>
      <c r="G2139" s="43"/>
      <c r="H2139" s="44"/>
      <c r="L2139" s="42"/>
      <c r="M2139" s="42"/>
      <c r="N2139" s="25"/>
      <c r="O2139" s="54"/>
      <c r="P2139"/>
      <c r="Q2139" s="25"/>
      <c r="R2139" s="54"/>
      <c r="W2139" s="23"/>
      <c r="X2139" s="23"/>
      <c r="Y2139" s="23"/>
      <c r="Z2139" s="43"/>
      <c r="AA2139" s="23"/>
      <c r="AB2139" s="23"/>
      <c r="AC2139" s="23"/>
      <c r="AD2139" s="23"/>
      <c r="AE2139" s="23"/>
      <c r="AF2139" s="23"/>
      <c r="AG2139" s="23"/>
      <c r="AH2139" s="23"/>
      <c r="AI2139" s="23"/>
    </row>
    <row r="2140" spans="1:35">
      <c r="B2140" s="42"/>
      <c r="C2140" s="49"/>
      <c r="E2140" s="49"/>
      <c r="G2140" s="43"/>
      <c r="H2140" s="44"/>
      <c r="L2140" s="42"/>
      <c r="M2140" s="42"/>
      <c r="N2140" s="25"/>
      <c r="O2140" s="54"/>
      <c r="P2140"/>
      <c r="Q2140" s="25"/>
      <c r="R2140" s="54"/>
      <c r="W2140" s="23"/>
      <c r="X2140" s="23"/>
      <c r="Y2140" s="23"/>
      <c r="Z2140" s="43"/>
      <c r="AA2140" s="23"/>
      <c r="AB2140" s="23"/>
      <c r="AC2140" s="23"/>
      <c r="AD2140" s="23"/>
      <c r="AE2140" s="23"/>
      <c r="AF2140" s="23"/>
      <c r="AG2140" s="23"/>
      <c r="AH2140" s="23"/>
      <c r="AI2140" s="23"/>
    </row>
    <row r="2141" spans="1:35">
      <c r="B2141" s="42"/>
      <c r="C2141" s="49"/>
      <c r="E2141" s="49"/>
      <c r="G2141" s="43"/>
      <c r="H2141" s="44"/>
      <c r="L2141" s="42"/>
      <c r="M2141" s="42"/>
      <c r="N2141" s="25"/>
      <c r="O2141" s="54"/>
      <c r="P2141"/>
      <c r="Q2141" s="25"/>
      <c r="R2141" s="54"/>
      <c r="W2141" s="23"/>
      <c r="X2141" s="23"/>
      <c r="Y2141" s="23"/>
      <c r="Z2141" s="43"/>
      <c r="AA2141" s="23"/>
      <c r="AB2141" s="23"/>
      <c r="AC2141" s="23"/>
      <c r="AD2141" s="23"/>
      <c r="AE2141" s="23"/>
      <c r="AF2141" s="23"/>
      <c r="AG2141" s="23"/>
      <c r="AH2141" s="23"/>
      <c r="AI2141" s="23"/>
    </row>
    <row r="2142" spans="1:35">
      <c r="B2142" s="42"/>
      <c r="C2142" s="49"/>
      <c r="E2142" s="49"/>
      <c r="G2142" s="43"/>
      <c r="H2142" s="44"/>
      <c r="L2142" s="42"/>
      <c r="M2142" s="42"/>
      <c r="N2142" s="25"/>
      <c r="O2142" s="54"/>
      <c r="P2142"/>
      <c r="Q2142" s="25"/>
      <c r="R2142" s="54"/>
      <c r="W2142" s="23"/>
      <c r="X2142" s="23"/>
      <c r="Y2142" s="23"/>
      <c r="Z2142" s="43"/>
      <c r="AA2142" s="23"/>
      <c r="AB2142" s="23"/>
      <c r="AC2142" s="23"/>
      <c r="AD2142" s="23"/>
      <c r="AE2142" s="23"/>
      <c r="AF2142" s="23"/>
      <c r="AG2142" s="23"/>
      <c r="AH2142" s="23"/>
      <c r="AI2142" s="23"/>
    </row>
    <row r="2143" spans="1:35">
      <c r="B2143" s="42"/>
      <c r="C2143" s="49"/>
      <c r="E2143" s="49"/>
      <c r="G2143" s="43"/>
      <c r="H2143" s="44"/>
      <c r="L2143" s="42"/>
      <c r="M2143" s="42"/>
      <c r="N2143" s="25"/>
      <c r="O2143" s="54"/>
      <c r="P2143"/>
      <c r="Q2143" s="25"/>
      <c r="R2143" s="54"/>
      <c r="W2143" s="23"/>
      <c r="X2143" s="23"/>
      <c r="Y2143" s="23"/>
      <c r="Z2143" s="43"/>
      <c r="AA2143" s="23"/>
      <c r="AB2143" s="23"/>
      <c r="AC2143" s="23"/>
      <c r="AD2143" s="23"/>
      <c r="AE2143" s="23"/>
      <c r="AF2143" s="23"/>
      <c r="AG2143" s="23"/>
      <c r="AH2143" s="23"/>
      <c r="AI2143" s="23"/>
    </row>
    <row r="2144" spans="1:35">
      <c r="B2144" s="42"/>
      <c r="C2144" s="49"/>
      <c r="E2144" s="49"/>
      <c r="G2144" s="43"/>
      <c r="H2144" s="44"/>
      <c r="L2144" s="42"/>
      <c r="M2144" s="42"/>
      <c r="N2144" s="25"/>
      <c r="O2144" s="54"/>
      <c r="P2144"/>
      <c r="Q2144" s="25"/>
      <c r="R2144" s="54"/>
      <c r="W2144" s="23"/>
      <c r="X2144" s="23"/>
      <c r="Y2144" s="23"/>
      <c r="Z2144" s="43"/>
      <c r="AA2144" s="23"/>
      <c r="AB2144" s="23"/>
      <c r="AC2144" s="23"/>
      <c r="AD2144" s="23"/>
      <c r="AE2144" s="23"/>
      <c r="AF2144" s="23"/>
      <c r="AG2144" s="23"/>
      <c r="AH2144" s="23"/>
      <c r="AI2144" s="23"/>
    </row>
    <row r="2145" spans="2:35">
      <c r="B2145" s="42"/>
      <c r="C2145" s="49"/>
      <c r="E2145" s="49"/>
      <c r="G2145" s="43"/>
      <c r="H2145" s="44"/>
      <c r="L2145" s="42"/>
      <c r="M2145" s="42"/>
      <c r="N2145" s="25"/>
      <c r="O2145" s="54"/>
      <c r="P2145"/>
      <c r="Q2145" s="25"/>
      <c r="R2145" s="54"/>
      <c r="W2145" s="23"/>
      <c r="X2145" s="23"/>
      <c r="Y2145" s="23"/>
      <c r="Z2145" s="43"/>
      <c r="AA2145" s="23"/>
      <c r="AB2145" s="23"/>
      <c r="AC2145" s="23"/>
      <c r="AD2145" s="23"/>
      <c r="AE2145" s="23"/>
      <c r="AF2145" s="23"/>
      <c r="AG2145" s="23"/>
      <c r="AH2145" s="23"/>
      <c r="AI2145" s="23"/>
    </row>
    <row r="2146" spans="2:35">
      <c r="B2146" s="42"/>
      <c r="C2146" s="49"/>
      <c r="E2146" s="49"/>
      <c r="G2146" s="43"/>
      <c r="H2146" s="44"/>
      <c r="L2146" s="42"/>
      <c r="M2146" s="42"/>
      <c r="N2146" s="25"/>
      <c r="O2146" s="54"/>
      <c r="P2146"/>
      <c r="Q2146" s="25"/>
      <c r="R2146" s="54"/>
      <c r="W2146" s="23"/>
      <c r="X2146" s="23"/>
      <c r="Y2146" s="23"/>
      <c r="Z2146" s="43"/>
      <c r="AA2146" s="23"/>
      <c r="AB2146" s="23"/>
      <c r="AC2146" s="23"/>
      <c r="AD2146" s="23"/>
      <c r="AE2146" s="23"/>
      <c r="AF2146" s="23"/>
      <c r="AG2146" s="23"/>
      <c r="AH2146" s="23"/>
      <c r="AI2146" s="23"/>
    </row>
    <row r="2147" spans="2:35">
      <c r="B2147" s="42"/>
      <c r="C2147" s="49"/>
      <c r="E2147" s="49"/>
      <c r="G2147" s="43"/>
      <c r="H2147" s="44"/>
      <c r="L2147" s="42"/>
      <c r="M2147" s="42"/>
      <c r="N2147" s="25"/>
      <c r="O2147" s="54"/>
      <c r="P2147"/>
      <c r="Q2147" s="25"/>
      <c r="R2147" s="54"/>
      <c r="W2147" s="23"/>
      <c r="X2147" s="23"/>
      <c r="Y2147" s="23"/>
      <c r="Z2147" s="43"/>
      <c r="AA2147" s="23"/>
      <c r="AB2147" s="23"/>
      <c r="AC2147" s="23"/>
      <c r="AD2147" s="23"/>
      <c r="AE2147" s="23"/>
      <c r="AF2147" s="23"/>
      <c r="AG2147" s="23"/>
      <c r="AH2147" s="23"/>
      <c r="AI2147" s="23"/>
    </row>
    <row r="2148" spans="2:35">
      <c r="B2148" s="42"/>
      <c r="C2148" s="49"/>
      <c r="E2148" s="49"/>
      <c r="G2148" s="43"/>
      <c r="H2148" s="44"/>
      <c r="L2148" s="42"/>
      <c r="M2148" s="42"/>
      <c r="N2148" s="25"/>
      <c r="O2148" s="54"/>
      <c r="P2148"/>
      <c r="Q2148" s="25"/>
      <c r="R2148" s="54"/>
      <c r="W2148" s="23"/>
      <c r="X2148" s="23"/>
      <c r="Y2148" s="23"/>
      <c r="Z2148" s="43"/>
      <c r="AA2148" s="23"/>
      <c r="AB2148" s="23"/>
      <c r="AC2148" s="23"/>
      <c r="AD2148" s="23"/>
      <c r="AE2148" s="23"/>
      <c r="AF2148" s="23"/>
      <c r="AG2148" s="23"/>
      <c r="AH2148" s="23"/>
      <c r="AI2148" s="23"/>
    </row>
    <row r="2149" spans="2:35">
      <c r="B2149" s="42"/>
      <c r="C2149" s="49"/>
      <c r="E2149" s="49"/>
      <c r="G2149" s="43"/>
      <c r="H2149" s="44"/>
      <c r="L2149" s="42"/>
      <c r="M2149" s="42"/>
      <c r="N2149" s="25"/>
      <c r="O2149" s="54"/>
      <c r="P2149"/>
      <c r="Q2149" s="25"/>
      <c r="R2149" s="54"/>
      <c r="W2149" s="23"/>
      <c r="X2149" s="23"/>
      <c r="Y2149" s="23"/>
      <c r="Z2149" s="43"/>
      <c r="AA2149" s="23"/>
      <c r="AB2149" s="23"/>
      <c r="AC2149" s="23"/>
      <c r="AD2149" s="23"/>
      <c r="AE2149" s="23"/>
      <c r="AF2149" s="23"/>
      <c r="AG2149" s="23"/>
      <c r="AH2149" s="23"/>
      <c r="AI2149" s="23"/>
    </row>
    <row r="2150" spans="2:35">
      <c r="B2150" s="42"/>
      <c r="C2150" s="49"/>
      <c r="E2150" s="49"/>
      <c r="G2150" s="43"/>
      <c r="H2150" s="44"/>
      <c r="L2150" s="42"/>
      <c r="M2150" s="42"/>
      <c r="N2150" s="25"/>
      <c r="O2150" s="54"/>
      <c r="P2150"/>
      <c r="Q2150" s="25"/>
      <c r="R2150" s="54"/>
      <c r="W2150" s="23"/>
      <c r="X2150" s="23"/>
      <c r="Y2150" s="23"/>
      <c r="Z2150" s="43"/>
      <c r="AA2150" s="23"/>
      <c r="AB2150" s="23"/>
      <c r="AC2150" s="23"/>
      <c r="AD2150" s="23"/>
      <c r="AE2150" s="23"/>
      <c r="AF2150" s="23"/>
      <c r="AG2150" s="23"/>
      <c r="AH2150" s="23"/>
      <c r="AI2150" s="23"/>
    </row>
    <row r="2151" spans="2:35">
      <c r="B2151" s="42"/>
      <c r="C2151" s="49"/>
      <c r="E2151" s="49"/>
      <c r="G2151" s="43"/>
      <c r="H2151" s="44"/>
      <c r="L2151" s="42"/>
      <c r="M2151" s="42"/>
      <c r="N2151" s="25"/>
      <c r="O2151" s="54"/>
      <c r="P2151"/>
      <c r="Q2151" s="25"/>
      <c r="R2151" s="54"/>
      <c r="W2151" s="23"/>
      <c r="X2151" s="23"/>
      <c r="Y2151" s="23"/>
      <c r="Z2151" s="43"/>
      <c r="AA2151" s="23"/>
      <c r="AB2151" s="23"/>
      <c r="AC2151" s="23"/>
      <c r="AD2151" s="23"/>
      <c r="AE2151" s="23"/>
      <c r="AF2151" s="23"/>
      <c r="AG2151" s="23"/>
      <c r="AH2151" s="23"/>
      <c r="AI2151" s="23"/>
    </row>
    <row r="2152" spans="2:35">
      <c r="B2152" s="42"/>
      <c r="C2152" s="49"/>
      <c r="E2152" s="49"/>
      <c r="G2152" s="43"/>
      <c r="H2152" s="44"/>
      <c r="L2152" s="42"/>
      <c r="M2152" s="42"/>
      <c r="N2152" s="25"/>
      <c r="O2152" s="54"/>
      <c r="P2152"/>
      <c r="Q2152" s="25"/>
      <c r="R2152" s="54"/>
      <c r="W2152" s="23"/>
      <c r="X2152" s="23"/>
      <c r="Y2152" s="23"/>
      <c r="Z2152" s="43"/>
      <c r="AA2152" s="23"/>
      <c r="AB2152" s="23"/>
      <c r="AC2152" s="23"/>
      <c r="AD2152" s="23"/>
      <c r="AE2152" s="23"/>
      <c r="AF2152" s="23"/>
      <c r="AG2152" s="23"/>
      <c r="AH2152" s="23"/>
      <c r="AI2152" s="23"/>
    </row>
    <row r="2153" spans="2:35">
      <c r="B2153" s="42"/>
      <c r="C2153" s="49"/>
      <c r="E2153" s="49"/>
      <c r="G2153" s="43"/>
      <c r="H2153" s="44"/>
      <c r="L2153" s="42"/>
      <c r="M2153" s="42"/>
      <c r="N2153" s="25"/>
      <c r="O2153" s="54"/>
      <c r="P2153"/>
      <c r="Q2153" s="25"/>
      <c r="R2153" s="54"/>
      <c r="W2153" s="23"/>
      <c r="X2153" s="23"/>
      <c r="Y2153" s="23"/>
      <c r="Z2153" s="43"/>
      <c r="AA2153" s="23"/>
      <c r="AB2153" s="23"/>
      <c r="AC2153" s="23"/>
      <c r="AD2153" s="23"/>
      <c r="AE2153" s="23"/>
      <c r="AF2153" s="23"/>
      <c r="AG2153" s="23"/>
      <c r="AH2153" s="23"/>
      <c r="AI2153" s="23"/>
    </row>
    <row r="2154" spans="2:35">
      <c r="B2154" s="42"/>
      <c r="C2154" s="49"/>
      <c r="E2154" s="49"/>
      <c r="G2154" s="43"/>
      <c r="H2154" s="44"/>
      <c r="L2154" s="42"/>
      <c r="M2154" s="42"/>
      <c r="N2154" s="25"/>
      <c r="O2154" s="54"/>
      <c r="P2154"/>
      <c r="Q2154" s="25"/>
      <c r="R2154" s="54"/>
      <c r="W2154" s="23"/>
      <c r="X2154" s="23"/>
      <c r="Y2154" s="23"/>
      <c r="Z2154" s="43"/>
      <c r="AA2154" s="23"/>
      <c r="AB2154" s="23"/>
      <c r="AC2154" s="23"/>
      <c r="AD2154" s="23"/>
      <c r="AE2154" s="23"/>
      <c r="AF2154" s="23"/>
      <c r="AG2154" s="23"/>
      <c r="AH2154" s="23"/>
      <c r="AI2154" s="23"/>
    </row>
    <row r="2155" spans="2:35">
      <c r="B2155" s="42"/>
      <c r="C2155" s="49"/>
      <c r="E2155" s="49"/>
      <c r="G2155" s="43"/>
      <c r="H2155" s="44"/>
      <c r="L2155" s="42"/>
      <c r="M2155" s="42"/>
      <c r="N2155" s="25"/>
      <c r="O2155" s="54"/>
      <c r="P2155"/>
      <c r="Q2155" s="25"/>
      <c r="R2155" s="54"/>
      <c r="W2155" s="23"/>
      <c r="X2155" s="23"/>
      <c r="Y2155" s="23"/>
      <c r="Z2155" s="43"/>
      <c r="AA2155" s="23"/>
      <c r="AB2155" s="23"/>
      <c r="AC2155" s="23"/>
      <c r="AD2155" s="23"/>
      <c r="AE2155" s="23"/>
      <c r="AF2155" s="23"/>
      <c r="AG2155" s="23"/>
      <c r="AH2155" s="23"/>
      <c r="AI2155" s="23"/>
    </row>
    <row r="2156" spans="2:35">
      <c r="B2156" s="42"/>
      <c r="C2156" s="49"/>
      <c r="E2156" s="49"/>
      <c r="G2156" s="43"/>
      <c r="H2156" s="44"/>
      <c r="L2156" s="42"/>
      <c r="M2156" s="42"/>
      <c r="N2156" s="25"/>
      <c r="O2156" s="54"/>
      <c r="P2156"/>
      <c r="Q2156" s="25"/>
      <c r="R2156" s="54"/>
      <c r="W2156" s="23"/>
      <c r="X2156" s="23"/>
      <c r="Y2156" s="23"/>
      <c r="Z2156" s="43"/>
      <c r="AA2156" s="23"/>
      <c r="AB2156" s="23"/>
      <c r="AC2156" s="23"/>
      <c r="AD2156" s="23"/>
      <c r="AE2156" s="23"/>
      <c r="AF2156" s="23"/>
      <c r="AG2156" s="23"/>
      <c r="AH2156" s="23"/>
      <c r="AI2156" s="23"/>
    </row>
    <row r="2157" spans="2:35">
      <c r="B2157" s="42"/>
      <c r="C2157" s="49"/>
      <c r="E2157" s="49"/>
      <c r="G2157" s="43"/>
      <c r="H2157" s="44"/>
      <c r="L2157" s="42"/>
      <c r="M2157" s="42"/>
      <c r="N2157" s="25"/>
      <c r="O2157" s="54"/>
      <c r="P2157"/>
      <c r="Q2157" s="25"/>
      <c r="R2157" s="54"/>
      <c r="W2157" s="23"/>
      <c r="X2157" s="23"/>
      <c r="Y2157" s="23"/>
      <c r="Z2157" s="43"/>
      <c r="AA2157" s="23"/>
      <c r="AB2157" s="23"/>
      <c r="AC2157" s="23"/>
      <c r="AD2157" s="23"/>
      <c r="AE2157" s="23"/>
      <c r="AF2157" s="23"/>
      <c r="AG2157" s="23"/>
      <c r="AH2157" s="23"/>
      <c r="AI2157" s="23"/>
    </row>
    <row r="2158" spans="2:35">
      <c r="B2158" s="42"/>
      <c r="C2158" s="49"/>
      <c r="E2158" s="49"/>
      <c r="G2158" s="43"/>
      <c r="H2158" s="44"/>
      <c r="L2158" s="42"/>
      <c r="M2158" s="42"/>
      <c r="N2158" s="25"/>
      <c r="O2158" s="54"/>
      <c r="P2158"/>
      <c r="Q2158" s="25"/>
      <c r="R2158" s="54"/>
      <c r="W2158" s="23"/>
      <c r="X2158" s="23"/>
      <c r="Y2158" s="23"/>
      <c r="Z2158" s="43"/>
      <c r="AA2158" s="23"/>
      <c r="AB2158" s="23"/>
      <c r="AC2158" s="23"/>
      <c r="AD2158" s="23"/>
      <c r="AE2158" s="23"/>
      <c r="AF2158" s="23"/>
      <c r="AG2158" s="23"/>
      <c r="AH2158" s="23"/>
      <c r="AI2158" s="23"/>
    </row>
    <row r="2159" spans="2:35">
      <c r="B2159" s="42"/>
      <c r="C2159" s="49"/>
      <c r="E2159" s="49"/>
      <c r="G2159" s="43"/>
      <c r="H2159" s="44"/>
      <c r="L2159" s="42"/>
      <c r="M2159" s="42"/>
      <c r="N2159" s="25"/>
      <c r="O2159" s="54"/>
      <c r="P2159"/>
      <c r="Q2159" s="25"/>
      <c r="R2159" s="54"/>
      <c r="W2159" s="23"/>
      <c r="X2159" s="23"/>
      <c r="Y2159" s="23"/>
      <c r="Z2159" s="43"/>
      <c r="AA2159" s="23"/>
      <c r="AB2159" s="23"/>
      <c r="AC2159" s="23"/>
      <c r="AD2159" s="23"/>
      <c r="AE2159" s="23"/>
      <c r="AF2159" s="23"/>
      <c r="AG2159" s="23"/>
      <c r="AH2159" s="23"/>
      <c r="AI2159" s="23"/>
    </row>
    <row r="2160" spans="2:35">
      <c r="B2160" s="42"/>
      <c r="C2160" s="49"/>
      <c r="E2160" s="49"/>
      <c r="G2160" s="43"/>
      <c r="H2160" s="44"/>
      <c r="L2160" s="42"/>
      <c r="M2160" s="42"/>
      <c r="N2160" s="25"/>
      <c r="O2160" s="54"/>
      <c r="P2160"/>
      <c r="Q2160" s="25"/>
      <c r="R2160" s="54"/>
      <c r="W2160" s="23"/>
      <c r="X2160" s="23"/>
      <c r="Y2160" s="23"/>
      <c r="Z2160" s="43"/>
      <c r="AA2160" s="23"/>
      <c r="AB2160" s="23"/>
      <c r="AC2160" s="23"/>
      <c r="AD2160" s="23"/>
      <c r="AE2160" s="23"/>
      <c r="AF2160" s="23"/>
      <c r="AG2160" s="23"/>
      <c r="AH2160" s="23"/>
      <c r="AI2160" s="23"/>
    </row>
    <row r="2161" spans="2:35">
      <c r="B2161" s="42"/>
      <c r="C2161" s="49"/>
      <c r="E2161" s="49"/>
      <c r="G2161" s="43"/>
      <c r="H2161" s="44"/>
      <c r="L2161" s="42"/>
      <c r="M2161" s="42"/>
      <c r="N2161" s="25"/>
      <c r="O2161" s="54"/>
      <c r="P2161"/>
      <c r="Q2161" s="25"/>
      <c r="R2161" s="54"/>
      <c r="W2161" s="23"/>
      <c r="X2161" s="23"/>
      <c r="Y2161" s="23"/>
      <c r="Z2161" s="43"/>
      <c r="AA2161" s="23"/>
      <c r="AB2161" s="23"/>
      <c r="AC2161" s="23"/>
      <c r="AD2161" s="23"/>
      <c r="AE2161" s="23"/>
      <c r="AF2161" s="23"/>
      <c r="AG2161" s="23"/>
      <c r="AH2161" s="23"/>
      <c r="AI2161" s="23"/>
    </row>
    <row r="2162" spans="2:35">
      <c r="B2162" s="42"/>
      <c r="C2162" s="49"/>
      <c r="E2162" s="49"/>
      <c r="G2162" s="43"/>
      <c r="H2162" s="44"/>
      <c r="L2162" s="42"/>
      <c r="M2162" s="42"/>
      <c r="N2162" s="25"/>
      <c r="O2162" s="54"/>
      <c r="P2162"/>
      <c r="Q2162" s="25"/>
      <c r="R2162" s="54"/>
      <c r="W2162" s="23"/>
      <c r="X2162" s="23"/>
      <c r="Y2162" s="23"/>
      <c r="Z2162" s="43"/>
      <c r="AA2162" s="23"/>
      <c r="AB2162" s="23"/>
      <c r="AC2162" s="23"/>
      <c r="AD2162" s="23"/>
      <c r="AE2162" s="23"/>
      <c r="AF2162" s="23"/>
      <c r="AG2162" s="23"/>
      <c r="AH2162" s="23"/>
      <c r="AI2162" s="23"/>
    </row>
    <row r="2163" spans="2:35">
      <c r="B2163" s="42"/>
      <c r="C2163" s="49"/>
      <c r="E2163" s="49"/>
      <c r="G2163" s="43"/>
      <c r="H2163" s="44"/>
      <c r="L2163" s="42"/>
      <c r="M2163" s="42"/>
      <c r="N2163" s="25"/>
      <c r="O2163" s="54"/>
      <c r="P2163"/>
      <c r="Q2163" s="25"/>
      <c r="R2163" s="54"/>
      <c r="W2163" s="23"/>
      <c r="X2163" s="23"/>
      <c r="Y2163" s="23"/>
      <c r="Z2163" s="43"/>
      <c r="AA2163" s="23"/>
      <c r="AB2163" s="23"/>
      <c r="AC2163" s="23"/>
      <c r="AD2163" s="23"/>
      <c r="AE2163" s="23"/>
      <c r="AF2163" s="23"/>
      <c r="AG2163" s="23"/>
      <c r="AH2163" s="23"/>
      <c r="AI2163" s="23"/>
    </row>
    <row r="2164" spans="2:35">
      <c r="B2164" s="42"/>
      <c r="C2164" s="49"/>
      <c r="E2164" s="49"/>
      <c r="G2164" s="43"/>
      <c r="H2164" s="44"/>
      <c r="L2164" s="42"/>
      <c r="M2164" s="42"/>
      <c r="N2164" s="25"/>
      <c r="O2164" s="54"/>
      <c r="P2164"/>
      <c r="Q2164" s="25"/>
      <c r="R2164" s="54"/>
      <c r="W2164" s="23"/>
      <c r="X2164" s="23"/>
      <c r="Y2164" s="23"/>
      <c r="Z2164" s="43"/>
      <c r="AA2164" s="23"/>
      <c r="AB2164" s="23"/>
      <c r="AC2164" s="23"/>
      <c r="AD2164" s="23"/>
      <c r="AE2164" s="23"/>
      <c r="AF2164" s="23"/>
      <c r="AG2164" s="23"/>
      <c r="AH2164" s="23"/>
      <c r="AI2164" s="23"/>
    </row>
    <row r="2165" spans="2:35">
      <c r="B2165" s="42"/>
      <c r="C2165" s="49"/>
      <c r="E2165" s="49"/>
      <c r="G2165" s="43"/>
      <c r="H2165" s="44"/>
      <c r="L2165" s="42"/>
      <c r="M2165" s="42"/>
      <c r="N2165" s="25"/>
      <c r="O2165" s="54"/>
      <c r="P2165"/>
      <c r="Q2165" s="25"/>
      <c r="R2165" s="54"/>
      <c r="W2165" s="23"/>
      <c r="X2165" s="23"/>
      <c r="Y2165" s="23"/>
      <c r="Z2165" s="43"/>
      <c r="AA2165" s="23"/>
      <c r="AB2165" s="23"/>
      <c r="AC2165" s="23"/>
      <c r="AD2165" s="23"/>
      <c r="AE2165" s="23"/>
      <c r="AF2165" s="23"/>
      <c r="AG2165" s="23"/>
      <c r="AH2165" s="23"/>
      <c r="AI2165" s="23"/>
    </row>
    <row r="2166" spans="2:35">
      <c r="B2166" s="42"/>
      <c r="C2166" s="49"/>
      <c r="E2166" s="49"/>
      <c r="G2166" s="43"/>
      <c r="H2166" s="44"/>
      <c r="L2166" s="42"/>
      <c r="M2166" s="42"/>
      <c r="N2166" s="25"/>
      <c r="O2166" s="54"/>
      <c r="P2166"/>
      <c r="Q2166" s="25"/>
      <c r="R2166" s="54"/>
      <c r="W2166" s="23"/>
      <c r="X2166" s="23"/>
      <c r="Y2166" s="23"/>
      <c r="Z2166" s="43"/>
      <c r="AA2166" s="23"/>
      <c r="AB2166" s="23"/>
      <c r="AC2166" s="23"/>
      <c r="AD2166" s="23"/>
      <c r="AE2166" s="23"/>
      <c r="AF2166" s="23"/>
      <c r="AG2166" s="23"/>
      <c r="AH2166" s="23"/>
      <c r="AI2166" s="23"/>
    </row>
    <row r="2167" spans="2:35">
      <c r="B2167" s="42"/>
      <c r="C2167" s="49"/>
      <c r="E2167" s="49"/>
      <c r="G2167" s="43"/>
      <c r="H2167" s="44"/>
      <c r="L2167" s="42"/>
      <c r="M2167" s="42"/>
      <c r="N2167" s="25"/>
      <c r="O2167" s="54"/>
      <c r="P2167"/>
      <c r="Q2167" s="25"/>
      <c r="R2167" s="54"/>
      <c r="W2167" s="23"/>
      <c r="X2167" s="23"/>
      <c r="Y2167" s="23"/>
      <c r="Z2167" s="43"/>
      <c r="AA2167" s="23"/>
      <c r="AB2167" s="23"/>
      <c r="AC2167" s="23"/>
      <c r="AD2167" s="23"/>
      <c r="AE2167" s="23"/>
      <c r="AF2167" s="23"/>
      <c r="AG2167" s="23"/>
      <c r="AH2167" s="23"/>
      <c r="AI2167" s="23"/>
    </row>
    <row r="2168" spans="2:35">
      <c r="B2168" s="42"/>
      <c r="C2168" s="49"/>
      <c r="E2168" s="49"/>
      <c r="G2168" s="43"/>
      <c r="H2168" s="44"/>
      <c r="L2168" s="42"/>
      <c r="M2168" s="42"/>
      <c r="N2168" s="25"/>
      <c r="O2168" s="54"/>
      <c r="P2168"/>
      <c r="Q2168" s="25"/>
      <c r="R2168" s="54"/>
      <c r="W2168" s="23"/>
      <c r="X2168" s="23"/>
      <c r="Y2168" s="23"/>
      <c r="Z2168" s="43"/>
      <c r="AA2168" s="23"/>
      <c r="AB2168" s="23"/>
      <c r="AC2168" s="23"/>
      <c r="AD2168" s="23"/>
      <c r="AE2168" s="23"/>
      <c r="AF2168" s="23"/>
      <c r="AG2168" s="23"/>
      <c r="AH2168" s="23"/>
      <c r="AI2168" s="23"/>
    </row>
    <row r="2169" spans="2:35">
      <c r="B2169" s="42"/>
      <c r="C2169" s="49"/>
      <c r="E2169" s="49"/>
      <c r="G2169" s="43"/>
      <c r="H2169" s="44"/>
      <c r="L2169" s="42"/>
      <c r="M2169" s="42"/>
      <c r="N2169" s="25"/>
      <c r="O2169" s="54"/>
      <c r="P2169"/>
      <c r="Q2169" s="25"/>
      <c r="R2169" s="54"/>
      <c r="W2169" s="23"/>
      <c r="X2169" s="23"/>
      <c r="Y2169" s="23"/>
      <c r="Z2169" s="43"/>
      <c r="AA2169" s="23"/>
      <c r="AB2169" s="23"/>
      <c r="AC2169" s="23"/>
      <c r="AD2169" s="23"/>
      <c r="AE2169" s="23"/>
      <c r="AF2169" s="23"/>
      <c r="AG2169" s="23"/>
      <c r="AH2169" s="23"/>
      <c r="AI2169" s="23"/>
    </row>
    <row r="2170" spans="2:35">
      <c r="B2170" s="42"/>
      <c r="C2170" s="49"/>
      <c r="E2170" s="49"/>
      <c r="G2170" s="43"/>
      <c r="H2170" s="44"/>
      <c r="L2170" s="42"/>
      <c r="M2170" s="42"/>
      <c r="N2170" s="25"/>
      <c r="O2170" s="54"/>
      <c r="P2170"/>
      <c r="Q2170" s="25"/>
      <c r="R2170" s="54"/>
      <c r="W2170" s="23"/>
      <c r="X2170" s="23"/>
      <c r="Y2170" s="23"/>
      <c r="Z2170" s="43"/>
      <c r="AA2170" s="23"/>
      <c r="AB2170" s="23"/>
      <c r="AC2170" s="23"/>
      <c r="AD2170" s="23"/>
      <c r="AE2170" s="23"/>
      <c r="AF2170" s="23"/>
      <c r="AG2170" s="23"/>
      <c r="AH2170" s="23"/>
      <c r="AI2170" s="23"/>
    </row>
    <row r="2171" spans="2:35">
      <c r="B2171" s="42"/>
      <c r="C2171" s="49"/>
      <c r="E2171" s="49"/>
      <c r="G2171" s="43"/>
      <c r="H2171" s="44"/>
      <c r="L2171" s="42"/>
      <c r="M2171" s="42"/>
      <c r="N2171" s="25"/>
      <c r="O2171" s="54"/>
      <c r="P2171"/>
      <c r="Q2171" s="25"/>
      <c r="R2171" s="54"/>
      <c r="W2171" s="23"/>
      <c r="X2171" s="23"/>
      <c r="Y2171" s="23"/>
      <c r="Z2171" s="43"/>
      <c r="AA2171" s="23"/>
      <c r="AB2171" s="23"/>
      <c r="AC2171" s="23"/>
      <c r="AD2171" s="23"/>
      <c r="AE2171" s="23"/>
      <c r="AF2171" s="23"/>
      <c r="AG2171" s="23"/>
      <c r="AH2171" s="23"/>
      <c r="AI2171" s="23"/>
    </row>
    <row r="2172" spans="2:35">
      <c r="B2172" s="42"/>
      <c r="C2172" s="49"/>
      <c r="E2172" s="49"/>
      <c r="G2172" s="43"/>
      <c r="H2172" s="44"/>
      <c r="L2172" s="42"/>
      <c r="M2172" s="42"/>
      <c r="N2172" s="25"/>
      <c r="O2172" s="54"/>
      <c r="P2172"/>
      <c r="Q2172" s="25"/>
      <c r="R2172" s="54"/>
      <c r="W2172" s="23"/>
      <c r="X2172" s="23"/>
      <c r="Y2172" s="23"/>
      <c r="Z2172" s="43"/>
      <c r="AA2172" s="23"/>
      <c r="AB2172" s="23"/>
      <c r="AC2172" s="23"/>
      <c r="AD2172" s="23"/>
      <c r="AE2172" s="23"/>
      <c r="AF2172" s="23"/>
      <c r="AG2172" s="23"/>
      <c r="AH2172" s="23"/>
      <c r="AI2172" s="23"/>
    </row>
    <row r="2173" spans="2:35">
      <c r="B2173" s="42"/>
      <c r="C2173" s="49"/>
      <c r="E2173" s="49"/>
      <c r="G2173" s="43"/>
      <c r="H2173" s="44"/>
      <c r="L2173" s="42"/>
      <c r="M2173" s="42"/>
      <c r="N2173" s="25"/>
      <c r="O2173" s="54"/>
      <c r="P2173"/>
      <c r="Q2173" s="25"/>
      <c r="R2173" s="54"/>
      <c r="W2173" s="23"/>
      <c r="X2173" s="23"/>
      <c r="Y2173" s="23"/>
      <c r="Z2173" s="43"/>
      <c r="AA2173" s="23"/>
      <c r="AB2173" s="23"/>
      <c r="AC2173" s="23"/>
      <c r="AD2173" s="23"/>
      <c r="AE2173" s="23"/>
      <c r="AF2173" s="23"/>
      <c r="AG2173" s="23"/>
      <c r="AH2173" s="23"/>
      <c r="AI2173" s="23"/>
    </row>
    <row r="2174" spans="2:35">
      <c r="B2174" s="42"/>
      <c r="C2174" s="49"/>
      <c r="E2174" s="49"/>
      <c r="G2174" s="43"/>
      <c r="H2174" s="44"/>
      <c r="L2174" s="42"/>
      <c r="M2174" s="42"/>
      <c r="N2174" s="25"/>
      <c r="O2174" s="54"/>
      <c r="P2174"/>
      <c r="Q2174" s="25"/>
      <c r="R2174" s="54"/>
      <c r="W2174" s="23"/>
      <c r="X2174" s="23"/>
      <c r="Y2174" s="23"/>
      <c r="Z2174" s="43"/>
      <c r="AA2174" s="23"/>
      <c r="AB2174" s="23"/>
      <c r="AC2174" s="23"/>
      <c r="AD2174" s="23"/>
      <c r="AE2174" s="23"/>
      <c r="AF2174" s="23"/>
      <c r="AG2174" s="23"/>
      <c r="AH2174" s="23"/>
      <c r="AI2174" s="23"/>
    </row>
    <row r="2175" spans="2:35">
      <c r="B2175" s="42"/>
      <c r="C2175" s="49"/>
      <c r="E2175" s="49"/>
      <c r="G2175" s="43"/>
      <c r="H2175" s="44"/>
      <c r="L2175" s="42"/>
      <c r="M2175" s="42"/>
      <c r="N2175" s="25"/>
      <c r="O2175" s="54"/>
      <c r="P2175"/>
      <c r="Q2175" s="25"/>
      <c r="R2175" s="54"/>
      <c r="W2175" s="23"/>
      <c r="X2175" s="23"/>
      <c r="Y2175" s="23"/>
      <c r="Z2175" s="43"/>
      <c r="AA2175" s="23"/>
      <c r="AB2175" s="23"/>
      <c r="AC2175" s="23"/>
      <c r="AD2175" s="23"/>
      <c r="AE2175" s="23"/>
      <c r="AF2175" s="23"/>
      <c r="AG2175" s="23"/>
      <c r="AH2175" s="23"/>
      <c r="AI2175" s="23"/>
    </row>
    <row r="2176" spans="2:35">
      <c r="B2176" s="42"/>
      <c r="C2176" s="49"/>
      <c r="E2176" s="49"/>
      <c r="G2176" s="43"/>
      <c r="H2176" s="44"/>
      <c r="L2176" s="42"/>
      <c r="M2176" s="42"/>
      <c r="N2176" s="25"/>
      <c r="O2176" s="54"/>
      <c r="P2176"/>
      <c r="Q2176" s="25"/>
      <c r="R2176" s="54"/>
      <c r="W2176" s="23"/>
      <c r="X2176" s="23"/>
      <c r="Y2176" s="23"/>
      <c r="Z2176" s="43"/>
      <c r="AA2176" s="23"/>
      <c r="AB2176" s="23"/>
      <c r="AC2176" s="23"/>
      <c r="AD2176" s="23"/>
      <c r="AE2176" s="23"/>
      <c r="AF2176" s="23"/>
      <c r="AG2176" s="23"/>
      <c r="AH2176" s="23"/>
      <c r="AI2176" s="23"/>
    </row>
    <row r="2177" spans="1:35">
      <c r="B2177" s="42"/>
      <c r="C2177" s="49"/>
      <c r="E2177" s="49"/>
      <c r="G2177" s="43"/>
      <c r="H2177" s="44"/>
      <c r="L2177" s="42"/>
      <c r="M2177" s="42"/>
      <c r="N2177" s="25"/>
      <c r="O2177" s="54"/>
      <c r="P2177"/>
      <c r="Q2177" s="25"/>
      <c r="R2177" s="54"/>
      <c r="W2177" s="23"/>
      <c r="X2177" s="23"/>
      <c r="Y2177" s="23"/>
      <c r="Z2177" s="43"/>
      <c r="AA2177" s="23"/>
      <c r="AB2177" s="23"/>
      <c r="AC2177" s="23"/>
      <c r="AD2177" s="23"/>
      <c r="AE2177" s="23"/>
      <c r="AF2177" s="23"/>
      <c r="AG2177" s="23"/>
      <c r="AH2177" s="23"/>
      <c r="AI2177" s="23"/>
    </row>
    <row r="2178" spans="1:35">
      <c r="B2178" s="42"/>
      <c r="C2178" s="49"/>
      <c r="E2178" s="49"/>
      <c r="G2178" s="43"/>
      <c r="H2178" s="44"/>
      <c r="L2178" s="42"/>
      <c r="M2178" s="42"/>
      <c r="N2178" s="25"/>
      <c r="O2178" s="54"/>
      <c r="P2178"/>
      <c r="Q2178" s="25"/>
      <c r="R2178" s="54"/>
      <c r="W2178" s="23"/>
      <c r="X2178" s="23"/>
      <c r="Y2178" s="23"/>
      <c r="Z2178" s="43"/>
      <c r="AA2178" s="23"/>
      <c r="AB2178" s="23"/>
      <c r="AC2178" s="23"/>
      <c r="AD2178" s="23"/>
      <c r="AE2178" s="23"/>
      <c r="AF2178" s="23"/>
      <c r="AG2178" s="23"/>
      <c r="AH2178" s="23"/>
      <c r="AI2178" s="23"/>
    </row>
    <row r="2179" spans="1:35">
      <c r="B2179" s="42"/>
      <c r="C2179" s="49"/>
      <c r="E2179" s="49"/>
      <c r="G2179" s="43"/>
      <c r="H2179" s="44"/>
      <c r="L2179" s="42"/>
      <c r="M2179" s="42"/>
      <c r="N2179" s="25"/>
      <c r="O2179" s="54"/>
      <c r="P2179"/>
      <c r="Q2179" s="25"/>
      <c r="R2179" s="54"/>
      <c r="W2179" s="23"/>
      <c r="X2179" s="23"/>
      <c r="Y2179" s="23"/>
      <c r="Z2179" s="43"/>
      <c r="AA2179" s="23"/>
      <c r="AB2179" s="23"/>
      <c r="AC2179" s="23"/>
      <c r="AD2179" s="23"/>
      <c r="AE2179" s="23"/>
      <c r="AF2179" s="23"/>
      <c r="AG2179" s="23"/>
      <c r="AH2179" s="23"/>
      <c r="AI2179" s="23"/>
    </row>
    <row r="2180" spans="1:35">
      <c r="B2180" s="42"/>
      <c r="C2180" s="49"/>
      <c r="E2180" s="49"/>
      <c r="G2180" s="43"/>
      <c r="H2180" s="44"/>
      <c r="L2180" s="42"/>
      <c r="M2180" s="42"/>
      <c r="N2180" s="25"/>
      <c r="O2180" s="54"/>
      <c r="P2180"/>
      <c r="Q2180" s="25"/>
      <c r="R2180" s="54"/>
      <c r="W2180" s="23"/>
      <c r="X2180" s="23"/>
      <c r="Y2180" s="23"/>
      <c r="Z2180" s="43"/>
      <c r="AA2180" s="23"/>
      <c r="AB2180" s="23"/>
      <c r="AC2180" s="23"/>
      <c r="AD2180" s="23"/>
      <c r="AE2180" s="23"/>
      <c r="AF2180" s="23"/>
      <c r="AG2180" s="23"/>
      <c r="AH2180" s="23"/>
      <c r="AI2180" s="23"/>
    </row>
    <row r="2181" spans="1:35">
      <c r="B2181" s="42"/>
      <c r="C2181" s="49"/>
      <c r="E2181" s="49"/>
      <c r="G2181" s="43"/>
      <c r="H2181" s="44"/>
      <c r="L2181" s="42"/>
      <c r="M2181" s="42"/>
      <c r="N2181" s="25"/>
      <c r="O2181" s="54"/>
      <c r="P2181"/>
      <c r="Q2181" s="25"/>
      <c r="R2181" s="54"/>
      <c r="W2181" s="23"/>
      <c r="X2181" s="23"/>
      <c r="Y2181" s="23"/>
      <c r="Z2181" s="43"/>
      <c r="AA2181" s="23"/>
      <c r="AB2181" s="23"/>
      <c r="AC2181" s="23"/>
      <c r="AD2181" s="23"/>
      <c r="AE2181" s="23"/>
      <c r="AF2181" s="23"/>
      <c r="AG2181" s="23"/>
      <c r="AH2181" s="23"/>
      <c r="AI2181" s="23"/>
    </row>
    <row r="2182" spans="1:35">
      <c r="B2182" s="42"/>
      <c r="C2182" s="49"/>
      <c r="E2182" s="49"/>
      <c r="G2182" s="43"/>
      <c r="H2182" s="44"/>
      <c r="L2182" s="42"/>
      <c r="M2182" s="42"/>
      <c r="N2182" s="25"/>
      <c r="O2182" s="54"/>
      <c r="P2182"/>
      <c r="Q2182" s="25"/>
      <c r="R2182" s="54"/>
      <c r="W2182" s="23"/>
      <c r="X2182" s="23"/>
      <c r="Y2182" s="23"/>
      <c r="Z2182" s="43"/>
      <c r="AA2182" s="23"/>
      <c r="AB2182" s="23"/>
      <c r="AC2182" s="23"/>
      <c r="AD2182" s="23"/>
      <c r="AE2182" s="23"/>
      <c r="AF2182" s="23"/>
      <c r="AG2182" s="23"/>
      <c r="AH2182" s="23"/>
      <c r="AI2182" s="23"/>
    </row>
    <row r="2183" spans="1:35">
      <c r="B2183" s="42"/>
      <c r="C2183" s="49"/>
      <c r="E2183" s="49"/>
      <c r="G2183" s="43"/>
      <c r="H2183" s="44"/>
      <c r="L2183" s="42"/>
      <c r="M2183" s="42"/>
      <c r="N2183" s="25"/>
      <c r="O2183" s="54"/>
      <c r="P2183"/>
      <c r="Q2183" s="25"/>
      <c r="R2183" s="54"/>
      <c r="W2183" s="23"/>
      <c r="X2183" s="23"/>
      <c r="Y2183" s="23"/>
      <c r="Z2183" s="43"/>
      <c r="AA2183" s="23"/>
      <c r="AB2183" s="23"/>
      <c r="AC2183" s="23"/>
      <c r="AD2183" s="23"/>
      <c r="AE2183" s="23"/>
      <c r="AF2183" s="23"/>
      <c r="AG2183" s="23"/>
      <c r="AH2183" s="23"/>
      <c r="AI2183" s="23"/>
    </row>
    <row r="2184" spans="1:35">
      <c r="B2184" s="42"/>
      <c r="C2184" s="49"/>
      <c r="E2184" s="49"/>
      <c r="G2184" s="43"/>
      <c r="H2184" s="44"/>
      <c r="L2184" s="42"/>
      <c r="M2184" s="42"/>
      <c r="N2184" s="25"/>
      <c r="O2184" s="54"/>
      <c r="P2184"/>
      <c r="Q2184" s="25"/>
      <c r="R2184" s="54"/>
      <c r="W2184" s="23"/>
      <c r="X2184" s="23"/>
      <c r="Y2184" s="23"/>
      <c r="Z2184" s="43"/>
      <c r="AA2184" s="23"/>
      <c r="AB2184" s="23"/>
      <c r="AC2184" s="23"/>
      <c r="AD2184" s="23"/>
      <c r="AE2184" s="23"/>
      <c r="AF2184" s="23"/>
      <c r="AG2184" s="23"/>
      <c r="AH2184" s="23"/>
      <c r="AI2184" s="23"/>
    </row>
    <row r="2185" spans="1:35">
      <c r="B2185" s="42"/>
      <c r="C2185" s="49"/>
      <c r="E2185" s="49"/>
      <c r="G2185" s="43"/>
      <c r="H2185" s="44"/>
      <c r="L2185" s="42"/>
      <c r="M2185" s="42"/>
      <c r="N2185" s="25"/>
      <c r="O2185" s="54"/>
      <c r="P2185"/>
      <c r="Q2185" s="25"/>
      <c r="R2185" s="54"/>
      <c r="W2185" s="23"/>
      <c r="X2185" s="23"/>
      <c r="Y2185" s="23"/>
      <c r="Z2185" s="43"/>
      <c r="AA2185" s="23"/>
      <c r="AB2185" s="23"/>
      <c r="AC2185" s="23"/>
      <c r="AD2185" s="23"/>
      <c r="AE2185" s="23"/>
      <c r="AF2185" s="23"/>
      <c r="AG2185" s="23"/>
      <c r="AH2185" s="23"/>
      <c r="AI2185" s="23"/>
    </row>
    <row r="2186" spans="1:35">
      <c r="B2186" s="42"/>
      <c r="C2186" s="49"/>
      <c r="E2186" s="49"/>
      <c r="G2186" s="43"/>
      <c r="H2186" s="44"/>
      <c r="L2186" s="42"/>
      <c r="M2186" s="42"/>
      <c r="N2186" s="25"/>
      <c r="O2186" s="54"/>
      <c r="P2186"/>
      <c r="Q2186" s="25"/>
      <c r="R2186" s="54"/>
      <c r="W2186" s="23"/>
      <c r="X2186" s="23"/>
      <c r="Y2186" s="23"/>
      <c r="Z2186" s="43"/>
      <c r="AA2186" s="23"/>
      <c r="AB2186" s="23"/>
      <c r="AC2186" s="23"/>
      <c r="AD2186" s="23"/>
      <c r="AE2186" s="23"/>
      <c r="AF2186" s="23"/>
      <c r="AG2186" s="23"/>
      <c r="AH2186" s="23"/>
      <c r="AI2186" s="23"/>
    </row>
    <row r="2187" spans="1:35">
      <c r="A2187" s="23"/>
      <c r="B2187" s="42"/>
      <c r="C2187" s="49"/>
      <c r="E2187" s="49"/>
      <c r="G2187" s="43"/>
      <c r="H2187" s="44"/>
      <c r="L2187" s="42"/>
      <c r="M2187" s="42"/>
      <c r="N2187" s="25"/>
      <c r="O2187" s="54"/>
      <c r="P2187"/>
      <c r="Q2187" s="25"/>
      <c r="R2187" s="54"/>
      <c r="W2187" s="23"/>
      <c r="X2187" s="23"/>
      <c r="Y2187" s="23"/>
      <c r="Z2187" s="43"/>
      <c r="AA2187" s="23"/>
      <c r="AB2187" s="23"/>
      <c r="AC2187" s="23"/>
      <c r="AD2187" s="23"/>
      <c r="AE2187" s="23"/>
      <c r="AF2187" s="23"/>
      <c r="AG2187" s="23"/>
      <c r="AH2187" s="23"/>
      <c r="AI2187" s="49"/>
    </row>
    <row r="2188" spans="1:35">
      <c r="A2188" s="23"/>
      <c r="B2188" s="42"/>
      <c r="C2188" s="49"/>
      <c r="E2188" s="49"/>
      <c r="G2188" s="43"/>
      <c r="H2188" s="44"/>
      <c r="L2188" s="42"/>
      <c r="M2188" s="42"/>
      <c r="N2188" s="25"/>
      <c r="O2188" s="54"/>
      <c r="P2188"/>
      <c r="Q2188" s="25"/>
      <c r="R2188" s="54"/>
      <c r="W2188" s="23"/>
      <c r="X2188" s="23"/>
      <c r="Y2188" s="23"/>
      <c r="Z2188" s="43"/>
      <c r="AA2188" s="23"/>
      <c r="AB2188" s="23"/>
      <c r="AC2188" s="23"/>
      <c r="AD2188" s="23"/>
      <c r="AE2188" s="23"/>
      <c r="AF2188" s="23"/>
      <c r="AG2188" s="23"/>
      <c r="AH2188" s="23"/>
      <c r="AI2188" s="49"/>
    </row>
    <row r="2189" spans="1:35">
      <c r="A2189" s="23"/>
      <c r="B2189" s="42"/>
      <c r="C2189" s="49"/>
      <c r="E2189" s="49"/>
      <c r="G2189" s="43"/>
      <c r="H2189" s="44"/>
      <c r="L2189" s="42"/>
      <c r="M2189" s="42"/>
      <c r="N2189" s="25"/>
      <c r="O2189" s="54"/>
      <c r="P2189"/>
      <c r="Q2189" s="25"/>
      <c r="R2189" s="54"/>
      <c r="W2189" s="23"/>
      <c r="X2189" s="23"/>
      <c r="Y2189" s="23"/>
      <c r="Z2189" s="43"/>
      <c r="AA2189" s="23"/>
      <c r="AB2189" s="23"/>
      <c r="AC2189" s="23"/>
      <c r="AD2189" s="23"/>
      <c r="AE2189" s="23"/>
      <c r="AF2189" s="23"/>
      <c r="AG2189" s="23"/>
      <c r="AH2189" s="23"/>
      <c r="AI2189" s="49"/>
    </row>
    <row r="2190" spans="1:35">
      <c r="A2190" s="23"/>
      <c r="B2190" s="42"/>
      <c r="C2190" s="49"/>
      <c r="E2190" s="49"/>
      <c r="G2190" s="43"/>
      <c r="H2190" s="44"/>
      <c r="L2190" s="42"/>
      <c r="M2190" s="42"/>
      <c r="N2190" s="25"/>
      <c r="O2190" s="54"/>
      <c r="P2190"/>
      <c r="Q2190" s="25"/>
      <c r="R2190" s="54"/>
      <c r="W2190" s="23"/>
      <c r="X2190" s="23"/>
      <c r="Y2190" s="23"/>
      <c r="Z2190" s="43"/>
      <c r="AA2190" s="23"/>
      <c r="AB2190" s="23"/>
      <c r="AC2190" s="23"/>
      <c r="AD2190" s="23"/>
      <c r="AE2190" s="23"/>
      <c r="AF2190" s="23"/>
      <c r="AG2190" s="23"/>
      <c r="AH2190" s="23"/>
      <c r="AI2190" s="49"/>
    </row>
    <row r="2191" spans="1:35">
      <c r="A2191" s="23"/>
      <c r="B2191" s="42"/>
      <c r="C2191" s="49"/>
      <c r="E2191" s="49"/>
      <c r="G2191" s="43"/>
      <c r="H2191" s="44"/>
      <c r="L2191" s="42"/>
      <c r="M2191" s="42"/>
      <c r="N2191" s="25"/>
      <c r="O2191" s="54"/>
      <c r="P2191"/>
      <c r="Q2191" s="25"/>
      <c r="R2191" s="54"/>
      <c r="W2191" s="23"/>
      <c r="X2191" s="23"/>
      <c r="Y2191" s="23"/>
      <c r="Z2191" s="43"/>
      <c r="AA2191" s="23"/>
      <c r="AB2191" s="23"/>
      <c r="AC2191" s="23"/>
      <c r="AD2191" s="23"/>
      <c r="AE2191" s="23"/>
      <c r="AF2191" s="23"/>
      <c r="AG2191" s="23"/>
      <c r="AH2191" s="23"/>
      <c r="AI2191" s="49"/>
    </row>
    <row r="2192" spans="1:35">
      <c r="A2192" s="23"/>
      <c r="B2192" s="42"/>
      <c r="C2192" s="49"/>
      <c r="E2192" s="49"/>
      <c r="G2192" s="43"/>
      <c r="H2192" s="44"/>
      <c r="L2192" s="42"/>
      <c r="M2192" s="42"/>
      <c r="N2192" s="25"/>
      <c r="O2192" s="54"/>
      <c r="P2192"/>
      <c r="Q2192" s="25"/>
      <c r="R2192" s="54"/>
      <c r="W2192" s="23"/>
      <c r="X2192" s="23"/>
      <c r="Y2192" s="23"/>
      <c r="Z2192" s="43"/>
      <c r="AA2192" s="23"/>
      <c r="AB2192" s="23"/>
      <c r="AC2192" s="23"/>
      <c r="AD2192" s="23"/>
      <c r="AE2192" s="23"/>
      <c r="AF2192" s="23"/>
      <c r="AG2192" s="23"/>
      <c r="AH2192" s="23"/>
      <c r="AI2192" s="49"/>
    </row>
    <row r="2193" spans="1:35">
      <c r="A2193" s="23"/>
      <c r="B2193" s="42"/>
      <c r="C2193" s="49"/>
      <c r="E2193" s="49"/>
      <c r="G2193" s="43"/>
      <c r="H2193" s="44"/>
      <c r="L2193" s="42"/>
      <c r="M2193" s="42"/>
      <c r="N2193" s="25"/>
      <c r="O2193" s="54"/>
      <c r="P2193"/>
      <c r="Q2193" s="25"/>
      <c r="R2193" s="54"/>
      <c r="W2193" s="23"/>
      <c r="X2193" s="23"/>
      <c r="Y2193" s="23"/>
      <c r="Z2193" s="43"/>
      <c r="AA2193" s="23"/>
      <c r="AB2193" s="23"/>
      <c r="AC2193" s="23"/>
      <c r="AD2193" s="23"/>
      <c r="AE2193" s="23"/>
      <c r="AF2193" s="23"/>
      <c r="AG2193" s="23"/>
      <c r="AH2193" s="23"/>
      <c r="AI2193" s="49"/>
    </row>
    <row r="2194" spans="1:35">
      <c r="A2194" s="23"/>
      <c r="B2194" s="42"/>
      <c r="C2194" s="49"/>
      <c r="E2194" s="49"/>
      <c r="G2194" s="43"/>
      <c r="H2194" s="44"/>
      <c r="L2194" s="42"/>
      <c r="M2194" s="42"/>
      <c r="N2194" s="25"/>
      <c r="O2194" s="54"/>
      <c r="P2194"/>
      <c r="Q2194" s="25"/>
      <c r="R2194" s="54"/>
      <c r="W2194" s="23"/>
      <c r="X2194" s="23"/>
      <c r="Y2194" s="23"/>
      <c r="Z2194" s="43"/>
      <c r="AA2194" s="23"/>
      <c r="AB2194" s="23"/>
      <c r="AC2194" s="23"/>
      <c r="AD2194" s="23"/>
      <c r="AE2194" s="23"/>
      <c r="AF2194" s="23"/>
      <c r="AG2194" s="23"/>
      <c r="AH2194" s="23"/>
      <c r="AI2194" s="49"/>
    </row>
    <row r="2195" spans="1:35">
      <c r="A2195" s="23"/>
      <c r="B2195" s="42"/>
      <c r="C2195" s="49"/>
      <c r="E2195" s="49"/>
      <c r="G2195" s="43"/>
      <c r="H2195" s="44"/>
      <c r="L2195" s="42"/>
      <c r="M2195" s="42"/>
      <c r="N2195" s="25"/>
      <c r="O2195" s="54"/>
      <c r="P2195"/>
      <c r="Q2195" s="25"/>
      <c r="R2195" s="54"/>
      <c r="W2195" s="23"/>
      <c r="X2195" s="23"/>
      <c r="Y2195" s="23"/>
      <c r="Z2195" s="43"/>
      <c r="AA2195" s="23"/>
      <c r="AB2195" s="23"/>
      <c r="AC2195" s="23"/>
      <c r="AD2195" s="23"/>
      <c r="AE2195" s="23"/>
      <c r="AF2195" s="23"/>
      <c r="AG2195" s="23"/>
      <c r="AH2195" s="23"/>
      <c r="AI2195" s="49"/>
    </row>
    <row r="2196" spans="1:35">
      <c r="A2196" s="23"/>
      <c r="B2196" s="42"/>
      <c r="C2196" s="49"/>
      <c r="E2196" s="49"/>
      <c r="G2196" s="43"/>
      <c r="H2196" s="44"/>
      <c r="L2196" s="42"/>
      <c r="M2196" s="42"/>
      <c r="N2196" s="25"/>
      <c r="O2196" s="54"/>
      <c r="P2196"/>
      <c r="Q2196" s="25"/>
      <c r="R2196" s="54"/>
      <c r="W2196" s="23"/>
      <c r="X2196" s="23"/>
      <c r="Y2196" s="23"/>
      <c r="Z2196" s="43"/>
      <c r="AA2196" s="23"/>
      <c r="AB2196" s="23"/>
      <c r="AC2196" s="23"/>
      <c r="AD2196" s="23"/>
      <c r="AE2196" s="23"/>
      <c r="AF2196" s="23"/>
      <c r="AG2196" s="23"/>
      <c r="AH2196" s="23"/>
      <c r="AI2196" s="49"/>
    </row>
    <row r="2197" spans="1:35">
      <c r="A2197" s="23"/>
      <c r="B2197" s="42"/>
      <c r="C2197" s="49"/>
      <c r="E2197" s="49"/>
      <c r="G2197" s="43"/>
      <c r="H2197" s="44"/>
      <c r="L2197" s="42"/>
      <c r="M2197" s="42"/>
      <c r="N2197" s="25"/>
      <c r="O2197" s="54"/>
      <c r="P2197"/>
      <c r="Q2197" s="25"/>
      <c r="R2197" s="54"/>
      <c r="W2197" s="23"/>
      <c r="X2197" s="23"/>
      <c r="Y2197" s="23"/>
      <c r="Z2197" s="43"/>
      <c r="AA2197" s="23"/>
      <c r="AB2197" s="23"/>
      <c r="AC2197" s="23"/>
      <c r="AD2197" s="23"/>
      <c r="AE2197" s="23"/>
      <c r="AF2197" s="23"/>
      <c r="AG2197" s="23"/>
      <c r="AH2197" s="23"/>
      <c r="AI2197" s="49"/>
    </row>
    <row r="2198" spans="1:35">
      <c r="A2198" s="23"/>
      <c r="B2198" s="42"/>
      <c r="C2198" s="49"/>
      <c r="E2198" s="49"/>
      <c r="G2198" s="43"/>
      <c r="H2198" s="44"/>
      <c r="L2198" s="42"/>
      <c r="M2198" s="42"/>
      <c r="N2198" s="25"/>
      <c r="O2198" s="54"/>
      <c r="P2198"/>
      <c r="Q2198" s="25"/>
      <c r="R2198" s="54"/>
      <c r="W2198" s="23"/>
      <c r="X2198" s="23"/>
      <c r="Y2198" s="23"/>
      <c r="Z2198" s="43"/>
      <c r="AA2198" s="23"/>
      <c r="AB2198" s="23"/>
      <c r="AC2198" s="23"/>
      <c r="AD2198" s="23"/>
      <c r="AE2198" s="23"/>
      <c r="AF2198" s="23"/>
      <c r="AG2198" s="23"/>
      <c r="AH2198" s="23"/>
      <c r="AI2198" s="49"/>
    </row>
    <row r="2199" spans="1:35">
      <c r="A2199" s="23"/>
      <c r="B2199" s="42"/>
      <c r="C2199" s="49"/>
      <c r="E2199" s="49"/>
      <c r="G2199" s="43"/>
      <c r="H2199" s="44"/>
      <c r="L2199" s="42"/>
      <c r="M2199" s="42"/>
      <c r="N2199" s="25"/>
      <c r="O2199" s="54"/>
      <c r="P2199"/>
      <c r="Q2199" s="25"/>
      <c r="R2199" s="54"/>
      <c r="W2199" s="23"/>
      <c r="X2199" s="23"/>
      <c r="Y2199" s="23"/>
      <c r="Z2199" s="43"/>
      <c r="AA2199" s="23"/>
      <c r="AB2199" s="23"/>
      <c r="AC2199" s="23"/>
      <c r="AD2199" s="23"/>
      <c r="AE2199" s="23"/>
      <c r="AF2199" s="23"/>
      <c r="AG2199" s="23"/>
      <c r="AH2199" s="23"/>
      <c r="AI2199" s="49"/>
    </row>
    <row r="2200" spans="1:35">
      <c r="A2200" s="23"/>
      <c r="B2200" s="42"/>
      <c r="C2200" s="49"/>
      <c r="E2200" s="49"/>
      <c r="G2200" s="43"/>
      <c r="H2200" s="44"/>
      <c r="L2200" s="42"/>
      <c r="M2200" s="42"/>
      <c r="N2200" s="25"/>
      <c r="O2200" s="54"/>
      <c r="P2200"/>
      <c r="Q2200" s="25"/>
      <c r="R2200" s="54"/>
      <c r="W2200" s="23"/>
      <c r="X2200" s="23"/>
      <c r="Y2200" s="23"/>
      <c r="Z2200" s="43"/>
      <c r="AA2200" s="23"/>
      <c r="AB2200" s="23"/>
      <c r="AC2200" s="23"/>
      <c r="AD2200" s="23"/>
      <c r="AE2200" s="23"/>
      <c r="AF2200" s="23"/>
      <c r="AG2200" s="23"/>
      <c r="AH2200" s="23"/>
      <c r="AI2200" s="49"/>
    </row>
    <row r="2201" spans="1:35">
      <c r="A2201" s="23"/>
      <c r="B2201" s="42"/>
      <c r="C2201" s="49"/>
      <c r="E2201" s="49"/>
      <c r="G2201" s="43"/>
      <c r="H2201" s="44"/>
      <c r="L2201" s="42"/>
      <c r="M2201" s="42"/>
      <c r="N2201" s="25"/>
      <c r="O2201" s="54"/>
      <c r="P2201"/>
      <c r="Q2201" s="25"/>
      <c r="R2201" s="54"/>
      <c r="W2201" s="23"/>
      <c r="X2201" s="23"/>
      <c r="Y2201" s="23"/>
      <c r="Z2201" s="43"/>
      <c r="AA2201" s="23"/>
      <c r="AB2201" s="23"/>
      <c r="AC2201" s="23"/>
      <c r="AD2201" s="23"/>
      <c r="AE2201" s="23"/>
      <c r="AF2201" s="23"/>
      <c r="AG2201" s="23"/>
      <c r="AH2201" s="23"/>
      <c r="AI2201" s="49"/>
    </row>
    <row r="2202" spans="1:35">
      <c r="A2202" s="23"/>
      <c r="B2202" s="42"/>
      <c r="C2202" s="49"/>
      <c r="E2202" s="49"/>
      <c r="G2202" s="43"/>
      <c r="H2202" s="44"/>
      <c r="L2202" s="42"/>
      <c r="M2202" s="42"/>
      <c r="N2202" s="25"/>
      <c r="O2202" s="54"/>
      <c r="P2202"/>
      <c r="Q2202" s="25"/>
      <c r="R2202" s="54"/>
      <c r="W2202" s="23"/>
      <c r="X2202" s="23"/>
      <c r="Y2202" s="23"/>
      <c r="Z2202" s="43"/>
      <c r="AA2202" s="23"/>
      <c r="AB2202" s="23"/>
      <c r="AC2202" s="23"/>
      <c r="AD2202" s="23"/>
      <c r="AE2202" s="23"/>
      <c r="AF2202" s="23"/>
      <c r="AG2202" s="23"/>
      <c r="AH2202" s="23"/>
      <c r="AI2202" s="49"/>
    </row>
    <row r="2203" spans="1:35">
      <c r="A2203" s="23"/>
      <c r="B2203" s="42"/>
      <c r="C2203" s="49"/>
      <c r="E2203" s="49"/>
      <c r="G2203" s="43"/>
      <c r="H2203" s="44"/>
      <c r="L2203" s="42"/>
      <c r="M2203" s="42"/>
      <c r="N2203" s="25"/>
      <c r="O2203" s="54"/>
      <c r="P2203"/>
      <c r="Q2203" s="25"/>
      <c r="R2203" s="54"/>
      <c r="W2203" s="23"/>
      <c r="X2203" s="23"/>
      <c r="Y2203" s="23"/>
      <c r="Z2203" s="43"/>
      <c r="AA2203" s="23"/>
      <c r="AB2203" s="23"/>
      <c r="AC2203" s="23"/>
      <c r="AD2203" s="23"/>
      <c r="AE2203" s="23"/>
      <c r="AF2203" s="23"/>
      <c r="AG2203" s="23"/>
      <c r="AH2203" s="23"/>
      <c r="AI2203" s="49"/>
    </row>
    <row r="2204" spans="1:35">
      <c r="A2204" s="23"/>
      <c r="B2204" s="42"/>
      <c r="C2204" s="49"/>
      <c r="E2204" s="49"/>
      <c r="G2204" s="43"/>
      <c r="H2204" s="44"/>
      <c r="L2204" s="42"/>
      <c r="M2204" s="42"/>
      <c r="N2204" s="25"/>
      <c r="O2204" s="54"/>
      <c r="P2204"/>
      <c r="Q2204" s="25"/>
      <c r="R2204" s="54"/>
      <c r="W2204" s="23"/>
      <c r="X2204" s="23"/>
      <c r="Y2204" s="23"/>
      <c r="Z2204" s="43"/>
      <c r="AA2204" s="23"/>
      <c r="AB2204" s="23"/>
      <c r="AC2204" s="23"/>
      <c r="AD2204" s="23"/>
      <c r="AE2204" s="23"/>
      <c r="AF2204" s="23"/>
      <c r="AG2204" s="23"/>
      <c r="AH2204" s="23"/>
      <c r="AI2204" s="49"/>
    </row>
    <row r="2205" spans="1:35">
      <c r="A2205" s="23"/>
      <c r="B2205" s="42"/>
      <c r="C2205" s="49"/>
      <c r="E2205" s="49"/>
      <c r="G2205" s="43"/>
      <c r="H2205" s="44"/>
      <c r="L2205" s="42"/>
      <c r="M2205" s="42"/>
      <c r="N2205" s="25"/>
      <c r="O2205" s="54"/>
      <c r="P2205"/>
      <c r="Q2205" s="25"/>
      <c r="R2205" s="54"/>
      <c r="W2205" s="23"/>
      <c r="X2205" s="23"/>
      <c r="Y2205" s="23"/>
      <c r="Z2205" s="43"/>
      <c r="AA2205" s="23"/>
      <c r="AB2205" s="23"/>
      <c r="AC2205" s="23"/>
      <c r="AD2205" s="23"/>
      <c r="AE2205" s="23"/>
      <c r="AF2205" s="23"/>
      <c r="AG2205" s="23"/>
      <c r="AH2205" s="23"/>
      <c r="AI2205" s="49"/>
    </row>
    <row r="2206" spans="1:35">
      <c r="A2206" s="23"/>
      <c r="B2206" s="42"/>
      <c r="C2206" s="49"/>
      <c r="E2206" s="49"/>
      <c r="G2206" s="43"/>
      <c r="H2206" s="44"/>
      <c r="L2206" s="42"/>
      <c r="M2206" s="42"/>
      <c r="N2206" s="25"/>
      <c r="O2206" s="54"/>
      <c r="P2206"/>
      <c r="Q2206" s="25"/>
      <c r="R2206" s="54"/>
      <c r="W2206" s="23"/>
      <c r="X2206" s="23"/>
      <c r="Y2206" s="23"/>
      <c r="Z2206" s="43"/>
      <c r="AA2206" s="23"/>
      <c r="AB2206" s="23"/>
      <c r="AC2206" s="23"/>
      <c r="AD2206" s="23"/>
      <c r="AE2206" s="23"/>
      <c r="AF2206" s="23"/>
      <c r="AG2206" s="23"/>
      <c r="AH2206" s="23"/>
      <c r="AI2206" s="49"/>
    </row>
    <row r="2207" spans="1:35">
      <c r="A2207" s="23"/>
      <c r="B2207" s="42"/>
      <c r="C2207" s="49"/>
      <c r="E2207" s="49"/>
      <c r="G2207" s="43"/>
      <c r="H2207" s="44"/>
      <c r="L2207" s="42"/>
      <c r="M2207" s="42"/>
      <c r="N2207" s="25"/>
      <c r="O2207" s="54"/>
      <c r="P2207"/>
      <c r="Q2207" s="25"/>
      <c r="R2207" s="54"/>
      <c r="W2207" s="23"/>
      <c r="X2207" s="23"/>
      <c r="Y2207" s="23"/>
      <c r="Z2207" s="43"/>
      <c r="AA2207" s="23"/>
      <c r="AB2207" s="23"/>
      <c r="AC2207" s="23"/>
      <c r="AD2207" s="23"/>
      <c r="AE2207" s="23"/>
      <c r="AF2207" s="23"/>
      <c r="AG2207" s="23"/>
      <c r="AH2207" s="23"/>
      <c r="AI2207" s="49"/>
    </row>
    <row r="2208" spans="1:35">
      <c r="A2208" s="23"/>
      <c r="B2208" s="42"/>
      <c r="C2208" s="49"/>
      <c r="E2208" s="49"/>
      <c r="G2208" s="43"/>
      <c r="H2208" s="44"/>
      <c r="L2208" s="42"/>
      <c r="M2208" s="42"/>
      <c r="N2208" s="25"/>
      <c r="O2208" s="54"/>
      <c r="P2208"/>
      <c r="Q2208" s="25"/>
      <c r="R2208" s="54"/>
      <c r="W2208" s="23"/>
      <c r="X2208" s="23"/>
      <c r="Y2208" s="23"/>
      <c r="Z2208" s="43"/>
      <c r="AA2208" s="23"/>
      <c r="AB2208" s="23"/>
      <c r="AC2208" s="23"/>
      <c r="AD2208" s="23"/>
      <c r="AE2208" s="23"/>
      <c r="AF2208" s="23"/>
      <c r="AG2208" s="23"/>
      <c r="AH2208" s="23"/>
      <c r="AI2208" s="49"/>
    </row>
    <row r="2209" spans="1:35">
      <c r="A2209" s="23"/>
      <c r="B2209" s="42"/>
      <c r="C2209" s="49"/>
      <c r="E2209" s="49"/>
      <c r="G2209" s="43"/>
      <c r="H2209" s="44"/>
      <c r="L2209" s="42"/>
      <c r="M2209" s="42"/>
      <c r="N2209" s="25"/>
      <c r="O2209" s="54"/>
      <c r="P2209"/>
      <c r="Q2209" s="25"/>
      <c r="R2209" s="54"/>
      <c r="W2209" s="23"/>
      <c r="X2209" s="23"/>
      <c r="Y2209" s="23"/>
      <c r="Z2209" s="43"/>
      <c r="AA2209" s="23"/>
      <c r="AB2209" s="23"/>
      <c r="AC2209" s="23"/>
      <c r="AD2209" s="23"/>
      <c r="AE2209" s="23"/>
      <c r="AF2209" s="23"/>
      <c r="AG2209" s="23"/>
      <c r="AH2209" s="23"/>
      <c r="AI2209" s="49"/>
    </row>
    <row r="2210" spans="1:35">
      <c r="A2210" s="23"/>
      <c r="B2210" s="42"/>
      <c r="C2210" s="49"/>
      <c r="E2210" s="49"/>
      <c r="G2210" s="43"/>
      <c r="H2210" s="44"/>
      <c r="L2210" s="42"/>
      <c r="M2210" s="42"/>
      <c r="N2210" s="25"/>
      <c r="O2210" s="54"/>
      <c r="P2210"/>
      <c r="Q2210" s="25"/>
      <c r="R2210" s="54"/>
      <c r="W2210" s="23"/>
      <c r="X2210" s="23"/>
      <c r="Y2210" s="23"/>
      <c r="Z2210" s="43"/>
      <c r="AA2210" s="23"/>
      <c r="AB2210" s="23"/>
      <c r="AC2210" s="23"/>
      <c r="AD2210" s="23"/>
      <c r="AE2210" s="23"/>
      <c r="AF2210" s="23"/>
      <c r="AG2210" s="23"/>
      <c r="AH2210" s="23"/>
      <c r="AI2210" s="49"/>
    </row>
    <row r="2211" spans="1:35">
      <c r="A2211" s="23"/>
      <c r="B2211" s="42"/>
      <c r="C2211" s="49"/>
      <c r="E2211" s="49"/>
      <c r="G2211" s="43"/>
      <c r="H2211" s="44"/>
      <c r="L2211" s="42"/>
      <c r="M2211" s="42"/>
      <c r="N2211" s="25"/>
      <c r="O2211" s="54"/>
      <c r="P2211"/>
      <c r="Q2211" s="25"/>
      <c r="R2211" s="54"/>
      <c r="W2211" s="23"/>
      <c r="X2211" s="23"/>
      <c r="Y2211" s="23"/>
      <c r="Z2211" s="43"/>
      <c r="AA2211" s="23"/>
      <c r="AB2211" s="23"/>
      <c r="AC2211" s="23"/>
      <c r="AD2211" s="23"/>
      <c r="AE2211" s="23"/>
      <c r="AF2211" s="23"/>
      <c r="AG2211" s="23"/>
      <c r="AH2211" s="23"/>
      <c r="AI2211" s="49"/>
    </row>
    <row r="2212" spans="1:35">
      <c r="A2212" s="23"/>
      <c r="B2212" s="42"/>
      <c r="C2212" s="49"/>
      <c r="E2212" s="49"/>
      <c r="G2212" s="43"/>
      <c r="H2212" s="44"/>
      <c r="L2212" s="42"/>
      <c r="M2212" s="42"/>
      <c r="N2212" s="25"/>
      <c r="O2212" s="54"/>
      <c r="P2212"/>
      <c r="Q2212" s="25"/>
      <c r="R2212" s="54"/>
      <c r="W2212" s="23"/>
      <c r="X2212" s="23"/>
      <c r="Y2212" s="23"/>
      <c r="Z2212" s="43"/>
      <c r="AA2212" s="23"/>
      <c r="AB2212" s="23"/>
      <c r="AC2212" s="23"/>
      <c r="AD2212" s="23"/>
      <c r="AE2212" s="23"/>
      <c r="AF2212" s="23"/>
      <c r="AG2212" s="23"/>
      <c r="AH2212" s="23"/>
      <c r="AI2212" s="49"/>
    </row>
    <row r="2213" spans="1:35">
      <c r="A2213" s="23"/>
      <c r="B2213" s="42"/>
      <c r="C2213" s="49"/>
      <c r="E2213" s="49"/>
      <c r="G2213" s="43"/>
      <c r="H2213" s="44"/>
      <c r="L2213" s="42"/>
      <c r="M2213" s="42"/>
      <c r="N2213" s="25"/>
      <c r="O2213" s="54"/>
      <c r="P2213"/>
      <c r="Q2213" s="25"/>
      <c r="R2213" s="54"/>
      <c r="W2213" s="23"/>
      <c r="X2213" s="23"/>
      <c r="Y2213" s="23"/>
      <c r="Z2213" s="43"/>
      <c r="AA2213" s="23"/>
      <c r="AB2213" s="23"/>
      <c r="AC2213" s="23"/>
      <c r="AD2213" s="23"/>
      <c r="AE2213" s="23"/>
      <c r="AF2213" s="23"/>
      <c r="AG2213" s="23"/>
      <c r="AH2213" s="23"/>
      <c r="AI2213" s="49"/>
    </row>
    <row r="2214" spans="1:35">
      <c r="A2214" s="23"/>
      <c r="B2214" s="42"/>
      <c r="C2214" s="49"/>
      <c r="E2214" s="49"/>
      <c r="G2214" s="43"/>
      <c r="H2214" s="44"/>
      <c r="L2214" s="42"/>
      <c r="M2214" s="42"/>
      <c r="N2214" s="25"/>
      <c r="O2214" s="54"/>
      <c r="P2214"/>
      <c r="Q2214" s="25"/>
      <c r="R2214" s="54"/>
      <c r="W2214" s="23"/>
      <c r="X2214" s="23"/>
      <c r="Y2214" s="23"/>
      <c r="Z2214" s="43"/>
      <c r="AA2214" s="23"/>
      <c r="AB2214" s="23"/>
      <c r="AC2214" s="23"/>
      <c r="AD2214" s="23"/>
      <c r="AE2214" s="23"/>
      <c r="AF2214" s="23"/>
      <c r="AG2214" s="23"/>
      <c r="AH2214" s="23"/>
      <c r="AI2214" s="49"/>
    </row>
    <row r="2215" spans="1:35">
      <c r="A2215" s="23"/>
      <c r="B2215" s="42"/>
      <c r="C2215" s="49"/>
      <c r="E2215" s="49"/>
      <c r="G2215" s="43"/>
      <c r="H2215" s="44"/>
      <c r="L2215" s="42"/>
      <c r="M2215" s="42"/>
      <c r="N2215" s="25"/>
      <c r="O2215" s="54"/>
      <c r="P2215"/>
      <c r="Q2215" s="25"/>
      <c r="R2215" s="54"/>
      <c r="W2215" s="23"/>
      <c r="X2215" s="23"/>
      <c r="Y2215" s="23"/>
      <c r="Z2215" s="43"/>
      <c r="AA2215" s="23"/>
      <c r="AB2215" s="23"/>
      <c r="AC2215" s="23"/>
      <c r="AD2215" s="23"/>
      <c r="AE2215" s="23"/>
      <c r="AF2215" s="23"/>
      <c r="AG2215" s="23"/>
      <c r="AH2215" s="23"/>
      <c r="AI2215" s="49"/>
    </row>
    <row r="2216" spans="1:35">
      <c r="A2216" s="23"/>
      <c r="B2216" s="42"/>
      <c r="C2216" s="49"/>
      <c r="E2216" s="49"/>
      <c r="G2216" s="43"/>
      <c r="H2216" s="44"/>
      <c r="L2216" s="42"/>
      <c r="M2216" s="42"/>
      <c r="N2216" s="25"/>
      <c r="O2216" s="54"/>
      <c r="P2216"/>
      <c r="Q2216" s="25"/>
      <c r="R2216" s="54"/>
      <c r="W2216" s="23"/>
      <c r="X2216" s="23"/>
      <c r="Y2216" s="23"/>
      <c r="Z2216" s="43"/>
      <c r="AA2216" s="23"/>
      <c r="AB2216" s="23"/>
      <c r="AC2216" s="23"/>
      <c r="AD2216" s="23"/>
      <c r="AE2216" s="23"/>
      <c r="AF2216" s="23"/>
      <c r="AG2216" s="23"/>
      <c r="AH2216" s="23"/>
      <c r="AI2216" s="49"/>
    </row>
    <row r="2217" spans="1:35">
      <c r="A2217" s="23"/>
      <c r="B2217" s="42"/>
      <c r="C2217" s="49"/>
      <c r="E2217" s="49"/>
      <c r="G2217" s="43"/>
      <c r="H2217" s="44"/>
      <c r="L2217" s="42"/>
      <c r="M2217" s="42"/>
      <c r="N2217" s="25"/>
      <c r="O2217" s="54"/>
      <c r="P2217"/>
      <c r="Q2217" s="25"/>
      <c r="R2217" s="54"/>
      <c r="W2217" s="23"/>
      <c r="X2217" s="23"/>
      <c r="Y2217" s="23"/>
      <c r="Z2217" s="43"/>
      <c r="AA2217" s="23"/>
      <c r="AB2217" s="23"/>
      <c r="AC2217" s="23"/>
      <c r="AD2217" s="23"/>
      <c r="AE2217" s="23"/>
      <c r="AF2217" s="23"/>
      <c r="AG2217" s="23"/>
      <c r="AH2217" s="23"/>
      <c r="AI2217" s="49"/>
    </row>
    <row r="2218" spans="1:35">
      <c r="A2218" s="23"/>
      <c r="B2218" s="42"/>
      <c r="C2218" s="49"/>
      <c r="E2218" s="49"/>
      <c r="G2218" s="43"/>
      <c r="H2218" s="44"/>
      <c r="L2218" s="42"/>
      <c r="M2218" s="42"/>
      <c r="N2218" s="25"/>
      <c r="O2218" s="54"/>
      <c r="P2218"/>
      <c r="Q2218" s="25"/>
      <c r="R2218" s="54"/>
      <c r="W2218" s="23"/>
      <c r="X2218" s="23"/>
      <c r="Y2218" s="23"/>
      <c r="Z2218" s="43"/>
      <c r="AA2218" s="23"/>
      <c r="AB2218" s="23"/>
      <c r="AC2218" s="23"/>
      <c r="AD2218" s="23"/>
      <c r="AE2218" s="23"/>
      <c r="AF2218" s="23"/>
      <c r="AG2218" s="23"/>
      <c r="AH2218" s="23"/>
      <c r="AI2218" s="49"/>
    </row>
    <row r="2219" spans="1:35">
      <c r="A2219" s="23"/>
      <c r="B2219" s="42"/>
      <c r="C2219" s="49"/>
      <c r="E2219" s="49"/>
      <c r="G2219" s="43"/>
      <c r="H2219" s="44"/>
      <c r="L2219" s="42"/>
      <c r="M2219" s="42"/>
      <c r="N2219" s="25"/>
      <c r="O2219" s="54"/>
      <c r="P2219"/>
      <c r="Q2219" s="25"/>
      <c r="R2219" s="54"/>
      <c r="W2219" s="23"/>
      <c r="X2219" s="23"/>
      <c r="Y2219" s="23"/>
      <c r="Z2219" s="43"/>
      <c r="AA2219" s="23"/>
      <c r="AB2219" s="23"/>
      <c r="AC2219" s="23"/>
      <c r="AD2219" s="23"/>
      <c r="AE2219" s="23"/>
      <c r="AF2219" s="23"/>
      <c r="AG2219" s="23"/>
      <c r="AH2219" s="23"/>
      <c r="AI2219" s="49"/>
    </row>
    <row r="2220" spans="1:35">
      <c r="A2220" s="23"/>
      <c r="B2220" s="42"/>
      <c r="C2220" s="49"/>
      <c r="E2220" s="49"/>
      <c r="G2220" s="43"/>
      <c r="H2220" s="44"/>
      <c r="L2220" s="42"/>
      <c r="M2220" s="42"/>
      <c r="N2220" s="25"/>
      <c r="O2220" s="54"/>
      <c r="P2220"/>
      <c r="Q2220" s="25"/>
      <c r="R2220" s="54"/>
      <c r="W2220" s="23"/>
      <c r="X2220" s="23"/>
      <c r="Y2220" s="23"/>
      <c r="Z2220" s="43"/>
      <c r="AA2220" s="23"/>
      <c r="AB2220" s="23"/>
      <c r="AC2220" s="23"/>
      <c r="AD2220" s="23"/>
      <c r="AE2220" s="23"/>
      <c r="AF2220" s="23"/>
      <c r="AG2220" s="23"/>
      <c r="AH2220" s="23"/>
      <c r="AI2220" s="49"/>
    </row>
    <row r="2221" spans="1:35">
      <c r="B2221" s="42"/>
      <c r="G2221" s="43"/>
      <c r="H2221" s="44"/>
      <c r="L2221" s="42"/>
      <c r="M2221" s="42"/>
      <c r="N2221" s="25"/>
      <c r="O2221" s="54"/>
      <c r="P2221"/>
      <c r="Q2221" s="25"/>
      <c r="R2221" s="54"/>
      <c r="W2221" s="23"/>
      <c r="X2221" s="23"/>
      <c r="Y2221" s="23"/>
      <c r="Z2221" s="43"/>
      <c r="AA2221" s="23"/>
      <c r="AB2221" s="23"/>
      <c r="AC2221" s="23"/>
      <c r="AD2221" s="23"/>
      <c r="AE2221" s="23"/>
      <c r="AF2221" s="23"/>
      <c r="AG2221" s="23"/>
      <c r="AH2221" s="23"/>
    </row>
    <row r="2222" spans="1:35">
      <c r="A2222" s="23"/>
      <c r="B2222" s="42"/>
      <c r="C2222" s="49"/>
      <c r="E2222" s="49"/>
      <c r="G2222" s="43"/>
      <c r="H2222" s="44"/>
      <c r="L2222" s="42"/>
      <c r="M2222" s="42"/>
      <c r="N2222" s="25"/>
      <c r="O2222" s="54"/>
      <c r="P2222"/>
      <c r="Q2222" s="25"/>
      <c r="R2222" s="54"/>
      <c r="W2222" s="23"/>
      <c r="X2222" s="23"/>
      <c r="Y2222" s="23"/>
      <c r="Z2222" s="43"/>
      <c r="AA2222" s="23"/>
      <c r="AB2222" s="23"/>
      <c r="AC2222" s="23"/>
      <c r="AD2222" s="23"/>
      <c r="AE2222" s="23"/>
      <c r="AF2222" s="23"/>
      <c r="AG2222" s="23"/>
      <c r="AH2222" s="23"/>
      <c r="AI2222" s="49"/>
    </row>
    <row r="2223" spans="1:35">
      <c r="A2223" s="23"/>
      <c r="B2223" s="42"/>
      <c r="C2223" s="49"/>
      <c r="E2223" s="49"/>
      <c r="G2223" s="43"/>
      <c r="H2223" s="44"/>
      <c r="L2223" s="42"/>
      <c r="M2223" s="42"/>
      <c r="N2223" s="25"/>
      <c r="O2223" s="54"/>
      <c r="P2223"/>
      <c r="Q2223" s="25"/>
      <c r="R2223" s="54"/>
      <c r="W2223" s="23"/>
      <c r="X2223" s="23"/>
      <c r="Y2223" s="23"/>
      <c r="Z2223" s="43"/>
      <c r="AA2223" s="23"/>
      <c r="AB2223" s="23"/>
      <c r="AC2223" s="23"/>
      <c r="AD2223" s="23"/>
      <c r="AE2223" s="23"/>
      <c r="AF2223" s="23"/>
      <c r="AG2223" s="23"/>
      <c r="AH2223" s="23"/>
      <c r="AI2223" s="49"/>
    </row>
    <row r="2224" spans="1:35">
      <c r="A2224" s="23"/>
      <c r="B2224" s="42"/>
      <c r="C2224" s="49"/>
      <c r="E2224" s="49"/>
      <c r="G2224" s="43"/>
      <c r="H2224" s="44"/>
      <c r="L2224" s="42"/>
      <c r="M2224" s="42"/>
      <c r="N2224" s="25"/>
      <c r="O2224" s="54"/>
      <c r="P2224"/>
      <c r="Q2224" s="25"/>
      <c r="R2224" s="54"/>
      <c r="W2224" s="23"/>
      <c r="X2224" s="23"/>
      <c r="Y2224" s="23"/>
      <c r="Z2224" s="43"/>
      <c r="AA2224" s="23"/>
      <c r="AB2224" s="23"/>
      <c r="AC2224" s="23"/>
      <c r="AD2224" s="23"/>
      <c r="AE2224" s="23"/>
      <c r="AF2224" s="23"/>
      <c r="AG2224" s="23"/>
      <c r="AH2224" s="23"/>
      <c r="AI2224" s="49"/>
    </row>
    <row r="2225" spans="1:35">
      <c r="A2225" s="23"/>
      <c r="B2225" s="42"/>
      <c r="C2225" s="49"/>
      <c r="E2225" s="49"/>
      <c r="G2225" s="43"/>
      <c r="H2225" s="44"/>
      <c r="L2225" s="42"/>
      <c r="M2225" s="42"/>
      <c r="N2225" s="25"/>
      <c r="O2225" s="54"/>
      <c r="P2225"/>
      <c r="Q2225" s="25"/>
      <c r="R2225" s="54"/>
      <c r="W2225" s="23"/>
      <c r="X2225" s="23"/>
      <c r="Y2225" s="23"/>
      <c r="Z2225" s="43"/>
      <c r="AA2225" s="23"/>
      <c r="AB2225" s="23"/>
      <c r="AC2225" s="23"/>
      <c r="AD2225" s="23"/>
      <c r="AE2225" s="23"/>
      <c r="AF2225" s="23"/>
      <c r="AG2225" s="23"/>
      <c r="AH2225" s="23"/>
      <c r="AI2225" s="49"/>
    </row>
    <row r="2226" spans="1:35">
      <c r="A2226" s="23"/>
      <c r="B2226" s="42"/>
      <c r="C2226" s="49"/>
      <c r="E2226" s="49"/>
      <c r="G2226" s="43"/>
      <c r="H2226" s="44"/>
      <c r="L2226" s="42"/>
      <c r="M2226" s="42"/>
      <c r="N2226" s="25"/>
      <c r="O2226" s="54"/>
      <c r="P2226"/>
      <c r="Q2226" s="25"/>
      <c r="R2226" s="54"/>
      <c r="W2226" s="23"/>
      <c r="X2226" s="23"/>
      <c r="Y2226" s="23"/>
      <c r="Z2226" s="43"/>
      <c r="AA2226" s="23"/>
      <c r="AB2226" s="23"/>
      <c r="AC2226" s="23"/>
      <c r="AD2226" s="23"/>
      <c r="AE2226" s="23"/>
      <c r="AF2226" s="23"/>
      <c r="AG2226" s="23"/>
      <c r="AH2226" s="23"/>
      <c r="AI2226" s="49"/>
    </row>
    <row r="2227" spans="1:35">
      <c r="A2227" s="23"/>
      <c r="B2227" s="42"/>
      <c r="C2227" s="49"/>
      <c r="E2227" s="49"/>
      <c r="G2227" s="43"/>
      <c r="H2227" s="44"/>
      <c r="L2227" s="42"/>
      <c r="M2227" s="42"/>
      <c r="N2227" s="25"/>
      <c r="O2227" s="54"/>
      <c r="P2227"/>
      <c r="Q2227" s="25"/>
      <c r="R2227" s="54"/>
      <c r="W2227" s="23"/>
      <c r="X2227" s="23"/>
      <c r="Y2227" s="23"/>
      <c r="Z2227" s="43"/>
      <c r="AA2227" s="23"/>
      <c r="AB2227" s="23"/>
      <c r="AC2227" s="23"/>
      <c r="AD2227" s="23"/>
      <c r="AE2227" s="23"/>
      <c r="AF2227" s="23"/>
      <c r="AG2227" s="23"/>
      <c r="AH2227" s="23"/>
      <c r="AI2227" s="49"/>
    </row>
    <row r="2228" spans="1:35">
      <c r="A2228" s="23"/>
      <c r="B2228" s="42"/>
      <c r="C2228" s="49"/>
      <c r="E2228" s="49"/>
      <c r="G2228" s="43"/>
      <c r="H2228" s="44"/>
      <c r="L2228" s="42"/>
      <c r="M2228" s="42"/>
      <c r="N2228" s="25"/>
      <c r="O2228" s="54"/>
      <c r="P2228"/>
      <c r="Q2228" s="25"/>
      <c r="R2228" s="54"/>
      <c r="W2228" s="23"/>
      <c r="X2228" s="23"/>
      <c r="Y2228" s="23"/>
      <c r="Z2228" s="43"/>
      <c r="AA2228" s="23"/>
      <c r="AB2228" s="23"/>
      <c r="AC2228" s="23"/>
      <c r="AD2228" s="23"/>
      <c r="AE2228" s="23"/>
      <c r="AF2228" s="23"/>
      <c r="AG2228" s="23"/>
      <c r="AH2228" s="23"/>
      <c r="AI2228" s="49"/>
    </row>
    <row r="2229" spans="1:35">
      <c r="A2229" s="23"/>
      <c r="B2229" s="42"/>
      <c r="C2229" s="49"/>
      <c r="E2229" s="49"/>
      <c r="G2229" s="43"/>
      <c r="H2229" s="44"/>
      <c r="L2229" s="42"/>
      <c r="M2229" s="42"/>
      <c r="N2229" s="25"/>
      <c r="O2229" s="54"/>
      <c r="P2229"/>
      <c r="Q2229" s="25"/>
      <c r="R2229" s="54"/>
      <c r="W2229" s="23"/>
      <c r="X2229" s="23"/>
      <c r="Y2229" s="23"/>
      <c r="Z2229" s="43"/>
      <c r="AA2229" s="23"/>
      <c r="AB2229" s="23"/>
      <c r="AC2229" s="23"/>
      <c r="AD2229" s="23"/>
      <c r="AE2229" s="23"/>
      <c r="AF2229" s="23"/>
      <c r="AG2229" s="23"/>
      <c r="AH2229" s="23"/>
      <c r="AI2229" s="49"/>
    </row>
    <row r="2230" spans="1:35">
      <c r="A2230" s="23"/>
      <c r="B2230" s="42"/>
      <c r="C2230" s="49"/>
      <c r="E2230" s="49"/>
      <c r="G2230" s="43"/>
      <c r="H2230" s="44"/>
      <c r="L2230" s="42"/>
      <c r="M2230" s="42"/>
      <c r="N2230" s="25"/>
      <c r="O2230" s="54"/>
      <c r="P2230"/>
      <c r="Q2230" s="25"/>
      <c r="R2230" s="54"/>
      <c r="W2230" s="23"/>
      <c r="X2230" s="23"/>
      <c r="Y2230" s="23"/>
      <c r="Z2230" s="43"/>
      <c r="AA2230" s="23"/>
      <c r="AB2230" s="23"/>
      <c r="AC2230" s="23"/>
      <c r="AD2230" s="23"/>
      <c r="AE2230" s="23"/>
      <c r="AF2230" s="23"/>
      <c r="AG2230" s="23"/>
      <c r="AH2230" s="23"/>
      <c r="AI2230" s="49"/>
    </row>
    <row r="2231" spans="1:35">
      <c r="A2231" s="23"/>
      <c r="B2231" s="42"/>
      <c r="C2231" s="49"/>
      <c r="E2231" s="49"/>
      <c r="G2231" s="43"/>
      <c r="H2231" s="44"/>
      <c r="L2231" s="42"/>
      <c r="M2231" s="42"/>
      <c r="N2231" s="25"/>
      <c r="O2231" s="54"/>
      <c r="P2231"/>
      <c r="Q2231" s="25"/>
      <c r="R2231" s="54"/>
      <c r="W2231" s="23"/>
      <c r="X2231" s="23"/>
      <c r="Y2231" s="23"/>
      <c r="Z2231" s="43"/>
      <c r="AA2231" s="23"/>
      <c r="AB2231" s="23"/>
      <c r="AC2231" s="23"/>
      <c r="AD2231" s="23"/>
      <c r="AE2231" s="23"/>
      <c r="AF2231" s="23"/>
      <c r="AG2231" s="23"/>
      <c r="AH2231" s="23"/>
      <c r="AI2231" s="49"/>
    </row>
    <row r="2232" spans="1:35">
      <c r="A2232" s="23"/>
      <c r="B2232" s="42"/>
      <c r="C2232" s="49"/>
      <c r="E2232" s="49"/>
      <c r="G2232" s="43"/>
      <c r="H2232" s="44"/>
      <c r="L2232" s="42"/>
      <c r="M2232" s="42"/>
      <c r="N2232" s="25"/>
      <c r="O2232" s="54"/>
      <c r="P2232"/>
      <c r="Q2232" s="25"/>
      <c r="R2232" s="54"/>
      <c r="W2232" s="23"/>
      <c r="X2232" s="23"/>
      <c r="Y2232" s="23"/>
      <c r="Z2232" s="43"/>
      <c r="AA2232" s="23"/>
      <c r="AB2232" s="23"/>
      <c r="AC2232" s="23"/>
      <c r="AD2232" s="23"/>
      <c r="AE2232" s="23"/>
      <c r="AF2232" s="23"/>
      <c r="AG2232" s="23"/>
      <c r="AH2232" s="23"/>
      <c r="AI2232" s="49"/>
    </row>
    <row r="2233" spans="1:35">
      <c r="A2233" s="23"/>
      <c r="B2233" s="42"/>
      <c r="C2233" s="49"/>
      <c r="E2233" s="49"/>
      <c r="G2233" s="43"/>
      <c r="H2233" s="44"/>
      <c r="L2233" s="42"/>
      <c r="M2233" s="42"/>
      <c r="N2233" s="25"/>
      <c r="O2233" s="54"/>
      <c r="P2233"/>
      <c r="Q2233" s="25"/>
      <c r="R2233" s="54"/>
      <c r="W2233" s="23"/>
      <c r="X2233" s="23"/>
      <c r="Y2233" s="23"/>
      <c r="Z2233" s="43"/>
      <c r="AA2233" s="23"/>
      <c r="AB2233" s="23"/>
      <c r="AC2233" s="23"/>
      <c r="AD2233" s="23"/>
      <c r="AE2233" s="23"/>
      <c r="AF2233" s="23"/>
      <c r="AG2233" s="23"/>
      <c r="AH2233" s="23"/>
      <c r="AI2233" s="49"/>
    </row>
    <row r="2234" spans="1:35">
      <c r="A2234" s="23"/>
      <c r="B2234" s="42"/>
      <c r="C2234" s="49"/>
      <c r="E2234" s="49"/>
      <c r="G2234" s="43"/>
      <c r="H2234" s="44"/>
      <c r="L2234" s="42"/>
      <c r="M2234" s="42"/>
      <c r="N2234" s="25"/>
      <c r="O2234" s="54"/>
      <c r="P2234"/>
      <c r="Q2234" s="25"/>
      <c r="R2234" s="54"/>
      <c r="W2234" s="23"/>
      <c r="X2234" s="23"/>
      <c r="Y2234" s="23"/>
      <c r="Z2234" s="43"/>
      <c r="AA2234" s="23"/>
      <c r="AB2234" s="23"/>
      <c r="AC2234" s="23"/>
      <c r="AD2234" s="23"/>
      <c r="AE2234" s="23"/>
      <c r="AF2234" s="23"/>
      <c r="AG2234" s="23"/>
      <c r="AH2234" s="23"/>
      <c r="AI2234" s="49"/>
    </row>
    <row r="2235" spans="1:35">
      <c r="A2235" s="23"/>
      <c r="B2235" s="42"/>
      <c r="C2235" s="49"/>
      <c r="E2235" s="49"/>
      <c r="G2235" s="43"/>
      <c r="H2235" s="44"/>
      <c r="L2235" s="42"/>
      <c r="M2235" s="42"/>
      <c r="N2235" s="25"/>
      <c r="O2235" s="54"/>
      <c r="P2235"/>
      <c r="Q2235" s="25"/>
      <c r="R2235" s="54"/>
      <c r="W2235" s="23"/>
      <c r="X2235" s="23"/>
      <c r="Y2235" s="23"/>
      <c r="Z2235" s="43"/>
      <c r="AA2235" s="23"/>
      <c r="AB2235" s="23"/>
      <c r="AC2235" s="23"/>
      <c r="AD2235" s="23"/>
      <c r="AE2235" s="23"/>
      <c r="AF2235" s="23"/>
      <c r="AG2235" s="23"/>
      <c r="AH2235" s="23"/>
      <c r="AI2235" s="49"/>
    </row>
    <row r="2236" spans="1:35">
      <c r="A2236" s="23"/>
      <c r="B2236" s="42"/>
      <c r="C2236" s="49"/>
      <c r="E2236" s="49"/>
      <c r="G2236" s="43"/>
      <c r="H2236" s="44"/>
      <c r="L2236" s="42"/>
      <c r="M2236" s="42"/>
      <c r="N2236" s="25"/>
      <c r="O2236" s="54"/>
      <c r="P2236"/>
      <c r="Q2236" s="25"/>
      <c r="R2236" s="54"/>
      <c r="W2236" s="23"/>
      <c r="X2236" s="23"/>
      <c r="Y2236" s="23"/>
      <c r="Z2236" s="43"/>
      <c r="AA2236" s="23"/>
      <c r="AB2236" s="23"/>
      <c r="AC2236" s="23"/>
      <c r="AD2236" s="23"/>
      <c r="AE2236" s="23"/>
      <c r="AF2236" s="23"/>
      <c r="AG2236" s="23"/>
      <c r="AH2236" s="23"/>
      <c r="AI2236" s="49"/>
    </row>
    <row r="2237" spans="1:35">
      <c r="A2237" s="23"/>
      <c r="B2237" s="42"/>
      <c r="C2237" s="49"/>
      <c r="E2237" s="49"/>
      <c r="G2237" s="43"/>
      <c r="H2237" s="44"/>
      <c r="L2237" s="42"/>
      <c r="M2237" s="42"/>
      <c r="N2237" s="25"/>
      <c r="O2237" s="54"/>
      <c r="P2237"/>
      <c r="Q2237" s="25"/>
      <c r="R2237" s="54"/>
      <c r="W2237" s="23"/>
      <c r="X2237" s="23"/>
      <c r="Y2237" s="23"/>
      <c r="Z2237" s="43"/>
      <c r="AA2237" s="23"/>
      <c r="AB2237" s="23"/>
      <c r="AC2237" s="23"/>
      <c r="AD2237" s="23"/>
      <c r="AE2237" s="23"/>
      <c r="AF2237" s="23"/>
      <c r="AG2237" s="23"/>
      <c r="AH2237" s="23"/>
      <c r="AI2237" s="49"/>
    </row>
    <row r="2238" spans="1:35">
      <c r="A2238" s="23"/>
      <c r="B2238" s="42"/>
      <c r="C2238" s="49"/>
      <c r="E2238" s="49"/>
      <c r="G2238" s="43"/>
      <c r="H2238" s="44"/>
      <c r="L2238" s="42"/>
      <c r="M2238" s="42"/>
      <c r="N2238" s="25"/>
      <c r="O2238" s="54"/>
      <c r="P2238"/>
      <c r="Q2238" s="25"/>
      <c r="R2238" s="54"/>
      <c r="W2238" s="23"/>
      <c r="X2238" s="23"/>
      <c r="Y2238" s="23"/>
      <c r="Z2238" s="43"/>
      <c r="AA2238" s="23"/>
      <c r="AB2238" s="23"/>
      <c r="AC2238" s="23"/>
      <c r="AD2238" s="23"/>
      <c r="AE2238" s="23"/>
      <c r="AF2238" s="23"/>
      <c r="AG2238" s="23"/>
      <c r="AH2238" s="23"/>
      <c r="AI2238" s="49"/>
    </row>
    <row r="2239" spans="1:35">
      <c r="A2239" s="23"/>
      <c r="B2239" s="42"/>
      <c r="C2239" s="49"/>
      <c r="E2239" s="49"/>
      <c r="G2239" s="43"/>
      <c r="H2239" s="44"/>
      <c r="L2239" s="42"/>
      <c r="M2239" s="42"/>
      <c r="N2239" s="25"/>
      <c r="O2239" s="54"/>
      <c r="P2239"/>
      <c r="Q2239" s="25"/>
      <c r="R2239" s="54"/>
      <c r="W2239" s="23"/>
      <c r="X2239" s="23"/>
      <c r="Y2239" s="23"/>
      <c r="Z2239" s="43"/>
      <c r="AA2239" s="23"/>
      <c r="AB2239" s="23"/>
      <c r="AC2239" s="23"/>
      <c r="AD2239" s="23"/>
      <c r="AE2239" s="23"/>
      <c r="AF2239" s="23"/>
      <c r="AG2239" s="23"/>
      <c r="AH2239" s="23"/>
      <c r="AI2239" s="49"/>
    </row>
    <row r="2240" spans="1:35">
      <c r="A2240" s="23"/>
      <c r="B2240" s="42"/>
      <c r="C2240" s="49"/>
      <c r="E2240" s="49"/>
      <c r="G2240" s="43"/>
      <c r="H2240" s="44"/>
      <c r="L2240" s="42"/>
      <c r="M2240" s="42"/>
      <c r="N2240" s="25"/>
      <c r="O2240" s="54"/>
      <c r="P2240"/>
      <c r="Q2240" s="25"/>
      <c r="R2240" s="54"/>
      <c r="W2240" s="23"/>
      <c r="X2240" s="23"/>
      <c r="Y2240" s="23"/>
      <c r="Z2240" s="43"/>
      <c r="AA2240" s="23"/>
      <c r="AB2240" s="23"/>
      <c r="AC2240" s="23"/>
      <c r="AD2240" s="23"/>
      <c r="AE2240" s="23"/>
      <c r="AF2240" s="23"/>
      <c r="AG2240" s="23"/>
      <c r="AH2240" s="23"/>
      <c r="AI2240" s="49"/>
    </row>
    <row r="2241" spans="1:35">
      <c r="A2241" s="23"/>
      <c r="B2241" s="42"/>
      <c r="C2241" s="49"/>
      <c r="E2241" s="49"/>
      <c r="G2241" s="43"/>
      <c r="H2241" s="44"/>
      <c r="L2241" s="42"/>
      <c r="M2241" s="42"/>
      <c r="N2241" s="25"/>
      <c r="O2241" s="54"/>
      <c r="P2241"/>
      <c r="Q2241" s="25"/>
      <c r="R2241" s="54"/>
      <c r="W2241" s="23"/>
      <c r="X2241" s="23"/>
      <c r="Y2241" s="23"/>
      <c r="Z2241" s="43"/>
      <c r="AA2241" s="23"/>
      <c r="AB2241" s="23"/>
      <c r="AC2241" s="23"/>
      <c r="AD2241" s="23"/>
      <c r="AE2241" s="23"/>
      <c r="AF2241" s="23"/>
      <c r="AG2241" s="23"/>
      <c r="AH2241" s="23"/>
      <c r="AI2241" s="49"/>
    </row>
    <row r="2242" spans="1:35">
      <c r="A2242" s="23"/>
      <c r="B2242" s="42"/>
      <c r="C2242" s="49"/>
      <c r="E2242" s="49"/>
      <c r="G2242" s="43"/>
      <c r="H2242" s="44"/>
      <c r="L2242" s="42"/>
      <c r="M2242" s="42"/>
      <c r="N2242" s="25"/>
      <c r="O2242" s="54"/>
      <c r="P2242"/>
      <c r="Q2242" s="25"/>
      <c r="R2242" s="54"/>
      <c r="W2242" s="23"/>
      <c r="X2242" s="23"/>
      <c r="Y2242" s="23"/>
      <c r="Z2242" s="43"/>
      <c r="AA2242" s="23"/>
      <c r="AB2242" s="23"/>
      <c r="AC2242" s="23"/>
      <c r="AD2242" s="23"/>
      <c r="AE2242" s="23"/>
      <c r="AF2242" s="23"/>
      <c r="AG2242" s="23"/>
      <c r="AH2242" s="23"/>
      <c r="AI2242" s="49"/>
    </row>
    <row r="2243" spans="1:35">
      <c r="A2243" s="23"/>
      <c r="B2243" s="42"/>
      <c r="C2243" s="49"/>
      <c r="E2243" s="49"/>
      <c r="G2243" s="43"/>
      <c r="H2243" s="44"/>
      <c r="L2243" s="42"/>
      <c r="M2243" s="42"/>
      <c r="N2243" s="25"/>
      <c r="O2243" s="54"/>
      <c r="P2243"/>
      <c r="Q2243" s="25"/>
      <c r="R2243" s="54"/>
      <c r="W2243" s="23"/>
      <c r="X2243" s="23"/>
      <c r="Y2243" s="23"/>
      <c r="Z2243" s="43"/>
      <c r="AA2243" s="23"/>
      <c r="AB2243" s="23"/>
      <c r="AC2243" s="23"/>
      <c r="AD2243" s="23"/>
      <c r="AE2243" s="23"/>
      <c r="AF2243" s="23"/>
      <c r="AG2243" s="23"/>
      <c r="AH2243" s="23"/>
      <c r="AI2243" s="49"/>
    </row>
    <row r="2244" spans="1:35">
      <c r="A2244" s="23"/>
      <c r="B2244" s="42"/>
      <c r="C2244" s="49"/>
      <c r="E2244" s="49"/>
      <c r="G2244" s="43"/>
      <c r="H2244" s="44"/>
      <c r="L2244" s="42"/>
      <c r="M2244" s="42"/>
      <c r="N2244" s="25"/>
      <c r="O2244" s="54"/>
      <c r="P2244"/>
      <c r="Q2244" s="25"/>
      <c r="R2244" s="54"/>
      <c r="W2244" s="23"/>
      <c r="X2244" s="23"/>
      <c r="Y2244" s="23"/>
      <c r="Z2244" s="43"/>
      <c r="AA2244" s="23"/>
      <c r="AB2244" s="23"/>
      <c r="AC2244" s="23"/>
      <c r="AD2244" s="23"/>
      <c r="AE2244" s="23"/>
      <c r="AF2244" s="23"/>
      <c r="AG2244" s="23"/>
      <c r="AH2244" s="23"/>
      <c r="AI2244" s="49"/>
    </row>
    <row r="2245" spans="1:35">
      <c r="A2245" s="23"/>
      <c r="B2245" s="42"/>
      <c r="C2245" s="49"/>
      <c r="E2245" s="49"/>
      <c r="G2245" s="43"/>
      <c r="H2245" s="44"/>
      <c r="L2245" s="42"/>
      <c r="M2245" s="42"/>
      <c r="N2245" s="25"/>
      <c r="O2245" s="54"/>
      <c r="P2245"/>
      <c r="Q2245" s="25"/>
      <c r="R2245" s="54"/>
      <c r="W2245" s="23"/>
      <c r="X2245" s="23"/>
      <c r="Y2245" s="23"/>
      <c r="Z2245" s="43"/>
      <c r="AA2245" s="23"/>
      <c r="AB2245" s="23"/>
      <c r="AC2245" s="23"/>
      <c r="AD2245" s="23"/>
      <c r="AE2245" s="23"/>
      <c r="AF2245" s="23"/>
      <c r="AG2245" s="23"/>
      <c r="AH2245" s="23"/>
      <c r="AI2245" s="49"/>
    </row>
    <row r="2246" spans="1:35">
      <c r="A2246" s="23"/>
      <c r="B2246" s="42"/>
      <c r="C2246" s="49"/>
      <c r="E2246" s="49"/>
      <c r="G2246" s="43"/>
      <c r="H2246" s="44"/>
      <c r="L2246" s="42"/>
      <c r="M2246" s="42"/>
      <c r="N2246" s="25"/>
      <c r="O2246" s="54"/>
      <c r="P2246"/>
      <c r="Q2246" s="25"/>
      <c r="R2246" s="54"/>
      <c r="W2246" s="23"/>
      <c r="X2246" s="23"/>
      <c r="Y2246" s="23"/>
      <c r="Z2246" s="43"/>
      <c r="AA2246" s="23"/>
      <c r="AB2246" s="23"/>
      <c r="AC2246" s="23"/>
      <c r="AD2246" s="23"/>
      <c r="AE2246" s="23"/>
      <c r="AF2246" s="23"/>
      <c r="AG2246" s="23"/>
      <c r="AH2246" s="23"/>
      <c r="AI2246" s="49"/>
    </row>
    <row r="2247" spans="1:35">
      <c r="A2247" s="23"/>
      <c r="B2247" s="42"/>
      <c r="C2247" s="49"/>
      <c r="E2247" s="49"/>
      <c r="G2247" s="43"/>
      <c r="H2247" s="44"/>
      <c r="L2247" s="42"/>
      <c r="M2247" s="42"/>
      <c r="N2247" s="25"/>
      <c r="O2247" s="54"/>
      <c r="P2247"/>
      <c r="Q2247" s="25"/>
      <c r="R2247" s="54"/>
      <c r="W2247" s="23"/>
      <c r="X2247" s="23"/>
      <c r="Y2247" s="23"/>
      <c r="Z2247" s="43"/>
      <c r="AA2247" s="23"/>
      <c r="AB2247" s="23"/>
      <c r="AC2247" s="23"/>
      <c r="AD2247" s="23"/>
      <c r="AE2247" s="23"/>
      <c r="AF2247" s="23"/>
      <c r="AG2247" s="23"/>
      <c r="AH2247" s="23"/>
      <c r="AI2247" s="49"/>
    </row>
    <row r="2248" spans="1:35">
      <c r="A2248" s="23"/>
      <c r="B2248" s="42"/>
      <c r="C2248" s="49"/>
      <c r="E2248" s="49"/>
      <c r="G2248" s="43"/>
      <c r="H2248" s="44"/>
      <c r="L2248" s="42"/>
      <c r="M2248" s="42"/>
      <c r="N2248" s="25"/>
      <c r="O2248" s="54"/>
      <c r="P2248"/>
      <c r="Q2248" s="25"/>
      <c r="R2248" s="54"/>
      <c r="W2248" s="23"/>
      <c r="X2248" s="23"/>
      <c r="Y2248" s="23"/>
      <c r="Z2248" s="43"/>
      <c r="AA2248" s="23"/>
      <c r="AB2248" s="23"/>
      <c r="AC2248" s="23"/>
      <c r="AD2248" s="23"/>
      <c r="AE2248" s="23"/>
      <c r="AF2248" s="23"/>
      <c r="AG2248" s="23"/>
      <c r="AH2248" s="23"/>
      <c r="AI2248" s="49"/>
    </row>
    <row r="2249" spans="1:35">
      <c r="A2249" s="23"/>
      <c r="B2249" s="42"/>
      <c r="C2249" s="49"/>
      <c r="E2249" s="49"/>
      <c r="G2249" s="43"/>
      <c r="H2249" s="44"/>
      <c r="L2249" s="42"/>
      <c r="M2249" s="42"/>
      <c r="N2249" s="25"/>
      <c r="O2249" s="54"/>
      <c r="P2249"/>
      <c r="Q2249" s="25"/>
      <c r="R2249" s="54"/>
      <c r="W2249" s="23"/>
      <c r="X2249" s="23"/>
      <c r="Y2249" s="23"/>
      <c r="Z2249" s="43"/>
      <c r="AA2249" s="23"/>
      <c r="AB2249" s="23"/>
      <c r="AC2249" s="23"/>
      <c r="AD2249" s="23"/>
      <c r="AE2249" s="23"/>
      <c r="AF2249" s="23"/>
      <c r="AG2249" s="23"/>
      <c r="AH2249" s="23"/>
      <c r="AI2249" s="49"/>
    </row>
    <row r="2250" spans="1:35">
      <c r="A2250" s="23"/>
      <c r="B2250" s="42"/>
      <c r="C2250" s="49"/>
      <c r="E2250" s="49"/>
      <c r="G2250" s="43"/>
      <c r="H2250" s="44"/>
      <c r="L2250" s="42"/>
      <c r="M2250" s="42"/>
      <c r="N2250" s="25"/>
      <c r="O2250" s="54"/>
      <c r="P2250"/>
      <c r="Q2250" s="25"/>
      <c r="R2250" s="54"/>
      <c r="W2250" s="23"/>
      <c r="X2250" s="23"/>
      <c r="Y2250" s="23"/>
      <c r="Z2250" s="43"/>
      <c r="AA2250" s="23"/>
      <c r="AB2250" s="23"/>
      <c r="AC2250" s="23"/>
      <c r="AD2250" s="23"/>
      <c r="AE2250" s="23"/>
      <c r="AF2250" s="23"/>
      <c r="AG2250" s="23"/>
      <c r="AH2250" s="23"/>
      <c r="AI2250" s="49"/>
    </row>
    <row r="2251" spans="1:35">
      <c r="A2251" s="23"/>
      <c r="B2251" s="42"/>
      <c r="C2251" s="49"/>
      <c r="E2251" s="49"/>
      <c r="G2251" s="43"/>
      <c r="H2251" s="44"/>
      <c r="L2251" s="42"/>
      <c r="M2251" s="42"/>
      <c r="N2251" s="25"/>
      <c r="O2251" s="54"/>
      <c r="P2251"/>
      <c r="Q2251" s="25"/>
      <c r="R2251" s="54"/>
      <c r="W2251" s="23"/>
      <c r="X2251" s="23"/>
      <c r="Y2251" s="23"/>
      <c r="Z2251" s="43"/>
      <c r="AA2251" s="23"/>
      <c r="AB2251" s="23"/>
      <c r="AC2251" s="23"/>
      <c r="AD2251" s="23"/>
      <c r="AE2251" s="23"/>
      <c r="AF2251" s="23"/>
      <c r="AG2251" s="23"/>
      <c r="AH2251" s="23"/>
      <c r="AI2251" s="49"/>
    </row>
    <row r="2252" spans="1:35">
      <c r="A2252" s="23"/>
      <c r="B2252" s="42"/>
      <c r="C2252" s="49"/>
      <c r="E2252" s="49"/>
      <c r="G2252" s="43"/>
      <c r="H2252" s="44"/>
      <c r="L2252" s="42"/>
      <c r="M2252" s="42"/>
      <c r="N2252" s="25"/>
      <c r="O2252" s="54"/>
      <c r="P2252"/>
      <c r="Q2252" s="25"/>
      <c r="R2252" s="54"/>
      <c r="W2252" s="23"/>
      <c r="X2252" s="23"/>
      <c r="Y2252" s="23"/>
      <c r="Z2252" s="43"/>
      <c r="AA2252" s="23"/>
      <c r="AB2252" s="23"/>
      <c r="AC2252" s="23"/>
      <c r="AD2252" s="23"/>
      <c r="AE2252" s="23"/>
      <c r="AF2252" s="23"/>
      <c r="AG2252" s="23"/>
      <c r="AH2252" s="23"/>
      <c r="AI2252" s="49"/>
    </row>
    <row r="2253" spans="1:35">
      <c r="A2253" s="23"/>
      <c r="B2253" s="42"/>
      <c r="C2253" s="49"/>
      <c r="E2253" s="49"/>
      <c r="G2253" s="43"/>
      <c r="H2253" s="44"/>
      <c r="L2253" s="42"/>
      <c r="M2253" s="42"/>
      <c r="N2253" s="25"/>
      <c r="O2253" s="54"/>
      <c r="P2253"/>
      <c r="Q2253" s="25"/>
      <c r="R2253" s="54"/>
      <c r="W2253" s="23"/>
      <c r="X2253" s="23"/>
      <c r="Y2253" s="23"/>
      <c r="Z2253" s="43"/>
      <c r="AA2253" s="23"/>
      <c r="AB2253" s="23"/>
      <c r="AC2253" s="23"/>
      <c r="AD2253" s="23"/>
      <c r="AE2253" s="23"/>
      <c r="AF2253" s="23"/>
      <c r="AG2253" s="23"/>
      <c r="AH2253" s="23"/>
      <c r="AI2253" s="49"/>
    </row>
    <row r="2254" spans="1:35">
      <c r="A2254" s="23"/>
      <c r="B2254" s="42"/>
      <c r="C2254" s="49"/>
      <c r="E2254" s="49"/>
      <c r="G2254" s="43"/>
      <c r="H2254" s="44"/>
      <c r="L2254" s="42"/>
      <c r="M2254" s="42"/>
      <c r="N2254" s="25"/>
      <c r="O2254" s="54"/>
      <c r="P2254"/>
      <c r="Q2254" s="25"/>
      <c r="R2254" s="54"/>
      <c r="W2254" s="23"/>
      <c r="X2254" s="23"/>
      <c r="Y2254" s="23"/>
      <c r="Z2254" s="43"/>
      <c r="AA2254" s="23"/>
      <c r="AB2254" s="23"/>
      <c r="AC2254" s="23"/>
      <c r="AD2254" s="23"/>
      <c r="AE2254" s="23"/>
      <c r="AF2254" s="23"/>
      <c r="AG2254" s="23"/>
      <c r="AH2254" s="23"/>
      <c r="AI2254" s="49"/>
    </row>
    <row r="2255" spans="1:35">
      <c r="A2255" s="23"/>
      <c r="B2255" s="42"/>
      <c r="C2255" s="49"/>
      <c r="E2255" s="49"/>
      <c r="G2255" s="43"/>
      <c r="H2255" s="44"/>
      <c r="L2255" s="42"/>
      <c r="M2255" s="42"/>
      <c r="N2255" s="25"/>
      <c r="O2255" s="54"/>
      <c r="P2255"/>
      <c r="Q2255" s="25"/>
      <c r="R2255" s="54"/>
      <c r="W2255" s="23"/>
      <c r="X2255" s="23"/>
      <c r="Y2255" s="23"/>
      <c r="Z2255" s="43"/>
      <c r="AA2255" s="23"/>
      <c r="AB2255" s="23"/>
      <c r="AC2255" s="23"/>
      <c r="AD2255" s="23"/>
      <c r="AE2255" s="23"/>
      <c r="AF2255" s="23"/>
      <c r="AG2255" s="23"/>
      <c r="AH2255" s="23"/>
      <c r="AI2255" s="49"/>
    </row>
    <row r="2256" spans="1:35">
      <c r="A2256" s="23"/>
      <c r="B2256" s="42"/>
      <c r="C2256" s="49"/>
      <c r="E2256" s="49"/>
      <c r="G2256" s="43"/>
      <c r="H2256" s="44"/>
      <c r="L2256" s="42"/>
      <c r="M2256" s="42"/>
      <c r="N2256" s="25"/>
      <c r="O2256" s="54"/>
      <c r="P2256"/>
      <c r="Q2256" s="25"/>
      <c r="R2256" s="54"/>
      <c r="W2256" s="23"/>
      <c r="X2256" s="23"/>
      <c r="Y2256" s="23"/>
      <c r="Z2256" s="43"/>
      <c r="AA2256" s="23"/>
      <c r="AB2256" s="23"/>
      <c r="AC2256" s="23"/>
      <c r="AD2256" s="23"/>
      <c r="AE2256" s="23"/>
      <c r="AF2256" s="23"/>
      <c r="AG2256" s="23"/>
      <c r="AH2256" s="23"/>
      <c r="AI2256" s="49"/>
    </row>
    <row r="2257" spans="1:35">
      <c r="A2257" s="23"/>
      <c r="B2257" s="42"/>
      <c r="C2257" s="49"/>
      <c r="E2257" s="49"/>
      <c r="G2257" s="43"/>
      <c r="H2257" s="44"/>
      <c r="L2257" s="42"/>
      <c r="M2257" s="42"/>
      <c r="N2257" s="25"/>
      <c r="O2257" s="54"/>
      <c r="P2257"/>
      <c r="Q2257" s="25"/>
      <c r="R2257" s="54"/>
      <c r="W2257" s="23"/>
      <c r="X2257" s="23"/>
      <c r="Y2257" s="23"/>
      <c r="Z2257" s="43"/>
      <c r="AA2257" s="23"/>
      <c r="AB2257" s="23"/>
      <c r="AC2257" s="23"/>
      <c r="AD2257" s="23"/>
      <c r="AE2257" s="23"/>
      <c r="AF2257" s="23"/>
      <c r="AG2257" s="23"/>
      <c r="AH2257" s="23"/>
      <c r="AI2257" s="49"/>
    </row>
    <row r="2258" spans="1:35">
      <c r="A2258" s="23"/>
      <c r="B2258" s="42"/>
      <c r="C2258" s="49"/>
      <c r="E2258" s="49"/>
      <c r="G2258" s="43"/>
      <c r="H2258" s="44"/>
      <c r="L2258" s="42"/>
      <c r="M2258" s="42"/>
      <c r="N2258" s="25"/>
      <c r="O2258" s="54"/>
      <c r="P2258"/>
      <c r="Q2258" s="25"/>
      <c r="R2258" s="54"/>
      <c r="W2258" s="23"/>
      <c r="X2258" s="23"/>
      <c r="Y2258" s="23"/>
      <c r="Z2258" s="43"/>
      <c r="AA2258" s="23"/>
      <c r="AB2258" s="23"/>
      <c r="AC2258" s="23"/>
      <c r="AD2258" s="23"/>
      <c r="AE2258" s="23"/>
      <c r="AF2258" s="23"/>
      <c r="AG2258" s="23"/>
      <c r="AH2258" s="23"/>
      <c r="AI2258" s="49"/>
    </row>
    <row r="2259" spans="1:35">
      <c r="A2259" s="23"/>
      <c r="B2259" s="42"/>
      <c r="C2259" s="49"/>
      <c r="E2259" s="49"/>
      <c r="G2259" s="43"/>
      <c r="H2259" s="44"/>
      <c r="L2259" s="42"/>
      <c r="M2259" s="42"/>
      <c r="N2259" s="25"/>
      <c r="O2259" s="54"/>
      <c r="P2259"/>
      <c r="Q2259" s="25"/>
      <c r="R2259" s="54"/>
      <c r="W2259" s="23"/>
      <c r="X2259" s="23"/>
      <c r="Y2259" s="23"/>
      <c r="Z2259" s="43"/>
      <c r="AA2259" s="23"/>
      <c r="AB2259" s="23"/>
      <c r="AC2259" s="23"/>
      <c r="AD2259" s="23"/>
      <c r="AE2259" s="23"/>
      <c r="AF2259" s="23"/>
      <c r="AG2259" s="23"/>
      <c r="AH2259" s="23"/>
      <c r="AI2259" s="49"/>
    </row>
    <row r="2260" spans="1:35">
      <c r="A2260" s="23"/>
      <c r="B2260" s="42"/>
      <c r="C2260" s="49"/>
      <c r="E2260" s="49"/>
      <c r="G2260" s="43"/>
      <c r="H2260" s="44"/>
      <c r="L2260" s="42"/>
      <c r="M2260" s="42"/>
      <c r="N2260" s="25"/>
      <c r="O2260" s="54"/>
      <c r="P2260"/>
      <c r="Q2260" s="25"/>
      <c r="R2260" s="54"/>
      <c r="W2260" s="23"/>
      <c r="X2260" s="23"/>
      <c r="Y2260" s="23"/>
      <c r="Z2260" s="43"/>
      <c r="AA2260" s="23"/>
      <c r="AB2260" s="23"/>
      <c r="AC2260" s="23"/>
      <c r="AD2260" s="23"/>
      <c r="AE2260" s="23"/>
      <c r="AF2260" s="23"/>
      <c r="AG2260" s="23"/>
      <c r="AH2260" s="23"/>
      <c r="AI2260" s="49"/>
    </row>
    <row r="2261" spans="1:35">
      <c r="A2261" s="23"/>
      <c r="B2261" s="42"/>
      <c r="C2261" s="49"/>
      <c r="E2261" s="49"/>
      <c r="G2261" s="43"/>
      <c r="H2261" s="44"/>
      <c r="L2261" s="42"/>
      <c r="M2261" s="42"/>
      <c r="N2261" s="25"/>
      <c r="O2261" s="54"/>
      <c r="P2261"/>
      <c r="Q2261" s="25"/>
      <c r="R2261" s="54"/>
      <c r="W2261" s="23"/>
      <c r="X2261" s="23"/>
      <c r="Y2261" s="23"/>
      <c r="Z2261" s="43"/>
      <c r="AA2261" s="23"/>
      <c r="AB2261" s="23"/>
      <c r="AC2261" s="23"/>
      <c r="AD2261" s="23"/>
      <c r="AE2261" s="23"/>
      <c r="AF2261" s="23"/>
      <c r="AG2261" s="23"/>
      <c r="AH2261" s="23"/>
      <c r="AI2261" s="49"/>
    </row>
    <row r="2262" spans="1:35">
      <c r="A2262" s="23"/>
      <c r="B2262" s="42"/>
      <c r="C2262" s="49"/>
      <c r="E2262" s="49"/>
      <c r="G2262" s="43"/>
      <c r="H2262" s="44"/>
      <c r="L2262" s="42"/>
      <c r="M2262" s="42"/>
      <c r="N2262" s="25"/>
      <c r="O2262" s="54"/>
      <c r="P2262"/>
      <c r="Q2262" s="25"/>
      <c r="R2262" s="54"/>
      <c r="W2262" s="23"/>
      <c r="X2262" s="23"/>
      <c r="Y2262" s="23"/>
      <c r="Z2262" s="43"/>
      <c r="AA2262" s="23"/>
      <c r="AB2262" s="23"/>
      <c r="AC2262" s="23"/>
      <c r="AD2262" s="23"/>
      <c r="AE2262" s="23"/>
      <c r="AF2262" s="23"/>
      <c r="AG2262" s="23"/>
      <c r="AH2262" s="23"/>
      <c r="AI2262" s="49"/>
    </row>
    <row r="2263" spans="1:35">
      <c r="A2263" s="23"/>
      <c r="B2263" s="42"/>
      <c r="C2263" s="49"/>
      <c r="E2263" s="49"/>
      <c r="G2263" s="43"/>
      <c r="H2263" s="44"/>
      <c r="L2263" s="42"/>
      <c r="M2263" s="42"/>
      <c r="N2263" s="25"/>
      <c r="O2263" s="54"/>
      <c r="P2263"/>
      <c r="Q2263" s="25"/>
      <c r="R2263" s="54"/>
      <c r="W2263" s="23"/>
      <c r="X2263" s="23"/>
      <c r="Y2263" s="23"/>
      <c r="Z2263" s="43"/>
      <c r="AA2263" s="23"/>
      <c r="AB2263" s="23"/>
      <c r="AC2263" s="23"/>
      <c r="AD2263" s="23"/>
      <c r="AE2263" s="23"/>
      <c r="AF2263" s="23"/>
      <c r="AG2263" s="23"/>
      <c r="AH2263" s="23"/>
      <c r="AI2263" s="49"/>
    </row>
    <row r="2264" spans="1:35">
      <c r="A2264" s="23"/>
      <c r="B2264" s="42"/>
      <c r="C2264" s="49"/>
      <c r="E2264" s="49"/>
      <c r="G2264" s="43"/>
      <c r="H2264" s="44"/>
      <c r="L2264" s="42"/>
      <c r="M2264" s="42"/>
      <c r="N2264" s="25"/>
      <c r="O2264" s="54"/>
      <c r="P2264"/>
      <c r="Q2264" s="25"/>
      <c r="R2264" s="54"/>
      <c r="W2264" s="23"/>
      <c r="X2264" s="23"/>
      <c r="Y2264" s="23"/>
      <c r="Z2264" s="43"/>
      <c r="AA2264" s="23"/>
      <c r="AB2264" s="23"/>
      <c r="AC2264" s="23"/>
      <c r="AD2264" s="23"/>
      <c r="AE2264" s="23"/>
      <c r="AF2264" s="23"/>
      <c r="AG2264" s="23"/>
      <c r="AH2264" s="23"/>
      <c r="AI2264" s="49"/>
    </row>
    <row r="2265" spans="1:35">
      <c r="A2265" s="23"/>
      <c r="B2265" s="42"/>
      <c r="C2265" s="49"/>
      <c r="E2265" s="49"/>
      <c r="G2265" s="43"/>
      <c r="H2265" s="44"/>
      <c r="L2265" s="42"/>
      <c r="M2265" s="42"/>
      <c r="N2265" s="25"/>
      <c r="O2265" s="54"/>
      <c r="P2265"/>
      <c r="Q2265" s="25"/>
      <c r="R2265" s="54"/>
      <c r="W2265" s="23"/>
      <c r="X2265" s="23"/>
      <c r="Y2265" s="23"/>
      <c r="Z2265" s="43"/>
      <c r="AA2265" s="23"/>
      <c r="AB2265" s="23"/>
      <c r="AC2265" s="23"/>
      <c r="AD2265" s="23"/>
      <c r="AE2265" s="23"/>
      <c r="AF2265" s="23"/>
      <c r="AG2265" s="23"/>
      <c r="AH2265" s="23"/>
      <c r="AI2265" s="49"/>
    </row>
    <row r="2266" spans="1:35">
      <c r="A2266" s="23"/>
      <c r="B2266" s="42"/>
      <c r="C2266" s="49"/>
      <c r="E2266" s="49"/>
      <c r="G2266" s="43"/>
      <c r="H2266" s="44"/>
      <c r="L2266" s="42"/>
      <c r="M2266" s="42"/>
      <c r="N2266" s="25"/>
      <c r="O2266" s="54"/>
      <c r="P2266"/>
      <c r="Q2266" s="25"/>
      <c r="R2266" s="54"/>
      <c r="W2266" s="23"/>
      <c r="X2266" s="23"/>
      <c r="Y2266" s="23"/>
      <c r="Z2266" s="43"/>
      <c r="AA2266" s="23"/>
      <c r="AB2266" s="23"/>
      <c r="AC2266" s="23"/>
      <c r="AD2266" s="23"/>
      <c r="AE2266" s="23"/>
      <c r="AF2266" s="23"/>
      <c r="AG2266" s="23"/>
      <c r="AH2266" s="23"/>
      <c r="AI2266" s="49"/>
    </row>
    <row r="2267" spans="1:35">
      <c r="A2267" s="23"/>
      <c r="B2267" s="42"/>
      <c r="C2267" s="49"/>
      <c r="E2267" s="49"/>
      <c r="G2267" s="43"/>
      <c r="H2267" s="44"/>
      <c r="L2267" s="42"/>
      <c r="M2267" s="42"/>
      <c r="N2267" s="25"/>
      <c r="O2267" s="54"/>
      <c r="P2267"/>
      <c r="Q2267" s="25"/>
      <c r="R2267" s="54"/>
      <c r="W2267" s="23"/>
      <c r="X2267" s="23"/>
      <c r="Y2267" s="23"/>
      <c r="Z2267" s="43"/>
      <c r="AA2267" s="23"/>
      <c r="AB2267" s="23"/>
      <c r="AC2267" s="23"/>
      <c r="AD2267" s="23"/>
      <c r="AE2267" s="23"/>
      <c r="AF2267" s="23"/>
      <c r="AG2267" s="23"/>
      <c r="AH2267" s="23"/>
      <c r="AI2267" s="49"/>
    </row>
    <row r="2268" spans="1:35">
      <c r="A2268" s="23"/>
      <c r="B2268" s="42"/>
      <c r="C2268" s="49"/>
      <c r="E2268" s="49"/>
      <c r="G2268" s="43"/>
      <c r="H2268" s="44"/>
      <c r="L2268" s="42"/>
      <c r="M2268" s="42"/>
      <c r="N2268" s="25"/>
      <c r="O2268" s="54"/>
      <c r="P2268"/>
      <c r="Q2268" s="25"/>
      <c r="R2268" s="54"/>
      <c r="W2268" s="23"/>
      <c r="X2268" s="23"/>
      <c r="Y2268" s="23"/>
      <c r="Z2268" s="43"/>
      <c r="AA2268" s="23"/>
      <c r="AB2268" s="23"/>
      <c r="AC2268" s="23"/>
      <c r="AD2268" s="23"/>
      <c r="AE2268" s="23"/>
      <c r="AF2268" s="23"/>
      <c r="AG2268" s="23"/>
      <c r="AH2268" s="23"/>
      <c r="AI2268" s="49"/>
    </row>
    <row r="2269" spans="1:35">
      <c r="A2269" s="23"/>
      <c r="B2269" s="42"/>
      <c r="C2269" s="49"/>
      <c r="E2269" s="49"/>
      <c r="G2269" s="43"/>
      <c r="H2269" s="44"/>
      <c r="L2269" s="42"/>
      <c r="M2269" s="42"/>
      <c r="N2269" s="25"/>
      <c r="O2269" s="54"/>
      <c r="P2269"/>
      <c r="Q2269" s="25"/>
      <c r="R2269" s="54"/>
      <c r="W2269" s="23"/>
      <c r="X2269" s="23"/>
      <c r="Y2269" s="23"/>
      <c r="Z2269" s="43"/>
      <c r="AA2269" s="23"/>
      <c r="AB2269" s="23"/>
      <c r="AC2269" s="23"/>
      <c r="AD2269" s="23"/>
      <c r="AE2269" s="23"/>
      <c r="AF2269" s="23"/>
      <c r="AG2269" s="23"/>
      <c r="AH2269" s="23"/>
      <c r="AI2269" s="49"/>
    </row>
    <row r="2270" spans="1:35">
      <c r="A2270" s="23"/>
      <c r="B2270" s="42"/>
      <c r="C2270" s="49"/>
      <c r="E2270" s="49"/>
      <c r="G2270" s="43"/>
      <c r="H2270" s="44"/>
      <c r="L2270" s="42"/>
      <c r="M2270" s="42"/>
      <c r="N2270" s="25"/>
      <c r="O2270" s="54"/>
      <c r="P2270"/>
      <c r="Q2270" s="25"/>
      <c r="R2270" s="54"/>
      <c r="W2270" s="23"/>
      <c r="X2270" s="23"/>
      <c r="Y2270" s="23"/>
      <c r="Z2270" s="43"/>
      <c r="AA2270" s="23"/>
      <c r="AB2270" s="23"/>
      <c r="AC2270" s="23"/>
      <c r="AD2270" s="23"/>
      <c r="AE2270" s="23"/>
      <c r="AF2270" s="23"/>
      <c r="AG2270" s="23"/>
      <c r="AH2270" s="23"/>
      <c r="AI2270" s="49"/>
    </row>
    <row r="2271" spans="1:35">
      <c r="A2271" s="23"/>
      <c r="B2271" s="42"/>
      <c r="C2271" s="49"/>
      <c r="E2271" s="49"/>
      <c r="G2271" s="43"/>
      <c r="H2271" s="44"/>
      <c r="L2271" s="42"/>
      <c r="M2271" s="42"/>
      <c r="N2271" s="25"/>
      <c r="O2271" s="54"/>
      <c r="P2271"/>
      <c r="Q2271" s="25"/>
      <c r="R2271" s="54"/>
      <c r="W2271" s="23"/>
      <c r="X2271" s="23"/>
      <c r="Y2271" s="23"/>
      <c r="Z2271" s="43"/>
      <c r="AA2271" s="23"/>
      <c r="AB2271" s="23"/>
      <c r="AC2271" s="23"/>
      <c r="AD2271" s="23"/>
      <c r="AE2271" s="23"/>
      <c r="AF2271" s="23"/>
      <c r="AG2271" s="23"/>
      <c r="AH2271" s="23"/>
      <c r="AI2271" s="49"/>
    </row>
    <row r="2272" spans="1:35">
      <c r="A2272" s="23"/>
      <c r="B2272" s="42"/>
      <c r="C2272" s="49"/>
      <c r="E2272" s="49"/>
      <c r="G2272" s="43"/>
      <c r="H2272" s="44"/>
      <c r="L2272" s="42"/>
      <c r="M2272" s="42"/>
      <c r="N2272" s="25"/>
      <c r="O2272" s="54"/>
      <c r="P2272"/>
      <c r="Q2272" s="25"/>
      <c r="R2272" s="54"/>
      <c r="W2272" s="23"/>
      <c r="X2272" s="23"/>
      <c r="Y2272" s="23"/>
      <c r="Z2272" s="43"/>
      <c r="AA2272" s="23"/>
      <c r="AB2272" s="23"/>
      <c r="AC2272" s="23"/>
      <c r="AD2272" s="23"/>
      <c r="AE2272" s="23"/>
      <c r="AF2272" s="23"/>
      <c r="AG2272" s="23"/>
      <c r="AH2272" s="23"/>
      <c r="AI2272" s="49"/>
    </row>
    <row r="2273" spans="1:35">
      <c r="A2273" s="23"/>
      <c r="B2273" s="42"/>
      <c r="C2273" s="49"/>
      <c r="E2273" s="49"/>
      <c r="G2273" s="43"/>
      <c r="H2273" s="44"/>
      <c r="L2273" s="42"/>
      <c r="M2273" s="42"/>
      <c r="N2273" s="25"/>
      <c r="O2273" s="54"/>
      <c r="P2273"/>
      <c r="Q2273" s="25"/>
      <c r="R2273" s="54"/>
      <c r="W2273" s="23"/>
      <c r="X2273" s="23"/>
      <c r="Y2273" s="23"/>
      <c r="Z2273" s="43"/>
      <c r="AA2273" s="23"/>
      <c r="AB2273" s="23"/>
      <c r="AC2273" s="23"/>
      <c r="AD2273" s="23"/>
      <c r="AE2273" s="23"/>
      <c r="AF2273" s="23"/>
      <c r="AG2273" s="23"/>
      <c r="AH2273" s="23"/>
      <c r="AI2273" s="49"/>
    </row>
    <row r="2274" spans="1:35">
      <c r="A2274" s="23"/>
      <c r="B2274" s="42"/>
      <c r="C2274" s="49"/>
      <c r="E2274" s="49"/>
      <c r="G2274" s="43"/>
      <c r="H2274" s="44"/>
      <c r="L2274" s="42"/>
      <c r="M2274" s="42"/>
      <c r="N2274" s="25"/>
      <c r="O2274" s="54"/>
      <c r="P2274"/>
      <c r="Q2274" s="25"/>
      <c r="R2274" s="54"/>
      <c r="W2274" s="23"/>
      <c r="X2274" s="23"/>
      <c r="Y2274" s="23"/>
      <c r="Z2274" s="43"/>
      <c r="AA2274" s="23"/>
      <c r="AB2274" s="23"/>
      <c r="AC2274" s="23"/>
      <c r="AD2274" s="23"/>
      <c r="AE2274" s="23"/>
      <c r="AF2274" s="23"/>
      <c r="AG2274" s="23"/>
      <c r="AH2274" s="23"/>
      <c r="AI2274" s="49"/>
    </row>
    <row r="2275" spans="1:35">
      <c r="A2275" s="23"/>
      <c r="B2275" s="42"/>
      <c r="C2275" s="49"/>
      <c r="E2275" s="49"/>
      <c r="G2275" s="43"/>
      <c r="H2275" s="44"/>
      <c r="L2275" s="42"/>
      <c r="M2275" s="42"/>
      <c r="N2275" s="25"/>
      <c r="O2275" s="54"/>
      <c r="P2275"/>
      <c r="Q2275" s="25"/>
      <c r="R2275" s="54"/>
      <c r="W2275" s="23"/>
      <c r="X2275" s="23"/>
      <c r="Y2275" s="23"/>
      <c r="Z2275" s="43"/>
      <c r="AA2275" s="23"/>
      <c r="AB2275" s="23"/>
      <c r="AC2275" s="23"/>
      <c r="AD2275" s="23"/>
      <c r="AE2275" s="23"/>
      <c r="AF2275" s="23"/>
      <c r="AG2275" s="23"/>
      <c r="AH2275" s="23"/>
      <c r="AI2275" s="49"/>
    </row>
    <row r="2276" spans="1:35">
      <c r="A2276" s="23"/>
      <c r="B2276" s="42"/>
      <c r="C2276" s="49"/>
      <c r="E2276" s="49"/>
      <c r="G2276" s="43"/>
      <c r="H2276" s="44"/>
      <c r="L2276" s="42"/>
      <c r="M2276" s="42"/>
      <c r="N2276" s="25"/>
      <c r="O2276" s="54"/>
      <c r="P2276"/>
      <c r="Q2276" s="25"/>
      <c r="R2276" s="54"/>
      <c r="W2276" s="23"/>
      <c r="X2276" s="23"/>
      <c r="Y2276" s="23"/>
      <c r="Z2276" s="43"/>
      <c r="AA2276" s="23"/>
      <c r="AB2276" s="23"/>
      <c r="AC2276" s="23"/>
      <c r="AD2276" s="23"/>
      <c r="AE2276" s="23"/>
      <c r="AF2276" s="23"/>
      <c r="AG2276" s="23"/>
      <c r="AH2276" s="23"/>
      <c r="AI2276" s="49"/>
    </row>
    <row r="2277" spans="1:35">
      <c r="A2277" s="23"/>
      <c r="B2277" s="42"/>
      <c r="C2277" s="49"/>
      <c r="E2277" s="49"/>
      <c r="G2277" s="43"/>
      <c r="H2277" s="44"/>
      <c r="L2277" s="42"/>
      <c r="M2277" s="42"/>
      <c r="N2277" s="25"/>
      <c r="O2277" s="54"/>
      <c r="P2277"/>
      <c r="Q2277" s="25"/>
      <c r="R2277" s="54"/>
      <c r="W2277" s="23"/>
      <c r="X2277" s="23"/>
      <c r="Y2277" s="23"/>
      <c r="Z2277" s="43"/>
      <c r="AA2277" s="23"/>
      <c r="AB2277" s="23"/>
      <c r="AC2277" s="23"/>
      <c r="AD2277" s="23"/>
      <c r="AE2277" s="23"/>
      <c r="AF2277" s="23"/>
      <c r="AG2277" s="23"/>
      <c r="AH2277" s="23"/>
      <c r="AI2277" s="49"/>
    </row>
    <row r="2278" spans="1:35">
      <c r="A2278" s="23"/>
      <c r="B2278" s="42"/>
      <c r="C2278" s="49"/>
      <c r="E2278" s="49"/>
      <c r="G2278" s="43"/>
      <c r="H2278" s="44"/>
      <c r="L2278" s="42"/>
      <c r="M2278" s="42"/>
      <c r="N2278" s="25"/>
      <c r="O2278" s="54"/>
      <c r="P2278"/>
      <c r="Q2278" s="25"/>
      <c r="R2278" s="54"/>
      <c r="W2278" s="23"/>
      <c r="X2278" s="23"/>
      <c r="Y2278" s="23"/>
      <c r="Z2278" s="43"/>
      <c r="AA2278" s="23"/>
      <c r="AB2278" s="23"/>
      <c r="AC2278" s="23"/>
      <c r="AD2278" s="23"/>
      <c r="AE2278" s="23"/>
      <c r="AF2278" s="23"/>
      <c r="AG2278" s="23"/>
      <c r="AH2278" s="23"/>
      <c r="AI2278" s="49"/>
    </row>
    <row r="2279" spans="1:35">
      <c r="A2279" s="23"/>
      <c r="B2279" s="42"/>
      <c r="C2279" s="49"/>
      <c r="E2279" s="49"/>
      <c r="G2279" s="43"/>
      <c r="H2279" s="44"/>
      <c r="L2279" s="42"/>
      <c r="M2279" s="42"/>
      <c r="N2279" s="25"/>
      <c r="O2279" s="54"/>
      <c r="P2279"/>
      <c r="Q2279" s="25"/>
      <c r="R2279" s="54"/>
      <c r="W2279" s="23"/>
      <c r="X2279" s="23"/>
      <c r="Y2279" s="23"/>
      <c r="Z2279" s="43"/>
      <c r="AA2279" s="23"/>
      <c r="AB2279" s="23"/>
      <c r="AC2279" s="23"/>
      <c r="AD2279" s="23"/>
      <c r="AE2279" s="23"/>
      <c r="AF2279" s="23"/>
      <c r="AG2279" s="23"/>
      <c r="AH2279" s="23"/>
      <c r="AI2279" s="49"/>
    </row>
    <row r="2280" spans="1:35">
      <c r="A2280" s="23"/>
      <c r="B2280" s="42"/>
      <c r="C2280" s="49"/>
      <c r="E2280" s="49"/>
      <c r="G2280" s="43"/>
      <c r="H2280" s="44"/>
      <c r="L2280" s="42"/>
      <c r="M2280" s="42"/>
      <c r="N2280" s="25"/>
      <c r="O2280" s="54"/>
      <c r="P2280"/>
      <c r="Q2280" s="25"/>
      <c r="R2280" s="54"/>
      <c r="W2280" s="23"/>
      <c r="X2280" s="23"/>
      <c r="Y2280" s="23"/>
      <c r="Z2280" s="43"/>
      <c r="AA2280" s="23"/>
      <c r="AB2280" s="23"/>
      <c r="AC2280" s="23"/>
      <c r="AD2280" s="23"/>
      <c r="AE2280" s="23"/>
      <c r="AF2280" s="23"/>
      <c r="AG2280" s="23"/>
      <c r="AH2280" s="23"/>
      <c r="AI2280" s="49"/>
    </row>
    <row r="2281" spans="1:35">
      <c r="A2281" s="23"/>
      <c r="B2281" s="42"/>
      <c r="C2281" s="49"/>
      <c r="E2281" s="49"/>
      <c r="G2281" s="43"/>
      <c r="H2281" s="44"/>
      <c r="L2281" s="42"/>
      <c r="M2281" s="42"/>
      <c r="N2281" s="25"/>
      <c r="O2281" s="54"/>
      <c r="P2281"/>
      <c r="Q2281" s="25"/>
      <c r="R2281" s="54"/>
      <c r="W2281" s="23"/>
      <c r="X2281" s="23"/>
      <c r="Y2281" s="23"/>
      <c r="Z2281" s="43"/>
      <c r="AA2281" s="23"/>
      <c r="AB2281" s="23"/>
      <c r="AC2281" s="23"/>
      <c r="AD2281" s="23"/>
      <c r="AE2281" s="23"/>
      <c r="AF2281" s="23"/>
      <c r="AG2281" s="23"/>
      <c r="AH2281" s="23"/>
      <c r="AI2281" s="49"/>
    </row>
    <row r="2282" spans="1:35">
      <c r="A2282" s="23"/>
      <c r="B2282" s="42"/>
      <c r="C2282" s="49"/>
      <c r="E2282" s="49"/>
      <c r="G2282" s="43"/>
      <c r="H2282" s="44"/>
      <c r="L2282" s="42"/>
      <c r="M2282" s="42"/>
      <c r="N2282" s="25"/>
      <c r="O2282" s="54"/>
      <c r="P2282"/>
      <c r="Q2282" s="25"/>
      <c r="R2282" s="54"/>
      <c r="W2282" s="23"/>
      <c r="X2282" s="23"/>
      <c r="Y2282" s="23"/>
      <c r="Z2282" s="43"/>
      <c r="AA2282" s="23"/>
      <c r="AB2282" s="23"/>
      <c r="AC2282" s="23"/>
      <c r="AD2282" s="23"/>
      <c r="AE2282" s="23"/>
      <c r="AF2282" s="23"/>
      <c r="AG2282" s="23"/>
      <c r="AH2282" s="23"/>
      <c r="AI2282" s="49"/>
    </row>
    <row r="2283" spans="1:35">
      <c r="A2283" s="23"/>
      <c r="B2283" s="42"/>
      <c r="C2283" s="49"/>
      <c r="E2283" s="49"/>
      <c r="G2283" s="43"/>
      <c r="H2283" s="44"/>
      <c r="L2283" s="42"/>
      <c r="M2283" s="42"/>
      <c r="N2283" s="25"/>
      <c r="O2283" s="54"/>
      <c r="P2283"/>
      <c r="Q2283" s="25"/>
      <c r="R2283" s="54"/>
      <c r="W2283" s="23"/>
      <c r="X2283" s="23"/>
      <c r="Y2283" s="23"/>
      <c r="Z2283" s="43"/>
      <c r="AA2283" s="23"/>
      <c r="AB2283" s="23"/>
      <c r="AC2283" s="23"/>
      <c r="AD2283" s="23"/>
      <c r="AE2283" s="23"/>
      <c r="AF2283" s="23"/>
      <c r="AG2283" s="23"/>
      <c r="AH2283" s="23"/>
      <c r="AI2283" s="49"/>
    </row>
    <row r="2284" spans="1:35">
      <c r="A2284" s="23"/>
      <c r="B2284" s="42"/>
      <c r="C2284" s="49"/>
      <c r="E2284" s="49"/>
      <c r="G2284" s="43"/>
      <c r="H2284" s="44"/>
      <c r="L2284" s="42"/>
      <c r="M2284" s="42"/>
      <c r="N2284" s="25"/>
      <c r="O2284" s="54"/>
      <c r="P2284"/>
      <c r="Q2284" s="25"/>
      <c r="R2284" s="54"/>
      <c r="W2284" s="23"/>
      <c r="X2284" s="23"/>
      <c r="Y2284" s="23"/>
      <c r="Z2284" s="43"/>
      <c r="AA2284" s="23"/>
      <c r="AB2284" s="23"/>
      <c r="AC2284" s="23"/>
      <c r="AD2284" s="23"/>
      <c r="AE2284" s="23"/>
      <c r="AF2284" s="23"/>
      <c r="AG2284" s="23"/>
      <c r="AH2284" s="23"/>
      <c r="AI2284" s="49"/>
    </row>
    <row r="2285" spans="1:35">
      <c r="A2285" s="23"/>
      <c r="B2285" s="42"/>
      <c r="C2285" s="49"/>
      <c r="E2285" s="49"/>
      <c r="G2285" s="43"/>
      <c r="H2285" s="44"/>
      <c r="L2285" s="42"/>
      <c r="M2285" s="42"/>
      <c r="N2285" s="25"/>
      <c r="O2285" s="54"/>
      <c r="P2285"/>
      <c r="Q2285" s="25"/>
      <c r="R2285" s="54"/>
      <c r="W2285" s="23"/>
      <c r="X2285" s="23"/>
      <c r="Y2285" s="23"/>
      <c r="Z2285" s="43"/>
      <c r="AA2285" s="23"/>
      <c r="AB2285" s="23"/>
      <c r="AC2285" s="23"/>
      <c r="AD2285" s="23"/>
      <c r="AE2285" s="23"/>
      <c r="AF2285" s="23"/>
      <c r="AG2285" s="23"/>
      <c r="AH2285" s="23"/>
      <c r="AI2285" s="49"/>
    </row>
    <row r="2286" spans="1:35">
      <c r="A2286" s="23"/>
      <c r="B2286" s="42"/>
      <c r="C2286" s="49"/>
      <c r="E2286" s="49"/>
      <c r="G2286" s="43"/>
      <c r="H2286" s="44"/>
      <c r="L2286" s="42"/>
      <c r="M2286" s="42"/>
      <c r="N2286" s="25"/>
      <c r="O2286" s="54"/>
      <c r="P2286"/>
      <c r="Q2286" s="25"/>
      <c r="R2286" s="54"/>
      <c r="W2286" s="23"/>
      <c r="X2286" s="23"/>
      <c r="Y2286" s="23"/>
      <c r="Z2286" s="43"/>
      <c r="AA2286" s="23"/>
      <c r="AB2286" s="23"/>
      <c r="AC2286" s="23"/>
      <c r="AD2286" s="23"/>
      <c r="AE2286" s="23"/>
      <c r="AF2286" s="23"/>
      <c r="AG2286" s="23"/>
      <c r="AH2286" s="23"/>
      <c r="AI2286" s="49"/>
    </row>
    <row r="2287" spans="1:35">
      <c r="A2287" s="23"/>
      <c r="B2287" s="42"/>
      <c r="C2287" s="49"/>
      <c r="E2287" s="49"/>
      <c r="G2287" s="43"/>
      <c r="H2287" s="44"/>
      <c r="L2287" s="42"/>
      <c r="M2287" s="42"/>
      <c r="N2287" s="25"/>
      <c r="O2287" s="54"/>
      <c r="P2287"/>
      <c r="Q2287" s="25"/>
      <c r="R2287" s="54"/>
      <c r="W2287" s="23"/>
      <c r="X2287" s="23"/>
      <c r="Y2287" s="23"/>
      <c r="Z2287" s="43"/>
      <c r="AA2287" s="23"/>
      <c r="AB2287" s="23"/>
      <c r="AC2287" s="23"/>
      <c r="AD2287" s="23"/>
      <c r="AE2287" s="23"/>
      <c r="AF2287" s="23"/>
      <c r="AG2287" s="23"/>
      <c r="AH2287" s="23"/>
      <c r="AI2287" s="49"/>
    </row>
    <row r="2288" spans="1:35">
      <c r="A2288" s="23"/>
      <c r="B2288" s="42"/>
      <c r="C2288" s="49"/>
      <c r="E2288" s="49"/>
      <c r="G2288" s="43"/>
      <c r="H2288" s="44"/>
      <c r="L2288" s="42"/>
      <c r="M2288" s="42"/>
      <c r="N2288" s="25"/>
      <c r="O2288" s="54"/>
      <c r="P2288"/>
      <c r="Q2288" s="25"/>
      <c r="R2288" s="54"/>
      <c r="W2288" s="23"/>
      <c r="X2288" s="23"/>
      <c r="Y2288" s="23"/>
      <c r="Z2288" s="43"/>
      <c r="AA2288" s="23"/>
      <c r="AB2288" s="23"/>
      <c r="AC2288" s="23"/>
      <c r="AD2288" s="23"/>
      <c r="AE2288" s="23"/>
      <c r="AF2288" s="23"/>
      <c r="AG2288" s="23"/>
      <c r="AH2288" s="23"/>
      <c r="AI2288" s="49"/>
    </row>
    <row r="2289" spans="1:35">
      <c r="A2289" s="23"/>
      <c r="B2289" s="42"/>
      <c r="C2289" s="49"/>
      <c r="E2289" s="49"/>
      <c r="G2289" s="43"/>
      <c r="H2289" s="44"/>
      <c r="L2289" s="42"/>
      <c r="M2289" s="42"/>
      <c r="N2289" s="25"/>
      <c r="O2289" s="54"/>
      <c r="P2289"/>
      <c r="Q2289" s="25"/>
      <c r="R2289" s="54"/>
      <c r="W2289" s="23"/>
      <c r="X2289" s="23"/>
      <c r="Y2289" s="23"/>
      <c r="Z2289" s="43"/>
      <c r="AA2289" s="23"/>
      <c r="AB2289" s="23"/>
      <c r="AC2289" s="23"/>
      <c r="AD2289" s="23"/>
      <c r="AE2289" s="23"/>
      <c r="AF2289" s="23"/>
      <c r="AG2289" s="23"/>
      <c r="AH2289" s="23"/>
      <c r="AI2289" s="49"/>
    </row>
    <row r="2290" spans="1:35">
      <c r="A2290" s="23"/>
      <c r="B2290" s="42"/>
      <c r="C2290" s="49"/>
      <c r="E2290" s="49"/>
      <c r="G2290" s="43"/>
      <c r="H2290" s="44"/>
      <c r="L2290" s="42"/>
      <c r="M2290" s="42"/>
      <c r="N2290" s="25"/>
      <c r="O2290" s="54"/>
      <c r="P2290"/>
      <c r="Q2290" s="25"/>
      <c r="R2290" s="54"/>
      <c r="W2290" s="23"/>
      <c r="X2290" s="23"/>
      <c r="Y2290" s="23"/>
      <c r="Z2290" s="43"/>
      <c r="AA2290" s="23"/>
      <c r="AB2290" s="23"/>
      <c r="AC2290" s="23"/>
      <c r="AD2290" s="23"/>
      <c r="AE2290" s="23"/>
      <c r="AF2290" s="23"/>
      <c r="AG2290" s="23"/>
      <c r="AH2290" s="23"/>
      <c r="AI2290" s="49"/>
    </row>
    <row r="2291" spans="1:35">
      <c r="A2291" s="23"/>
      <c r="B2291" s="42"/>
      <c r="C2291" s="49"/>
      <c r="E2291" s="49"/>
      <c r="G2291" s="43"/>
      <c r="H2291" s="44"/>
      <c r="L2291" s="42"/>
      <c r="M2291" s="42"/>
      <c r="N2291" s="25"/>
      <c r="O2291" s="54"/>
      <c r="P2291"/>
      <c r="Q2291" s="25"/>
      <c r="R2291" s="54"/>
      <c r="W2291" s="23"/>
      <c r="X2291" s="23"/>
      <c r="Y2291" s="23"/>
      <c r="Z2291" s="43"/>
      <c r="AA2291" s="23"/>
      <c r="AB2291" s="23"/>
      <c r="AC2291" s="23"/>
      <c r="AD2291" s="23"/>
      <c r="AE2291" s="23"/>
      <c r="AF2291" s="23"/>
      <c r="AG2291" s="23"/>
      <c r="AH2291" s="23"/>
      <c r="AI2291" s="49"/>
    </row>
    <row r="2292" spans="1:35">
      <c r="A2292" s="23"/>
      <c r="B2292" s="42"/>
      <c r="C2292" s="49"/>
      <c r="E2292" s="49"/>
      <c r="G2292" s="43"/>
      <c r="H2292" s="44"/>
      <c r="L2292" s="42"/>
      <c r="M2292" s="42"/>
      <c r="N2292" s="25"/>
      <c r="O2292" s="54"/>
      <c r="P2292"/>
      <c r="Q2292" s="25"/>
      <c r="R2292" s="54"/>
      <c r="W2292" s="23"/>
      <c r="X2292" s="23"/>
      <c r="Y2292" s="23"/>
      <c r="Z2292" s="43"/>
      <c r="AA2292" s="23"/>
      <c r="AB2292" s="23"/>
      <c r="AC2292" s="23"/>
      <c r="AD2292" s="23"/>
      <c r="AE2292" s="23"/>
      <c r="AF2292" s="23"/>
      <c r="AG2292" s="23"/>
      <c r="AH2292" s="23"/>
      <c r="AI2292" s="49"/>
    </row>
    <row r="2293" spans="1:35">
      <c r="A2293" s="23"/>
      <c r="B2293" s="42"/>
      <c r="C2293" s="49"/>
      <c r="E2293" s="49"/>
      <c r="G2293" s="43"/>
      <c r="H2293" s="44"/>
      <c r="L2293" s="42"/>
      <c r="M2293" s="42"/>
      <c r="N2293" s="25"/>
      <c r="O2293" s="54"/>
      <c r="P2293"/>
      <c r="Q2293" s="25"/>
      <c r="R2293" s="54"/>
      <c r="W2293" s="23"/>
      <c r="X2293" s="23"/>
      <c r="Y2293" s="23"/>
      <c r="Z2293" s="43"/>
      <c r="AA2293" s="23"/>
      <c r="AB2293" s="23"/>
      <c r="AC2293" s="23"/>
      <c r="AD2293" s="23"/>
      <c r="AE2293" s="23"/>
      <c r="AF2293" s="23"/>
      <c r="AG2293" s="23"/>
      <c r="AH2293" s="23"/>
      <c r="AI2293" s="49"/>
    </row>
    <row r="2294" spans="1:35">
      <c r="A2294" s="23"/>
      <c r="B2294" s="42"/>
      <c r="C2294" s="49"/>
      <c r="E2294" s="49"/>
      <c r="G2294" s="43"/>
      <c r="H2294" s="44"/>
      <c r="L2294" s="42"/>
      <c r="M2294" s="42"/>
      <c r="N2294" s="25"/>
      <c r="O2294" s="54"/>
      <c r="P2294"/>
      <c r="Q2294" s="25"/>
      <c r="R2294" s="54"/>
      <c r="W2294" s="23"/>
      <c r="X2294" s="23"/>
      <c r="Y2294" s="23"/>
      <c r="Z2294" s="43"/>
      <c r="AA2294" s="23"/>
      <c r="AB2294" s="23"/>
      <c r="AC2294" s="23"/>
      <c r="AD2294" s="23"/>
      <c r="AE2294" s="23"/>
      <c r="AF2294" s="23"/>
      <c r="AG2294" s="23"/>
      <c r="AH2294" s="23"/>
      <c r="AI2294" s="49"/>
    </row>
    <row r="2295" spans="1:35">
      <c r="A2295" s="23"/>
      <c r="B2295" s="42"/>
      <c r="C2295" s="49"/>
      <c r="E2295" s="49"/>
      <c r="G2295" s="43"/>
      <c r="H2295" s="44"/>
      <c r="L2295" s="42"/>
      <c r="M2295" s="42"/>
      <c r="N2295" s="25"/>
      <c r="O2295" s="54"/>
      <c r="P2295"/>
      <c r="Q2295" s="25"/>
      <c r="R2295" s="54"/>
      <c r="W2295" s="23"/>
      <c r="X2295" s="23"/>
      <c r="Y2295" s="23"/>
      <c r="Z2295" s="43"/>
      <c r="AA2295" s="23"/>
      <c r="AB2295" s="23"/>
      <c r="AC2295" s="23"/>
      <c r="AD2295" s="23"/>
      <c r="AE2295" s="23"/>
      <c r="AF2295" s="23"/>
      <c r="AG2295" s="23"/>
      <c r="AH2295" s="23"/>
      <c r="AI2295" s="49"/>
    </row>
    <row r="2296" spans="1:35">
      <c r="A2296" s="23"/>
      <c r="B2296" s="42"/>
      <c r="C2296" s="49"/>
      <c r="E2296" s="49"/>
      <c r="G2296" s="43"/>
      <c r="H2296" s="44"/>
      <c r="L2296" s="42"/>
      <c r="M2296" s="42"/>
      <c r="N2296" s="25"/>
      <c r="O2296" s="54"/>
      <c r="P2296"/>
      <c r="Q2296" s="25"/>
      <c r="R2296" s="54"/>
      <c r="W2296" s="23"/>
      <c r="X2296" s="23"/>
      <c r="Y2296" s="23"/>
      <c r="Z2296" s="43"/>
      <c r="AA2296" s="23"/>
      <c r="AB2296" s="23"/>
      <c r="AC2296" s="23"/>
      <c r="AD2296" s="23"/>
      <c r="AE2296" s="23"/>
      <c r="AF2296" s="23"/>
      <c r="AG2296" s="23"/>
      <c r="AH2296" s="23"/>
      <c r="AI2296" s="49"/>
    </row>
    <row r="2297" spans="1:35">
      <c r="A2297" s="23"/>
      <c r="B2297" s="42"/>
      <c r="C2297" s="49"/>
      <c r="E2297" s="49"/>
      <c r="G2297" s="43"/>
      <c r="H2297" s="44"/>
      <c r="L2297" s="42"/>
      <c r="M2297" s="42"/>
      <c r="N2297" s="25"/>
      <c r="O2297" s="54"/>
      <c r="P2297"/>
      <c r="Q2297" s="25"/>
      <c r="R2297" s="54"/>
      <c r="W2297" s="23"/>
      <c r="X2297" s="23"/>
      <c r="Y2297" s="23"/>
      <c r="Z2297" s="43"/>
      <c r="AA2297" s="23"/>
      <c r="AB2297" s="23"/>
      <c r="AC2297" s="23"/>
      <c r="AD2297" s="23"/>
      <c r="AE2297" s="23"/>
      <c r="AF2297" s="23"/>
      <c r="AG2297" s="23"/>
      <c r="AH2297" s="23"/>
      <c r="AI2297" s="49"/>
    </row>
    <row r="2298" spans="1:35">
      <c r="A2298" s="23"/>
      <c r="B2298" s="42"/>
      <c r="C2298" s="49"/>
      <c r="E2298" s="49"/>
      <c r="G2298" s="43"/>
      <c r="H2298" s="44"/>
      <c r="L2298" s="42"/>
      <c r="M2298" s="42"/>
      <c r="N2298" s="25"/>
      <c r="O2298" s="54"/>
      <c r="P2298"/>
      <c r="Q2298" s="25"/>
      <c r="R2298" s="54"/>
      <c r="W2298" s="23"/>
      <c r="X2298" s="23"/>
      <c r="Y2298" s="23"/>
      <c r="Z2298" s="43"/>
      <c r="AA2298" s="23"/>
      <c r="AB2298" s="23"/>
      <c r="AC2298" s="23"/>
      <c r="AD2298" s="23"/>
      <c r="AE2298" s="23"/>
      <c r="AF2298" s="23"/>
      <c r="AG2298" s="23"/>
      <c r="AH2298" s="23"/>
      <c r="AI2298" s="49"/>
    </row>
    <row r="2299" spans="1:35">
      <c r="A2299" s="23"/>
      <c r="B2299" s="42"/>
      <c r="C2299" s="49"/>
      <c r="E2299" s="49"/>
      <c r="G2299" s="43"/>
      <c r="H2299" s="44"/>
      <c r="L2299" s="42"/>
      <c r="M2299" s="42"/>
      <c r="N2299" s="25"/>
      <c r="O2299" s="54"/>
      <c r="P2299"/>
      <c r="Q2299" s="25"/>
      <c r="R2299" s="54"/>
      <c r="W2299" s="23"/>
      <c r="X2299" s="23"/>
      <c r="Y2299" s="23"/>
      <c r="Z2299" s="43"/>
      <c r="AA2299" s="23"/>
      <c r="AB2299" s="23"/>
      <c r="AC2299" s="23"/>
      <c r="AD2299" s="23"/>
      <c r="AE2299" s="23"/>
      <c r="AF2299" s="23"/>
      <c r="AG2299" s="23"/>
      <c r="AH2299" s="23"/>
      <c r="AI2299" s="49"/>
    </row>
    <row r="2300" spans="1:35">
      <c r="A2300" s="23"/>
      <c r="B2300" s="42"/>
      <c r="C2300" s="49"/>
      <c r="E2300" s="49"/>
      <c r="G2300" s="43"/>
      <c r="H2300" s="44"/>
      <c r="L2300" s="42"/>
      <c r="M2300" s="42"/>
      <c r="N2300" s="25"/>
      <c r="O2300" s="54"/>
      <c r="P2300"/>
      <c r="Q2300" s="25"/>
      <c r="R2300" s="54"/>
      <c r="W2300" s="23"/>
      <c r="X2300" s="23"/>
      <c r="Y2300" s="23"/>
      <c r="Z2300" s="43"/>
      <c r="AA2300" s="23"/>
      <c r="AB2300" s="23"/>
      <c r="AC2300" s="23"/>
      <c r="AD2300" s="23"/>
      <c r="AE2300" s="23"/>
      <c r="AF2300" s="23"/>
      <c r="AG2300" s="23"/>
      <c r="AH2300" s="23"/>
      <c r="AI2300" s="49"/>
    </row>
    <row r="2301" spans="1:35">
      <c r="A2301" s="23"/>
      <c r="B2301" s="42"/>
      <c r="C2301" s="49"/>
      <c r="E2301" s="49"/>
      <c r="G2301" s="43"/>
      <c r="H2301" s="44"/>
      <c r="L2301" s="42"/>
      <c r="M2301" s="42"/>
      <c r="N2301" s="25"/>
      <c r="O2301" s="54"/>
      <c r="P2301"/>
      <c r="Q2301" s="25"/>
      <c r="R2301" s="54"/>
      <c r="W2301" s="23"/>
      <c r="X2301" s="23"/>
      <c r="Y2301" s="23"/>
      <c r="Z2301" s="43"/>
      <c r="AA2301" s="23"/>
      <c r="AB2301" s="23"/>
      <c r="AC2301" s="23"/>
      <c r="AD2301" s="23"/>
      <c r="AE2301" s="23"/>
      <c r="AF2301" s="23"/>
      <c r="AG2301" s="23"/>
      <c r="AH2301" s="23"/>
      <c r="AI2301" s="49"/>
    </row>
    <row r="2302" spans="1:35">
      <c r="A2302" s="23"/>
      <c r="B2302" s="42"/>
      <c r="C2302" s="49"/>
      <c r="E2302" s="49"/>
      <c r="G2302" s="43"/>
      <c r="H2302" s="44"/>
      <c r="L2302" s="42"/>
      <c r="M2302" s="42"/>
      <c r="N2302" s="25"/>
      <c r="O2302" s="54"/>
      <c r="P2302"/>
      <c r="Q2302" s="25"/>
      <c r="R2302" s="54"/>
      <c r="W2302" s="23"/>
      <c r="X2302" s="23"/>
      <c r="Y2302" s="23"/>
      <c r="Z2302" s="43"/>
      <c r="AA2302" s="23"/>
      <c r="AB2302" s="23"/>
      <c r="AC2302" s="23"/>
      <c r="AD2302" s="23"/>
      <c r="AE2302" s="23"/>
      <c r="AF2302" s="23"/>
      <c r="AG2302" s="23"/>
      <c r="AH2302" s="23"/>
      <c r="AI2302" s="49"/>
    </row>
    <row r="2303" spans="1:35">
      <c r="A2303" s="23"/>
      <c r="B2303" s="42"/>
      <c r="C2303" s="49"/>
      <c r="E2303" s="49"/>
      <c r="G2303" s="43"/>
      <c r="H2303" s="44"/>
      <c r="L2303" s="42"/>
      <c r="M2303" s="42"/>
      <c r="N2303" s="25"/>
      <c r="O2303" s="54"/>
      <c r="P2303"/>
      <c r="Q2303" s="25"/>
      <c r="R2303" s="54"/>
      <c r="W2303" s="23"/>
      <c r="X2303" s="23"/>
      <c r="Y2303" s="23"/>
      <c r="Z2303" s="43"/>
      <c r="AA2303" s="23"/>
      <c r="AB2303" s="23"/>
      <c r="AC2303" s="23"/>
      <c r="AD2303" s="23"/>
      <c r="AE2303" s="23"/>
      <c r="AF2303" s="23"/>
      <c r="AG2303" s="23"/>
      <c r="AH2303" s="23"/>
      <c r="AI2303" s="49"/>
    </row>
    <row r="2304" spans="1:35">
      <c r="A2304" s="23"/>
      <c r="B2304" s="42"/>
      <c r="C2304" s="49"/>
      <c r="E2304" s="49"/>
      <c r="G2304" s="43"/>
      <c r="H2304" s="44"/>
      <c r="L2304" s="42"/>
      <c r="M2304" s="42"/>
      <c r="N2304" s="25"/>
      <c r="O2304" s="54"/>
      <c r="P2304"/>
      <c r="Q2304" s="25"/>
      <c r="R2304" s="54"/>
      <c r="W2304" s="23"/>
      <c r="X2304" s="23"/>
      <c r="Y2304" s="23"/>
      <c r="Z2304" s="43"/>
      <c r="AA2304" s="23"/>
      <c r="AB2304" s="23"/>
      <c r="AC2304" s="23"/>
      <c r="AD2304" s="23"/>
      <c r="AE2304" s="23"/>
      <c r="AF2304" s="23"/>
      <c r="AG2304" s="23"/>
      <c r="AH2304" s="23"/>
      <c r="AI2304" s="49"/>
    </row>
    <row r="2305" spans="1:35">
      <c r="A2305" s="23"/>
      <c r="B2305" s="42"/>
      <c r="C2305" s="49"/>
      <c r="E2305" s="49"/>
      <c r="G2305" s="43"/>
      <c r="H2305" s="44"/>
      <c r="L2305" s="42"/>
      <c r="M2305" s="42"/>
      <c r="N2305" s="25"/>
      <c r="O2305" s="54"/>
      <c r="P2305"/>
      <c r="Q2305" s="25"/>
      <c r="R2305" s="54"/>
      <c r="W2305" s="23"/>
      <c r="X2305" s="23"/>
      <c r="Y2305" s="23"/>
      <c r="Z2305" s="43"/>
      <c r="AA2305" s="23"/>
      <c r="AB2305" s="23"/>
      <c r="AC2305" s="23"/>
      <c r="AD2305" s="23"/>
      <c r="AE2305" s="23"/>
      <c r="AF2305" s="23"/>
      <c r="AG2305" s="23"/>
      <c r="AH2305" s="23"/>
      <c r="AI2305" s="49"/>
    </row>
    <row r="2306" spans="1:35">
      <c r="A2306" s="23"/>
      <c r="B2306" s="42"/>
      <c r="C2306" s="49"/>
      <c r="E2306" s="49"/>
      <c r="G2306" s="43"/>
      <c r="H2306" s="44"/>
      <c r="L2306" s="42"/>
      <c r="M2306" s="42"/>
      <c r="N2306" s="25"/>
      <c r="O2306" s="54"/>
      <c r="P2306"/>
      <c r="Q2306" s="25"/>
      <c r="R2306" s="54"/>
      <c r="W2306" s="23"/>
      <c r="X2306" s="23"/>
      <c r="Y2306" s="23"/>
      <c r="Z2306" s="43"/>
      <c r="AA2306" s="23"/>
      <c r="AB2306" s="23"/>
      <c r="AC2306" s="23"/>
      <c r="AD2306" s="23"/>
      <c r="AE2306" s="23"/>
      <c r="AF2306" s="23"/>
      <c r="AG2306" s="23"/>
      <c r="AH2306" s="23"/>
      <c r="AI2306" s="49"/>
    </row>
    <row r="2307" spans="1:35">
      <c r="A2307" s="23"/>
      <c r="B2307" s="42"/>
      <c r="C2307" s="49"/>
      <c r="E2307" s="49"/>
      <c r="G2307" s="43"/>
      <c r="H2307" s="44"/>
      <c r="L2307" s="42"/>
      <c r="M2307" s="42"/>
      <c r="N2307" s="25"/>
      <c r="O2307" s="54"/>
      <c r="P2307"/>
      <c r="Q2307" s="25"/>
      <c r="R2307" s="54"/>
      <c r="W2307" s="23"/>
      <c r="X2307" s="23"/>
      <c r="Y2307" s="23"/>
      <c r="Z2307" s="43"/>
      <c r="AA2307" s="23"/>
      <c r="AB2307" s="23"/>
      <c r="AC2307" s="23"/>
      <c r="AD2307" s="23"/>
      <c r="AE2307" s="23"/>
      <c r="AF2307" s="23"/>
      <c r="AG2307" s="23"/>
      <c r="AH2307" s="23"/>
      <c r="AI2307" s="49"/>
    </row>
    <row r="2308" spans="1:35">
      <c r="A2308" s="23"/>
      <c r="B2308" s="42"/>
      <c r="C2308" s="49"/>
      <c r="E2308" s="49"/>
      <c r="G2308" s="43"/>
      <c r="H2308" s="44"/>
      <c r="L2308" s="42"/>
      <c r="M2308" s="42"/>
      <c r="N2308" s="25"/>
      <c r="O2308" s="54"/>
      <c r="P2308"/>
      <c r="Q2308" s="25"/>
      <c r="R2308" s="54"/>
      <c r="W2308" s="23"/>
      <c r="X2308" s="23"/>
      <c r="Y2308" s="23"/>
      <c r="Z2308" s="43"/>
      <c r="AA2308" s="23"/>
      <c r="AB2308" s="23"/>
      <c r="AC2308" s="23"/>
      <c r="AD2308" s="23"/>
      <c r="AE2308" s="23"/>
      <c r="AF2308" s="23"/>
      <c r="AG2308" s="23"/>
      <c r="AH2308" s="23"/>
      <c r="AI2308" s="49"/>
    </row>
    <row r="2309" spans="1:35">
      <c r="A2309" s="23"/>
      <c r="B2309" s="42"/>
      <c r="C2309" s="49"/>
      <c r="E2309" s="49"/>
      <c r="G2309" s="43"/>
      <c r="H2309" s="44"/>
      <c r="L2309" s="42"/>
      <c r="M2309" s="42"/>
      <c r="N2309" s="25"/>
      <c r="O2309" s="54"/>
      <c r="P2309"/>
      <c r="Q2309" s="25"/>
      <c r="R2309" s="54"/>
      <c r="W2309" s="23"/>
      <c r="X2309" s="23"/>
      <c r="Y2309" s="23"/>
      <c r="Z2309" s="43"/>
      <c r="AA2309" s="23"/>
      <c r="AB2309" s="23"/>
      <c r="AC2309" s="23"/>
      <c r="AD2309" s="23"/>
      <c r="AE2309" s="23"/>
      <c r="AF2309" s="23"/>
      <c r="AG2309" s="23"/>
      <c r="AH2309" s="23"/>
      <c r="AI2309" s="49"/>
    </row>
    <row r="2310" spans="1:35">
      <c r="A2310" s="23"/>
      <c r="B2310" s="42"/>
      <c r="C2310" s="49"/>
      <c r="E2310" s="49"/>
      <c r="G2310" s="43"/>
      <c r="H2310" s="44"/>
      <c r="L2310" s="42"/>
      <c r="M2310" s="42"/>
      <c r="N2310" s="25"/>
      <c r="O2310" s="54"/>
      <c r="P2310"/>
      <c r="Q2310" s="25"/>
      <c r="R2310" s="54"/>
      <c r="W2310" s="23"/>
      <c r="X2310" s="23"/>
      <c r="Y2310" s="23"/>
      <c r="Z2310" s="43"/>
      <c r="AA2310" s="23"/>
      <c r="AB2310" s="23"/>
      <c r="AC2310" s="23"/>
      <c r="AD2310" s="23"/>
      <c r="AE2310" s="23"/>
      <c r="AF2310" s="23"/>
      <c r="AG2310" s="23"/>
      <c r="AH2310" s="23"/>
      <c r="AI2310" s="49"/>
    </row>
    <row r="2311" spans="1:35">
      <c r="A2311" s="23"/>
      <c r="B2311" s="42"/>
      <c r="C2311" s="49"/>
      <c r="E2311" s="49"/>
      <c r="G2311" s="43"/>
      <c r="H2311" s="44"/>
      <c r="L2311" s="42"/>
      <c r="M2311" s="42"/>
      <c r="N2311" s="25"/>
      <c r="O2311" s="54"/>
      <c r="P2311"/>
      <c r="Q2311" s="25"/>
      <c r="R2311" s="54"/>
      <c r="W2311" s="23"/>
      <c r="X2311" s="23"/>
      <c r="Y2311" s="23"/>
      <c r="Z2311" s="43"/>
      <c r="AA2311" s="23"/>
      <c r="AB2311" s="23"/>
      <c r="AC2311" s="23"/>
      <c r="AD2311" s="23"/>
      <c r="AE2311" s="23"/>
      <c r="AF2311" s="23"/>
      <c r="AG2311" s="23"/>
      <c r="AH2311" s="23"/>
      <c r="AI2311" s="49"/>
    </row>
    <row r="2312" spans="1:35">
      <c r="A2312" s="23"/>
      <c r="B2312" s="42"/>
      <c r="C2312" s="49"/>
      <c r="E2312" s="49"/>
      <c r="G2312" s="43"/>
      <c r="H2312" s="44"/>
      <c r="L2312" s="42"/>
      <c r="M2312" s="42"/>
      <c r="N2312" s="25"/>
      <c r="O2312" s="54"/>
      <c r="P2312"/>
      <c r="Q2312" s="25"/>
      <c r="R2312" s="54"/>
      <c r="W2312" s="23"/>
      <c r="X2312" s="23"/>
      <c r="Y2312" s="23"/>
      <c r="Z2312" s="43"/>
      <c r="AA2312" s="23"/>
      <c r="AB2312" s="23"/>
      <c r="AC2312" s="23"/>
      <c r="AD2312" s="23"/>
      <c r="AE2312" s="23"/>
      <c r="AF2312" s="23"/>
      <c r="AG2312" s="23"/>
      <c r="AH2312" s="23"/>
      <c r="AI2312" s="49"/>
    </row>
    <row r="2313" spans="1:35">
      <c r="A2313" s="23"/>
      <c r="B2313" s="42"/>
      <c r="C2313" s="49"/>
      <c r="E2313" s="49"/>
      <c r="G2313" s="43"/>
      <c r="H2313" s="44"/>
      <c r="L2313" s="42"/>
      <c r="M2313" s="42"/>
      <c r="N2313" s="25"/>
      <c r="O2313" s="54"/>
      <c r="P2313"/>
      <c r="Q2313" s="25"/>
      <c r="R2313" s="54"/>
      <c r="W2313" s="23"/>
      <c r="X2313" s="23"/>
      <c r="Y2313" s="23"/>
      <c r="Z2313" s="43"/>
      <c r="AA2313" s="23"/>
      <c r="AB2313" s="23"/>
      <c r="AC2313" s="23"/>
      <c r="AD2313" s="23"/>
      <c r="AE2313" s="23"/>
      <c r="AF2313" s="23"/>
      <c r="AG2313" s="23"/>
      <c r="AH2313" s="23"/>
      <c r="AI2313" s="49"/>
    </row>
    <row r="2314" spans="1:35">
      <c r="A2314" s="23"/>
      <c r="B2314" s="42"/>
      <c r="C2314" s="49"/>
      <c r="E2314" s="49"/>
      <c r="G2314" s="43"/>
      <c r="H2314" s="44"/>
      <c r="L2314" s="42"/>
      <c r="M2314" s="42"/>
      <c r="N2314" s="25"/>
      <c r="O2314" s="54"/>
      <c r="P2314"/>
      <c r="Q2314" s="25"/>
      <c r="R2314" s="54"/>
      <c r="W2314" s="23"/>
      <c r="X2314" s="23"/>
      <c r="Y2314" s="23"/>
      <c r="Z2314" s="43"/>
      <c r="AA2314" s="23"/>
      <c r="AB2314" s="23"/>
      <c r="AC2314" s="23"/>
      <c r="AD2314" s="23"/>
      <c r="AE2314" s="23"/>
      <c r="AF2314" s="23"/>
      <c r="AG2314" s="23"/>
      <c r="AH2314" s="23"/>
      <c r="AI2314" s="49"/>
    </row>
    <row r="2315" spans="1:35">
      <c r="A2315" s="23"/>
      <c r="B2315" s="42"/>
      <c r="C2315" s="49"/>
      <c r="E2315" s="49"/>
      <c r="G2315" s="43"/>
      <c r="H2315" s="44"/>
      <c r="L2315" s="42"/>
      <c r="M2315" s="42"/>
      <c r="N2315" s="25"/>
      <c r="O2315" s="54"/>
      <c r="P2315"/>
      <c r="Q2315" s="25"/>
      <c r="R2315" s="54"/>
      <c r="W2315" s="23"/>
      <c r="X2315" s="23"/>
      <c r="Y2315" s="23"/>
      <c r="Z2315" s="43"/>
      <c r="AA2315" s="23"/>
      <c r="AB2315" s="23"/>
      <c r="AC2315" s="23"/>
      <c r="AD2315" s="23"/>
      <c r="AE2315" s="23"/>
      <c r="AF2315" s="23"/>
      <c r="AG2315" s="23"/>
      <c r="AH2315" s="23"/>
      <c r="AI2315" s="49"/>
    </row>
    <row r="2316" spans="1:35">
      <c r="A2316" s="23"/>
      <c r="B2316" s="42"/>
      <c r="C2316" s="49"/>
      <c r="E2316" s="49"/>
      <c r="G2316" s="43"/>
      <c r="H2316" s="44"/>
      <c r="L2316" s="42"/>
      <c r="M2316" s="42"/>
      <c r="N2316" s="25"/>
      <c r="O2316" s="54"/>
      <c r="P2316"/>
      <c r="Q2316" s="25"/>
      <c r="R2316" s="54"/>
      <c r="W2316" s="23"/>
      <c r="X2316" s="23"/>
      <c r="Y2316" s="23"/>
      <c r="Z2316" s="43"/>
      <c r="AA2316" s="23"/>
      <c r="AB2316" s="23"/>
      <c r="AC2316" s="23"/>
      <c r="AD2316" s="23"/>
      <c r="AE2316" s="23"/>
      <c r="AF2316" s="23"/>
      <c r="AG2316" s="23"/>
      <c r="AH2316" s="23"/>
      <c r="AI2316" s="49"/>
    </row>
    <row r="2317" spans="1:35">
      <c r="A2317" s="23"/>
      <c r="B2317" s="42"/>
      <c r="C2317" s="49"/>
      <c r="E2317" s="49"/>
      <c r="G2317" s="43"/>
      <c r="H2317" s="44"/>
      <c r="L2317" s="42"/>
      <c r="M2317" s="42"/>
      <c r="N2317" s="25"/>
      <c r="O2317" s="54"/>
      <c r="P2317"/>
      <c r="Q2317" s="25"/>
      <c r="R2317" s="54"/>
      <c r="W2317" s="23"/>
      <c r="X2317" s="23"/>
      <c r="Y2317" s="23"/>
      <c r="Z2317" s="43"/>
      <c r="AA2317" s="23"/>
      <c r="AB2317" s="23"/>
      <c r="AC2317" s="23"/>
      <c r="AD2317" s="23"/>
      <c r="AE2317" s="23"/>
      <c r="AF2317" s="23"/>
      <c r="AG2317" s="23"/>
      <c r="AH2317" s="23"/>
      <c r="AI2317" s="49"/>
    </row>
    <row r="2318" spans="1:35">
      <c r="A2318" s="23"/>
      <c r="B2318" s="42"/>
      <c r="C2318" s="49"/>
      <c r="E2318" s="49"/>
      <c r="G2318" s="43"/>
      <c r="H2318" s="44"/>
      <c r="L2318" s="42"/>
      <c r="M2318" s="42"/>
      <c r="N2318" s="25"/>
      <c r="O2318" s="54"/>
      <c r="P2318"/>
      <c r="Q2318" s="25"/>
      <c r="R2318" s="54"/>
      <c r="W2318" s="23"/>
      <c r="X2318" s="23"/>
      <c r="Y2318" s="23"/>
      <c r="Z2318" s="43"/>
      <c r="AA2318" s="23"/>
      <c r="AB2318" s="23"/>
      <c r="AC2318" s="23"/>
      <c r="AD2318" s="23"/>
      <c r="AE2318" s="23"/>
      <c r="AF2318" s="23"/>
      <c r="AG2318" s="23"/>
      <c r="AH2318" s="23"/>
      <c r="AI2318" s="49"/>
    </row>
    <row r="2319" spans="1:35">
      <c r="A2319" s="23"/>
      <c r="B2319" s="42"/>
      <c r="C2319" s="49"/>
      <c r="E2319" s="49"/>
      <c r="G2319" s="43"/>
      <c r="H2319" s="44"/>
      <c r="L2319" s="42"/>
      <c r="M2319" s="42"/>
      <c r="N2319" s="25"/>
      <c r="O2319" s="54"/>
      <c r="P2319"/>
      <c r="Q2319" s="25"/>
      <c r="R2319" s="54"/>
      <c r="W2319" s="23"/>
      <c r="X2319" s="23"/>
      <c r="Y2319" s="23"/>
      <c r="Z2319" s="43"/>
      <c r="AA2319" s="23"/>
      <c r="AB2319" s="23"/>
      <c r="AC2319" s="23"/>
      <c r="AD2319" s="23"/>
      <c r="AE2319" s="23"/>
      <c r="AF2319" s="23"/>
      <c r="AG2319" s="23"/>
      <c r="AH2319" s="23"/>
      <c r="AI2319" s="49"/>
    </row>
    <row r="2320" spans="1:35">
      <c r="A2320" s="23"/>
      <c r="B2320" s="42"/>
      <c r="C2320" s="49"/>
      <c r="E2320" s="49"/>
      <c r="G2320" s="43"/>
      <c r="H2320" s="44"/>
      <c r="L2320" s="42"/>
      <c r="M2320" s="42"/>
      <c r="N2320" s="25"/>
      <c r="O2320" s="54"/>
      <c r="P2320"/>
      <c r="Q2320" s="25"/>
      <c r="R2320" s="54"/>
      <c r="W2320" s="23"/>
      <c r="X2320" s="23"/>
      <c r="Y2320" s="23"/>
      <c r="Z2320" s="43"/>
      <c r="AA2320" s="23"/>
      <c r="AB2320" s="23"/>
      <c r="AC2320" s="23"/>
      <c r="AD2320" s="23"/>
      <c r="AE2320" s="23"/>
      <c r="AF2320" s="23"/>
      <c r="AG2320" s="23"/>
      <c r="AH2320" s="23"/>
      <c r="AI2320" s="49"/>
    </row>
    <row r="2321" spans="1:35">
      <c r="A2321" s="23"/>
      <c r="B2321" s="42"/>
      <c r="C2321" s="49"/>
      <c r="E2321" s="49"/>
      <c r="G2321" s="43"/>
      <c r="H2321" s="44"/>
      <c r="L2321" s="42"/>
      <c r="M2321" s="42"/>
      <c r="N2321" s="25"/>
      <c r="O2321" s="54"/>
      <c r="P2321"/>
      <c r="Q2321" s="25"/>
      <c r="R2321" s="54"/>
      <c r="W2321" s="23"/>
      <c r="X2321" s="23"/>
      <c r="Y2321" s="23"/>
      <c r="Z2321" s="43"/>
      <c r="AA2321" s="23"/>
      <c r="AB2321" s="23"/>
      <c r="AC2321" s="23"/>
      <c r="AD2321" s="23"/>
      <c r="AE2321" s="23"/>
      <c r="AF2321" s="23"/>
      <c r="AG2321" s="23"/>
      <c r="AH2321" s="23"/>
      <c r="AI2321" s="49"/>
    </row>
    <row r="2322" spans="1:35">
      <c r="A2322" s="23"/>
      <c r="B2322" s="42"/>
      <c r="C2322" s="49"/>
      <c r="E2322" s="49"/>
      <c r="G2322" s="43"/>
      <c r="H2322" s="44"/>
      <c r="L2322" s="42"/>
      <c r="M2322" s="42"/>
      <c r="N2322" s="25"/>
      <c r="O2322" s="54"/>
      <c r="P2322"/>
      <c r="Q2322" s="25"/>
      <c r="R2322" s="54"/>
      <c r="W2322" s="23"/>
      <c r="X2322" s="23"/>
      <c r="Y2322" s="23"/>
      <c r="Z2322" s="43"/>
      <c r="AA2322" s="23"/>
      <c r="AB2322" s="23"/>
      <c r="AC2322" s="23"/>
      <c r="AD2322" s="23"/>
      <c r="AE2322" s="23"/>
      <c r="AF2322" s="23"/>
      <c r="AG2322" s="23"/>
      <c r="AH2322" s="23"/>
      <c r="AI2322" s="49"/>
    </row>
    <row r="2323" spans="1:35">
      <c r="A2323" s="23"/>
      <c r="B2323" s="42"/>
      <c r="C2323" s="49"/>
      <c r="E2323" s="49"/>
      <c r="G2323" s="43"/>
      <c r="H2323" s="44"/>
      <c r="L2323" s="42"/>
      <c r="M2323" s="42"/>
      <c r="N2323" s="25"/>
      <c r="O2323" s="54"/>
      <c r="P2323"/>
      <c r="Q2323" s="25"/>
      <c r="R2323" s="54"/>
      <c r="W2323" s="23"/>
      <c r="X2323" s="23"/>
      <c r="Y2323" s="23"/>
      <c r="Z2323" s="43"/>
      <c r="AA2323" s="23"/>
      <c r="AB2323" s="23"/>
      <c r="AC2323" s="23"/>
      <c r="AD2323" s="23"/>
      <c r="AE2323" s="23"/>
      <c r="AF2323" s="23"/>
      <c r="AG2323" s="23"/>
      <c r="AH2323" s="23"/>
      <c r="AI2323" s="49"/>
    </row>
    <row r="2324" spans="1:35">
      <c r="A2324" s="23"/>
      <c r="B2324" s="42"/>
      <c r="C2324" s="49"/>
      <c r="E2324" s="49"/>
      <c r="G2324" s="43"/>
      <c r="H2324" s="44"/>
      <c r="L2324" s="42"/>
      <c r="M2324" s="42"/>
      <c r="N2324" s="25"/>
      <c r="O2324" s="54"/>
      <c r="P2324"/>
      <c r="Q2324" s="25"/>
      <c r="R2324" s="54"/>
      <c r="W2324" s="23"/>
      <c r="X2324" s="23"/>
      <c r="Y2324" s="23"/>
      <c r="Z2324" s="43"/>
      <c r="AA2324" s="23"/>
      <c r="AB2324" s="23"/>
      <c r="AC2324" s="23"/>
      <c r="AD2324" s="23"/>
      <c r="AE2324" s="23"/>
      <c r="AF2324" s="23"/>
      <c r="AG2324" s="23"/>
      <c r="AH2324" s="23"/>
      <c r="AI2324" s="49"/>
    </row>
    <row r="2325" spans="1:35">
      <c r="A2325" s="23"/>
      <c r="B2325" s="42"/>
      <c r="C2325" s="49"/>
      <c r="E2325" s="49"/>
      <c r="G2325" s="43"/>
      <c r="H2325" s="44"/>
      <c r="L2325" s="42"/>
      <c r="M2325" s="42"/>
      <c r="N2325" s="25"/>
      <c r="O2325" s="54"/>
      <c r="P2325"/>
      <c r="Q2325" s="25"/>
      <c r="R2325" s="54"/>
      <c r="W2325" s="23"/>
      <c r="X2325" s="23"/>
      <c r="Y2325" s="23"/>
      <c r="Z2325" s="43"/>
      <c r="AA2325" s="23"/>
      <c r="AB2325" s="23"/>
      <c r="AC2325" s="23"/>
      <c r="AD2325" s="23"/>
      <c r="AE2325" s="23"/>
      <c r="AF2325" s="23"/>
      <c r="AG2325" s="23"/>
      <c r="AH2325" s="23"/>
      <c r="AI2325" s="49"/>
    </row>
    <row r="2326" spans="1:35">
      <c r="A2326" s="23"/>
      <c r="B2326" s="42"/>
      <c r="C2326" s="49"/>
      <c r="E2326" s="49"/>
      <c r="G2326" s="43"/>
      <c r="H2326" s="44"/>
      <c r="L2326" s="42"/>
      <c r="M2326" s="42"/>
      <c r="N2326" s="25"/>
      <c r="O2326" s="54"/>
      <c r="P2326"/>
      <c r="Q2326" s="25"/>
      <c r="R2326" s="54"/>
      <c r="W2326" s="23"/>
      <c r="X2326" s="23"/>
      <c r="Y2326" s="23"/>
      <c r="Z2326" s="43"/>
      <c r="AA2326" s="23"/>
      <c r="AB2326" s="23"/>
      <c r="AC2326" s="23"/>
      <c r="AD2326" s="23"/>
      <c r="AE2326" s="23"/>
      <c r="AF2326" s="23"/>
      <c r="AG2326" s="23"/>
      <c r="AH2326" s="23"/>
      <c r="AI2326" s="49"/>
    </row>
    <row r="2327" spans="1:35">
      <c r="A2327" s="23"/>
      <c r="B2327" s="42"/>
      <c r="C2327" s="49"/>
      <c r="E2327" s="49"/>
      <c r="G2327" s="43"/>
      <c r="H2327" s="44"/>
      <c r="L2327" s="42"/>
      <c r="M2327" s="42"/>
      <c r="N2327" s="25"/>
      <c r="O2327" s="54"/>
      <c r="P2327"/>
      <c r="Q2327" s="25"/>
      <c r="R2327" s="54"/>
      <c r="W2327" s="23"/>
      <c r="X2327" s="23"/>
      <c r="Y2327" s="23"/>
      <c r="Z2327" s="43"/>
      <c r="AA2327" s="23"/>
      <c r="AB2327" s="23"/>
      <c r="AC2327" s="23"/>
      <c r="AD2327" s="23"/>
      <c r="AE2327" s="23"/>
      <c r="AF2327" s="23"/>
      <c r="AG2327" s="23"/>
      <c r="AH2327" s="23"/>
      <c r="AI2327" s="49"/>
    </row>
    <row r="2328" spans="1:35">
      <c r="A2328" s="23"/>
      <c r="B2328" s="42"/>
      <c r="C2328" s="49"/>
      <c r="E2328" s="49"/>
      <c r="G2328" s="43"/>
      <c r="H2328" s="44"/>
      <c r="L2328" s="42"/>
      <c r="M2328" s="42"/>
      <c r="N2328" s="25"/>
      <c r="O2328" s="54"/>
      <c r="P2328"/>
      <c r="Q2328" s="25"/>
      <c r="R2328" s="54"/>
      <c r="W2328" s="23"/>
      <c r="X2328" s="23"/>
      <c r="Y2328" s="23"/>
      <c r="Z2328" s="43"/>
      <c r="AA2328" s="23"/>
      <c r="AB2328" s="23"/>
      <c r="AC2328" s="23"/>
      <c r="AD2328" s="23"/>
      <c r="AE2328" s="23"/>
      <c r="AF2328" s="23"/>
      <c r="AG2328" s="23"/>
      <c r="AH2328" s="23"/>
      <c r="AI2328" s="49"/>
    </row>
    <row r="2329" spans="1:35">
      <c r="A2329" s="23"/>
      <c r="B2329" s="42"/>
      <c r="C2329" s="49"/>
      <c r="E2329" s="49"/>
      <c r="G2329" s="43"/>
      <c r="H2329" s="44"/>
      <c r="L2329" s="42"/>
      <c r="M2329" s="42"/>
      <c r="N2329" s="25"/>
      <c r="O2329" s="54"/>
      <c r="P2329"/>
      <c r="Q2329" s="25"/>
      <c r="R2329" s="54"/>
      <c r="W2329" s="23"/>
      <c r="X2329" s="23"/>
      <c r="Y2329" s="23"/>
      <c r="Z2329" s="43"/>
      <c r="AA2329" s="23"/>
      <c r="AB2329" s="23"/>
      <c r="AC2329" s="23"/>
      <c r="AD2329" s="23"/>
      <c r="AE2329" s="23"/>
      <c r="AF2329" s="23"/>
      <c r="AG2329" s="23"/>
      <c r="AH2329" s="23"/>
      <c r="AI2329" s="49"/>
    </row>
    <row r="2330" spans="1:35">
      <c r="A2330" s="23"/>
      <c r="B2330" s="42"/>
      <c r="C2330" s="49"/>
      <c r="E2330" s="49"/>
      <c r="G2330" s="43"/>
      <c r="H2330" s="44"/>
      <c r="L2330" s="42"/>
      <c r="M2330" s="42"/>
      <c r="N2330" s="25"/>
      <c r="O2330" s="54"/>
      <c r="P2330"/>
      <c r="Q2330" s="25"/>
      <c r="R2330" s="54"/>
      <c r="W2330" s="23"/>
      <c r="X2330" s="23"/>
      <c r="Y2330" s="23"/>
      <c r="Z2330" s="43"/>
      <c r="AA2330" s="23"/>
      <c r="AB2330" s="23"/>
      <c r="AC2330" s="23"/>
      <c r="AD2330" s="23"/>
      <c r="AE2330" s="23"/>
      <c r="AF2330" s="23"/>
      <c r="AG2330" s="23"/>
      <c r="AH2330" s="23"/>
      <c r="AI2330" s="49"/>
    </row>
    <row r="2331" spans="1:35">
      <c r="A2331" s="23"/>
      <c r="B2331" s="42"/>
      <c r="C2331" s="49"/>
      <c r="E2331" s="49"/>
      <c r="G2331" s="43"/>
      <c r="H2331" s="44"/>
      <c r="L2331" s="42"/>
      <c r="M2331" s="42"/>
      <c r="N2331" s="25"/>
      <c r="O2331" s="54"/>
      <c r="P2331"/>
      <c r="Q2331" s="25"/>
      <c r="R2331" s="54"/>
      <c r="W2331" s="23"/>
      <c r="X2331" s="23"/>
      <c r="Y2331" s="23"/>
      <c r="Z2331" s="43"/>
      <c r="AA2331" s="23"/>
      <c r="AB2331" s="23"/>
      <c r="AC2331" s="23"/>
      <c r="AD2331" s="23"/>
      <c r="AE2331" s="23"/>
      <c r="AF2331" s="23"/>
      <c r="AG2331" s="23"/>
      <c r="AH2331" s="23"/>
      <c r="AI2331" s="49"/>
    </row>
    <row r="2332" spans="1:35">
      <c r="A2332" s="23"/>
      <c r="B2332" s="42"/>
      <c r="C2332" s="49"/>
      <c r="E2332" s="49"/>
      <c r="G2332" s="43"/>
      <c r="H2332" s="44"/>
      <c r="L2332" s="42"/>
      <c r="M2332" s="42"/>
      <c r="N2332" s="25"/>
      <c r="O2332" s="54"/>
      <c r="P2332"/>
      <c r="Q2332" s="25"/>
      <c r="R2332" s="54"/>
      <c r="W2332" s="23"/>
      <c r="X2332" s="23"/>
      <c r="Y2332" s="23"/>
      <c r="Z2332" s="43"/>
      <c r="AA2332" s="23"/>
      <c r="AB2332" s="23"/>
      <c r="AC2332" s="23"/>
      <c r="AD2332" s="23"/>
      <c r="AE2332" s="23"/>
      <c r="AF2332" s="23"/>
      <c r="AG2332" s="23"/>
      <c r="AH2332" s="23"/>
      <c r="AI2332" s="49"/>
    </row>
    <row r="2333" spans="1:35">
      <c r="A2333" s="23"/>
      <c r="B2333" s="42"/>
      <c r="C2333" s="49"/>
      <c r="E2333" s="49"/>
      <c r="G2333" s="43"/>
      <c r="H2333" s="44"/>
      <c r="L2333" s="42"/>
      <c r="M2333" s="42"/>
      <c r="N2333" s="25"/>
      <c r="O2333" s="54"/>
      <c r="P2333"/>
      <c r="Q2333" s="25"/>
      <c r="R2333" s="54"/>
      <c r="W2333" s="23"/>
      <c r="X2333" s="23"/>
      <c r="Y2333" s="23"/>
      <c r="Z2333" s="43"/>
      <c r="AA2333" s="23"/>
      <c r="AB2333" s="23"/>
      <c r="AC2333" s="23"/>
      <c r="AD2333" s="23"/>
      <c r="AE2333" s="23"/>
      <c r="AF2333" s="23"/>
      <c r="AG2333" s="23"/>
      <c r="AH2333" s="23"/>
      <c r="AI2333" s="49"/>
    </row>
    <row r="2334" spans="1:35">
      <c r="A2334" s="23"/>
      <c r="B2334" s="42"/>
      <c r="C2334" s="49"/>
      <c r="E2334" s="49"/>
      <c r="G2334" s="43"/>
      <c r="H2334" s="44"/>
      <c r="L2334" s="42"/>
      <c r="M2334" s="42"/>
      <c r="N2334" s="25"/>
      <c r="O2334" s="54"/>
      <c r="P2334"/>
      <c r="Q2334" s="25"/>
      <c r="R2334" s="54"/>
      <c r="W2334" s="23"/>
      <c r="X2334" s="23"/>
      <c r="Y2334" s="23"/>
      <c r="Z2334" s="43"/>
      <c r="AA2334" s="23"/>
      <c r="AB2334" s="23"/>
      <c r="AC2334" s="23"/>
      <c r="AD2334" s="23"/>
      <c r="AE2334" s="23"/>
      <c r="AF2334" s="23"/>
      <c r="AG2334" s="23"/>
      <c r="AH2334" s="23"/>
      <c r="AI2334" s="49"/>
    </row>
    <row r="2335" spans="1:35">
      <c r="A2335" s="23"/>
      <c r="B2335" s="42"/>
      <c r="C2335" s="49"/>
      <c r="E2335" s="49"/>
      <c r="G2335" s="43"/>
      <c r="H2335" s="44"/>
      <c r="L2335" s="42"/>
      <c r="M2335" s="42"/>
      <c r="N2335" s="25"/>
      <c r="O2335" s="54"/>
      <c r="P2335"/>
      <c r="Q2335" s="25"/>
      <c r="R2335" s="54"/>
      <c r="W2335" s="23"/>
      <c r="X2335" s="23"/>
      <c r="Y2335" s="23"/>
      <c r="Z2335" s="43"/>
      <c r="AA2335" s="23"/>
      <c r="AB2335" s="23"/>
      <c r="AC2335" s="23"/>
      <c r="AD2335" s="23"/>
      <c r="AE2335" s="23"/>
      <c r="AF2335" s="23"/>
      <c r="AG2335" s="23"/>
      <c r="AH2335" s="23"/>
      <c r="AI2335" s="49"/>
    </row>
    <row r="2336" spans="1:35">
      <c r="A2336" s="23"/>
      <c r="B2336" s="42"/>
      <c r="C2336" s="49"/>
      <c r="E2336" s="49"/>
      <c r="G2336" s="43"/>
      <c r="H2336" s="44"/>
      <c r="L2336" s="42"/>
      <c r="M2336" s="42"/>
      <c r="N2336" s="25"/>
      <c r="O2336" s="54"/>
      <c r="P2336"/>
      <c r="Q2336" s="25"/>
      <c r="R2336" s="54"/>
      <c r="W2336" s="23"/>
      <c r="X2336" s="23"/>
      <c r="Y2336" s="23"/>
      <c r="Z2336" s="43"/>
      <c r="AA2336" s="23"/>
      <c r="AB2336" s="23"/>
      <c r="AC2336" s="23"/>
      <c r="AD2336" s="23"/>
      <c r="AE2336" s="23"/>
      <c r="AF2336" s="23"/>
      <c r="AG2336" s="23"/>
      <c r="AH2336" s="23"/>
      <c r="AI2336" s="49"/>
    </row>
    <row r="2337" spans="1:35">
      <c r="A2337" s="23"/>
      <c r="B2337" s="42"/>
      <c r="C2337" s="49"/>
      <c r="E2337" s="49"/>
      <c r="G2337" s="43"/>
      <c r="H2337" s="44"/>
      <c r="L2337" s="42"/>
      <c r="M2337" s="42"/>
      <c r="N2337" s="25"/>
      <c r="O2337" s="54"/>
      <c r="P2337"/>
      <c r="Q2337" s="25"/>
      <c r="R2337" s="54"/>
      <c r="W2337" s="23"/>
      <c r="X2337" s="23"/>
      <c r="Y2337" s="23"/>
      <c r="Z2337" s="43"/>
      <c r="AA2337" s="23"/>
      <c r="AB2337" s="23"/>
      <c r="AC2337" s="23"/>
      <c r="AD2337" s="23"/>
      <c r="AE2337" s="23"/>
      <c r="AF2337" s="23"/>
      <c r="AG2337" s="23"/>
      <c r="AH2337" s="23"/>
      <c r="AI2337" s="49"/>
    </row>
    <row r="2338" spans="1:35">
      <c r="A2338" s="23"/>
      <c r="B2338" s="42"/>
      <c r="C2338" s="49"/>
      <c r="E2338" s="49"/>
      <c r="G2338" s="43"/>
      <c r="H2338" s="44"/>
      <c r="L2338" s="42"/>
      <c r="M2338" s="42"/>
      <c r="N2338" s="25"/>
      <c r="O2338" s="54"/>
      <c r="P2338"/>
      <c r="Q2338" s="25"/>
      <c r="R2338" s="54"/>
      <c r="W2338" s="23"/>
      <c r="X2338" s="23"/>
      <c r="Y2338" s="23"/>
      <c r="Z2338" s="43"/>
      <c r="AA2338" s="23"/>
      <c r="AB2338" s="23"/>
      <c r="AC2338" s="23"/>
      <c r="AD2338" s="23"/>
      <c r="AE2338" s="23"/>
      <c r="AF2338" s="23"/>
      <c r="AG2338" s="23"/>
      <c r="AH2338" s="23"/>
      <c r="AI2338" s="49"/>
    </row>
    <row r="2339" spans="1:35">
      <c r="A2339" s="23"/>
      <c r="B2339" s="42"/>
      <c r="C2339" s="49"/>
      <c r="E2339" s="49"/>
      <c r="G2339" s="43"/>
      <c r="H2339" s="44"/>
      <c r="L2339" s="42"/>
      <c r="M2339" s="42"/>
      <c r="N2339" s="25"/>
      <c r="O2339" s="54"/>
      <c r="P2339"/>
      <c r="Q2339" s="25"/>
      <c r="R2339" s="54"/>
      <c r="W2339" s="23"/>
      <c r="X2339" s="23"/>
      <c r="Y2339" s="23"/>
      <c r="Z2339" s="43"/>
      <c r="AA2339" s="23"/>
      <c r="AB2339" s="23"/>
      <c r="AC2339" s="23"/>
      <c r="AD2339" s="23"/>
      <c r="AE2339" s="23"/>
      <c r="AF2339" s="23"/>
      <c r="AG2339" s="23"/>
      <c r="AH2339" s="23"/>
      <c r="AI2339" s="49"/>
    </row>
    <row r="2340" spans="1:35">
      <c r="A2340" s="23"/>
      <c r="B2340" s="42"/>
      <c r="C2340" s="49"/>
      <c r="E2340" s="49"/>
      <c r="G2340" s="43"/>
      <c r="H2340" s="44"/>
      <c r="L2340" s="42"/>
      <c r="M2340" s="42"/>
      <c r="N2340" s="25"/>
      <c r="O2340" s="54"/>
      <c r="P2340"/>
      <c r="Q2340" s="25"/>
      <c r="R2340" s="54"/>
      <c r="W2340" s="23"/>
      <c r="X2340" s="23"/>
      <c r="Y2340" s="23"/>
      <c r="Z2340" s="43"/>
      <c r="AA2340" s="23"/>
      <c r="AB2340" s="23"/>
      <c r="AC2340" s="23"/>
      <c r="AD2340" s="23"/>
      <c r="AE2340" s="23"/>
      <c r="AF2340" s="23"/>
      <c r="AG2340" s="23"/>
      <c r="AH2340" s="23"/>
      <c r="AI2340" s="49"/>
    </row>
    <row r="2341" spans="1:35">
      <c r="A2341" s="23"/>
      <c r="B2341" s="42"/>
      <c r="C2341" s="49"/>
      <c r="E2341" s="49"/>
      <c r="G2341" s="43"/>
      <c r="H2341" s="44"/>
      <c r="L2341" s="42"/>
      <c r="M2341" s="42"/>
      <c r="N2341" s="25"/>
      <c r="O2341" s="54"/>
      <c r="P2341"/>
      <c r="Q2341" s="25"/>
      <c r="R2341" s="54"/>
      <c r="W2341" s="23"/>
      <c r="X2341" s="23"/>
      <c r="Y2341" s="23"/>
      <c r="Z2341" s="43"/>
      <c r="AA2341" s="23"/>
      <c r="AB2341" s="23"/>
      <c r="AC2341" s="23"/>
      <c r="AD2341" s="23"/>
      <c r="AE2341" s="23"/>
      <c r="AF2341" s="23"/>
      <c r="AG2341" s="23"/>
      <c r="AH2341" s="23"/>
      <c r="AI2341" s="49"/>
    </row>
    <row r="2342" spans="1:35">
      <c r="A2342" s="23"/>
      <c r="B2342" s="42"/>
      <c r="C2342" s="49"/>
      <c r="E2342" s="49"/>
      <c r="G2342" s="43"/>
      <c r="H2342" s="44"/>
      <c r="L2342" s="42"/>
      <c r="M2342" s="42"/>
      <c r="N2342" s="25"/>
      <c r="O2342" s="54"/>
      <c r="P2342"/>
      <c r="Q2342" s="25"/>
      <c r="R2342" s="54"/>
      <c r="W2342" s="23"/>
      <c r="X2342" s="23"/>
      <c r="Y2342" s="23"/>
      <c r="Z2342" s="43"/>
      <c r="AA2342" s="23"/>
      <c r="AB2342" s="23"/>
      <c r="AC2342" s="23"/>
      <c r="AD2342" s="23"/>
      <c r="AE2342" s="23"/>
      <c r="AF2342" s="23"/>
      <c r="AG2342" s="23"/>
      <c r="AH2342" s="23"/>
      <c r="AI2342" s="49"/>
    </row>
    <row r="2343" spans="1:35">
      <c r="A2343" s="23"/>
      <c r="B2343" s="42"/>
      <c r="C2343" s="49"/>
      <c r="E2343" s="49"/>
      <c r="G2343" s="43"/>
      <c r="H2343" s="44"/>
      <c r="L2343" s="42"/>
      <c r="M2343" s="42"/>
      <c r="N2343" s="25"/>
      <c r="O2343" s="54"/>
      <c r="P2343"/>
      <c r="Q2343" s="25"/>
      <c r="R2343" s="54"/>
      <c r="W2343" s="23"/>
      <c r="X2343" s="23"/>
      <c r="Y2343" s="23"/>
      <c r="Z2343" s="43"/>
      <c r="AA2343" s="23"/>
      <c r="AB2343" s="23"/>
      <c r="AC2343" s="23"/>
      <c r="AD2343" s="23"/>
      <c r="AE2343" s="23"/>
      <c r="AF2343" s="23"/>
      <c r="AG2343" s="23"/>
      <c r="AH2343" s="23"/>
      <c r="AI2343" s="49"/>
    </row>
    <row r="2344" spans="1:35">
      <c r="A2344" s="23"/>
      <c r="B2344" s="42"/>
      <c r="C2344" s="49"/>
      <c r="E2344" s="49"/>
      <c r="G2344" s="43"/>
      <c r="H2344" s="44"/>
      <c r="L2344" s="42"/>
      <c r="M2344" s="42"/>
      <c r="N2344" s="25"/>
      <c r="O2344" s="54"/>
      <c r="P2344"/>
      <c r="Q2344" s="25"/>
      <c r="R2344" s="54"/>
      <c r="W2344" s="23"/>
      <c r="X2344" s="23"/>
      <c r="Y2344" s="23"/>
      <c r="Z2344" s="43"/>
      <c r="AA2344" s="23"/>
      <c r="AB2344" s="23"/>
      <c r="AC2344" s="23"/>
      <c r="AD2344" s="23"/>
      <c r="AE2344" s="23"/>
      <c r="AF2344" s="23"/>
      <c r="AG2344" s="23"/>
      <c r="AH2344" s="23"/>
      <c r="AI2344" s="49"/>
    </row>
    <row r="2345" spans="1:35">
      <c r="A2345" s="23"/>
      <c r="B2345" s="42"/>
      <c r="C2345" s="49"/>
      <c r="E2345" s="49"/>
      <c r="G2345" s="43"/>
      <c r="H2345" s="44"/>
      <c r="L2345" s="42"/>
      <c r="M2345" s="42"/>
      <c r="N2345" s="25"/>
      <c r="O2345" s="54"/>
      <c r="P2345"/>
      <c r="Q2345" s="25"/>
      <c r="R2345" s="54"/>
      <c r="W2345" s="23"/>
      <c r="X2345" s="23"/>
      <c r="Y2345" s="23"/>
      <c r="Z2345" s="43"/>
      <c r="AA2345" s="23"/>
      <c r="AB2345" s="23"/>
      <c r="AC2345" s="23"/>
      <c r="AD2345" s="23"/>
      <c r="AE2345" s="23"/>
      <c r="AF2345" s="23"/>
      <c r="AG2345" s="23"/>
      <c r="AH2345" s="23"/>
      <c r="AI2345" s="49"/>
    </row>
    <row r="2346" spans="1:35">
      <c r="A2346" s="23"/>
      <c r="B2346" s="42"/>
      <c r="C2346" s="49"/>
      <c r="E2346" s="49"/>
      <c r="G2346" s="43"/>
      <c r="H2346" s="44"/>
      <c r="L2346" s="42"/>
      <c r="M2346" s="42"/>
      <c r="N2346" s="25"/>
      <c r="O2346" s="54"/>
      <c r="P2346"/>
      <c r="Q2346" s="25"/>
      <c r="R2346" s="54"/>
      <c r="W2346" s="23"/>
      <c r="X2346" s="23"/>
      <c r="Y2346" s="23"/>
      <c r="Z2346" s="43"/>
      <c r="AA2346" s="23"/>
      <c r="AB2346" s="23"/>
      <c r="AC2346" s="23"/>
      <c r="AD2346" s="23"/>
      <c r="AE2346" s="23"/>
      <c r="AF2346" s="23"/>
      <c r="AG2346" s="23"/>
      <c r="AH2346" s="23"/>
      <c r="AI2346" s="49"/>
    </row>
    <row r="2347" spans="1:35">
      <c r="A2347" s="23"/>
      <c r="B2347" s="42"/>
      <c r="C2347" s="49"/>
      <c r="E2347" s="49"/>
      <c r="G2347" s="43"/>
      <c r="H2347" s="44"/>
      <c r="L2347" s="42"/>
      <c r="M2347" s="42"/>
      <c r="N2347" s="25"/>
      <c r="O2347" s="54"/>
      <c r="P2347"/>
      <c r="Q2347" s="25"/>
      <c r="R2347" s="54"/>
      <c r="W2347" s="23"/>
      <c r="X2347" s="23"/>
      <c r="Y2347" s="23"/>
      <c r="Z2347" s="43"/>
      <c r="AA2347" s="23"/>
      <c r="AB2347" s="23"/>
      <c r="AC2347" s="23"/>
      <c r="AD2347" s="23"/>
      <c r="AE2347" s="23"/>
      <c r="AF2347" s="23"/>
      <c r="AG2347" s="23"/>
      <c r="AH2347" s="23"/>
      <c r="AI2347" s="49"/>
    </row>
    <row r="2348" spans="1:35">
      <c r="A2348" s="23"/>
      <c r="B2348" s="42"/>
      <c r="C2348" s="49"/>
      <c r="E2348" s="49"/>
      <c r="G2348" s="43"/>
      <c r="H2348" s="44"/>
      <c r="L2348" s="42"/>
      <c r="M2348" s="42"/>
      <c r="N2348" s="25"/>
      <c r="O2348" s="54"/>
      <c r="P2348"/>
      <c r="Q2348" s="25"/>
      <c r="R2348" s="54"/>
      <c r="W2348" s="23"/>
      <c r="X2348" s="23"/>
      <c r="Y2348" s="23"/>
      <c r="Z2348" s="43"/>
      <c r="AA2348" s="23"/>
      <c r="AB2348" s="23"/>
      <c r="AC2348" s="23"/>
      <c r="AD2348" s="23"/>
      <c r="AE2348" s="23"/>
      <c r="AF2348" s="23"/>
      <c r="AG2348" s="23"/>
      <c r="AH2348" s="23"/>
      <c r="AI2348" s="49"/>
    </row>
    <row r="2349" spans="1:35">
      <c r="A2349" s="23"/>
      <c r="B2349" s="42"/>
      <c r="C2349" s="49"/>
      <c r="E2349" s="49"/>
      <c r="G2349" s="43"/>
      <c r="H2349" s="44"/>
      <c r="L2349" s="42"/>
      <c r="M2349" s="42"/>
      <c r="N2349" s="25"/>
      <c r="O2349" s="54"/>
      <c r="P2349"/>
      <c r="Q2349" s="25"/>
      <c r="R2349" s="54"/>
      <c r="W2349" s="23"/>
      <c r="X2349" s="23"/>
      <c r="Y2349" s="23"/>
      <c r="Z2349" s="43"/>
      <c r="AA2349" s="23"/>
      <c r="AB2349" s="23"/>
      <c r="AC2349" s="23"/>
      <c r="AD2349" s="23"/>
      <c r="AE2349" s="23"/>
      <c r="AF2349" s="23"/>
      <c r="AG2349" s="23"/>
      <c r="AH2349" s="23"/>
      <c r="AI2349" s="49"/>
    </row>
    <row r="2350" spans="1:35">
      <c r="A2350" s="23"/>
      <c r="B2350" s="42"/>
      <c r="C2350" s="49"/>
      <c r="E2350" s="49"/>
      <c r="G2350" s="43"/>
      <c r="H2350" s="44"/>
      <c r="L2350" s="42"/>
      <c r="M2350" s="42"/>
      <c r="N2350" s="25"/>
      <c r="O2350" s="54"/>
      <c r="P2350"/>
      <c r="Q2350" s="25"/>
      <c r="R2350" s="54"/>
      <c r="W2350" s="23"/>
      <c r="X2350" s="23"/>
      <c r="Y2350" s="23"/>
      <c r="Z2350" s="43"/>
      <c r="AA2350" s="23"/>
      <c r="AB2350" s="23"/>
      <c r="AC2350" s="23"/>
      <c r="AD2350" s="23"/>
      <c r="AE2350" s="23"/>
      <c r="AF2350" s="23"/>
      <c r="AG2350" s="23"/>
      <c r="AH2350" s="23"/>
      <c r="AI2350" s="49"/>
    </row>
    <row r="2351" spans="1:35">
      <c r="A2351" s="23"/>
      <c r="B2351" s="42"/>
      <c r="C2351" s="49"/>
      <c r="E2351" s="49"/>
      <c r="G2351" s="43"/>
      <c r="H2351" s="44"/>
      <c r="L2351" s="42"/>
      <c r="M2351" s="42"/>
      <c r="N2351" s="25"/>
      <c r="O2351" s="54"/>
      <c r="P2351"/>
      <c r="Q2351" s="25"/>
      <c r="R2351" s="54"/>
      <c r="W2351" s="23"/>
      <c r="X2351" s="23"/>
      <c r="Y2351" s="23"/>
      <c r="Z2351" s="43"/>
      <c r="AA2351" s="23"/>
      <c r="AB2351" s="23"/>
      <c r="AC2351" s="23"/>
      <c r="AD2351" s="23"/>
      <c r="AE2351" s="23"/>
      <c r="AF2351" s="23"/>
      <c r="AG2351" s="23"/>
      <c r="AH2351" s="23"/>
      <c r="AI2351" s="49"/>
    </row>
    <row r="2352" spans="1:35">
      <c r="A2352" s="23"/>
      <c r="B2352" s="42"/>
      <c r="C2352" s="49"/>
      <c r="E2352" s="49"/>
      <c r="G2352" s="43"/>
      <c r="H2352" s="44"/>
      <c r="L2352" s="42"/>
      <c r="M2352" s="42"/>
      <c r="N2352" s="25"/>
      <c r="O2352" s="54"/>
      <c r="P2352"/>
      <c r="Q2352" s="25"/>
      <c r="R2352" s="54"/>
      <c r="W2352" s="23"/>
      <c r="X2352" s="23"/>
      <c r="Y2352" s="23"/>
      <c r="Z2352" s="43"/>
      <c r="AA2352" s="23"/>
      <c r="AB2352" s="23"/>
      <c r="AC2352" s="23"/>
      <c r="AD2352" s="23"/>
      <c r="AE2352" s="23"/>
      <c r="AF2352" s="23"/>
      <c r="AG2352" s="23"/>
      <c r="AH2352" s="23"/>
      <c r="AI2352" s="49"/>
    </row>
    <row r="2353" spans="1:35">
      <c r="A2353" s="23"/>
      <c r="B2353" s="42"/>
      <c r="C2353" s="49"/>
      <c r="E2353" s="49"/>
      <c r="G2353" s="43"/>
      <c r="H2353" s="44"/>
      <c r="L2353" s="42"/>
      <c r="M2353" s="42"/>
      <c r="N2353" s="25"/>
      <c r="O2353" s="54"/>
      <c r="P2353"/>
      <c r="Q2353" s="25"/>
      <c r="R2353" s="54"/>
      <c r="W2353" s="23"/>
      <c r="X2353" s="23"/>
      <c r="Y2353" s="23"/>
      <c r="Z2353" s="43"/>
      <c r="AA2353" s="23"/>
      <c r="AB2353" s="23"/>
      <c r="AC2353" s="23"/>
      <c r="AD2353" s="23"/>
      <c r="AE2353" s="23"/>
      <c r="AF2353" s="23"/>
      <c r="AG2353" s="23"/>
      <c r="AH2353" s="23"/>
      <c r="AI2353" s="49"/>
    </row>
    <row r="2354" spans="1:35">
      <c r="A2354" s="23"/>
      <c r="B2354" s="42"/>
      <c r="C2354" s="49"/>
      <c r="E2354" s="49"/>
      <c r="G2354" s="43"/>
      <c r="H2354" s="44"/>
      <c r="L2354" s="42"/>
      <c r="M2354" s="42"/>
      <c r="N2354" s="25"/>
      <c r="O2354" s="54"/>
      <c r="P2354"/>
      <c r="Q2354" s="25"/>
      <c r="R2354" s="54"/>
      <c r="W2354" s="23"/>
      <c r="X2354" s="23"/>
      <c r="Y2354" s="23"/>
      <c r="Z2354" s="43"/>
      <c r="AA2354" s="23"/>
      <c r="AB2354" s="23"/>
      <c r="AC2354" s="23"/>
      <c r="AD2354" s="23"/>
      <c r="AE2354" s="23"/>
      <c r="AF2354" s="23"/>
      <c r="AG2354" s="23"/>
      <c r="AH2354" s="23"/>
      <c r="AI2354" s="49"/>
    </row>
    <row r="2355" spans="1:35">
      <c r="A2355" s="23"/>
      <c r="B2355" s="42"/>
      <c r="C2355" s="49"/>
      <c r="E2355" s="49"/>
      <c r="G2355" s="43"/>
      <c r="H2355" s="44"/>
      <c r="L2355" s="42"/>
      <c r="M2355" s="42"/>
      <c r="N2355" s="25"/>
      <c r="O2355" s="54"/>
      <c r="P2355"/>
      <c r="Q2355" s="25"/>
      <c r="R2355" s="54"/>
      <c r="W2355" s="23"/>
      <c r="X2355" s="23"/>
      <c r="Y2355" s="23"/>
      <c r="Z2355" s="43"/>
      <c r="AA2355" s="23"/>
      <c r="AB2355" s="23"/>
      <c r="AC2355" s="23"/>
      <c r="AD2355" s="23"/>
      <c r="AE2355" s="23"/>
      <c r="AF2355" s="23"/>
      <c r="AG2355" s="23"/>
      <c r="AH2355" s="23"/>
      <c r="AI2355" s="49"/>
    </row>
    <row r="2356" spans="1:35">
      <c r="A2356" s="23"/>
      <c r="B2356" s="42"/>
      <c r="C2356" s="49"/>
      <c r="E2356" s="49"/>
      <c r="G2356" s="43"/>
      <c r="H2356" s="44"/>
      <c r="L2356" s="42"/>
      <c r="M2356" s="42"/>
      <c r="N2356" s="25"/>
      <c r="O2356" s="54"/>
      <c r="P2356"/>
      <c r="Q2356" s="25"/>
      <c r="R2356" s="54"/>
      <c r="W2356" s="23"/>
      <c r="X2356" s="23"/>
      <c r="Y2356" s="23"/>
      <c r="Z2356" s="43"/>
      <c r="AA2356" s="23"/>
      <c r="AB2356" s="23"/>
      <c r="AC2356" s="23"/>
      <c r="AD2356" s="23"/>
      <c r="AE2356" s="23"/>
      <c r="AF2356" s="23"/>
      <c r="AG2356" s="23"/>
      <c r="AH2356" s="23"/>
      <c r="AI2356" s="49"/>
    </row>
    <row r="2357" spans="1:35">
      <c r="A2357" s="23"/>
      <c r="B2357" s="42"/>
      <c r="C2357" s="49"/>
      <c r="E2357" s="49"/>
      <c r="G2357" s="43"/>
      <c r="H2357" s="44"/>
      <c r="L2357" s="42"/>
      <c r="M2357" s="42"/>
      <c r="N2357" s="25"/>
      <c r="O2357" s="54"/>
      <c r="P2357"/>
      <c r="Q2357" s="25"/>
      <c r="R2357" s="54"/>
      <c r="W2357" s="23"/>
      <c r="X2357" s="23"/>
      <c r="Y2357" s="23"/>
      <c r="Z2357" s="43"/>
      <c r="AA2357" s="23"/>
      <c r="AB2357" s="23"/>
      <c r="AC2357" s="23"/>
      <c r="AD2357" s="23"/>
      <c r="AE2357" s="23"/>
      <c r="AF2357" s="23"/>
      <c r="AG2357" s="23"/>
      <c r="AH2357" s="23"/>
      <c r="AI2357" s="49"/>
    </row>
    <row r="2358" spans="1:35">
      <c r="A2358" s="23"/>
      <c r="B2358" s="42"/>
      <c r="C2358" s="49"/>
      <c r="E2358" s="49"/>
      <c r="G2358" s="43"/>
      <c r="H2358" s="44"/>
      <c r="L2358" s="42"/>
      <c r="M2358" s="42"/>
      <c r="N2358" s="25"/>
      <c r="O2358" s="54"/>
      <c r="P2358"/>
      <c r="Q2358" s="25"/>
      <c r="R2358" s="54"/>
      <c r="W2358" s="23"/>
      <c r="X2358" s="23"/>
      <c r="Y2358" s="23"/>
      <c r="Z2358" s="43"/>
      <c r="AA2358" s="23"/>
      <c r="AB2358" s="23"/>
      <c r="AC2358" s="23"/>
      <c r="AD2358" s="23"/>
      <c r="AE2358" s="23"/>
      <c r="AF2358" s="23"/>
      <c r="AG2358" s="23"/>
      <c r="AH2358" s="23"/>
      <c r="AI2358" s="49"/>
    </row>
    <row r="2359" spans="1:35">
      <c r="A2359" s="23"/>
      <c r="B2359" s="42"/>
      <c r="C2359" s="49"/>
      <c r="E2359" s="49"/>
      <c r="G2359" s="43"/>
      <c r="H2359" s="44"/>
      <c r="L2359" s="42"/>
      <c r="M2359" s="42"/>
      <c r="N2359" s="25"/>
      <c r="O2359" s="54"/>
      <c r="P2359"/>
      <c r="Q2359" s="25"/>
      <c r="R2359" s="54"/>
      <c r="W2359" s="23"/>
      <c r="X2359" s="23"/>
      <c r="Y2359" s="23"/>
      <c r="Z2359" s="43"/>
      <c r="AA2359" s="23"/>
      <c r="AB2359" s="23"/>
      <c r="AC2359" s="23"/>
      <c r="AD2359" s="23"/>
      <c r="AE2359" s="23"/>
      <c r="AF2359" s="23"/>
      <c r="AG2359" s="23"/>
      <c r="AH2359" s="23"/>
      <c r="AI2359" s="49"/>
    </row>
    <row r="2360" spans="1:35">
      <c r="A2360" s="23"/>
      <c r="B2360" s="42"/>
      <c r="C2360" s="49"/>
      <c r="E2360" s="49"/>
      <c r="G2360" s="43"/>
      <c r="H2360" s="44"/>
      <c r="L2360" s="42"/>
      <c r="M2360" s="42"/>
      <c r="N2360" s="25"/>
      <c r="O2360" s="54"/>
      <c r="P2360"/>
      <c r="Q2360" s="25"/>
      <c r="R2360" s="54"/>
      <c r="W2360" s="23"/>
      <c r="X2360" s="23"/>
      <c r="Y2360" s="23"/>
      <c r="Z2360" s="43"/>
      <c r="AA2360" s="23"/>
      <c r="AB2360" s="23"/>
      <c r="AC2360" s="23"/>
      <c r="AD2360" s="23"/>
      <c r="AE2360" s="23"/>
      <c r="AF2360" s="23"/>
      <c r="AG2360" s="23"/>
      <c r="AH2360" s="23"/>
      <c r="AI2360" s="49"/>
    </row>
    <row r="2361" spans="1:35">
      <c r="A2361" s="23"/>
      <c r="B2361" s="42"/>
      <c r="C2361" s="49"/>
      <c r="E2361" s="49"/>
      <c r="G2361" s="43"/>
      <c r="H2361" s="44"/>
      <c r="L2361" s="42"/>
      <c r="M2361" s="42"/>
      <c r="N2361" s="25"/>
      <c r="O2361" s="54"/>
      <c r="P2361"/>
      <c r="Q2361" s="25"/>
      <c r="R2361" s="54"/>
      <c r="W2361" s="23"/>
      <c r="X2361" s="23"/>
      <c r="Y2361" s="23"/>
      <c r="Z2361" s="43"/>
      <c r="AA2361" s="23"/>
      <c r="AB2361" s="23"/>
      <c r="AC2361" s="23"/>
      <c r="AD2361" s="23"/>
      <c r="AE2361" s="23"/>
      <c r="AF2361" s="23"/>
      <c r="AG2361" s="23"/>
      <c r="AH2361" s="23"/>
      <c r="AI2361" s="49"/>
    </row>
    <row r="2362" spans="1:35">
      <c r="A2362" s="23"/>
      <c r="B2362" s="42"/>
      <c r="C2362" s="49"/>
      <c r="E2362" s="49"/>
      <c r="G2362" s="43"/>
      <c r="H2362" s="44"/>
      <c r="L2362" s="42"/>
      <c r="M2362" s="42"/>
      <c r="N2362" s="25"/>
      <c r="O2362" s="54"/>
      <c r="P2362"/>
      <c r="Q2362" s="25"/>
      <c r="R2362" s="54"/>
      <c r="W2362" s="23"/>
      <c r="X2362" s="23"/>
      <c r="Y2362" s="23"/>
      <c r="Z2362" s="43"/>
      <c r="AA2362" s="23"/>
      <c r="AB2362" s="23"/>
      <c r="AC2362" s="23"/>
      <c r="AD2362" s="23"/>
      <c r="AE2362" s="23"/>
      <c r="AF2362" s="23"/>
      <c r="AG2362" s="23"/>
      <c r="AH2362" s="23"/>
      <c r="AI2362" s="49"/>
    </row>
    <row r="2363" spans="1:35">
      <c r="A2363" s="23"/>
      <c r="B2363" s="42"/>
      <c r="C2363" s="49"/>
      <c r="E2363" s="49"/>
      <c r="G2363" s="43"/>
      <c r="H2363" s="44"/>
      <c r="L2363" s="42"/>
      <c r="M2363" s="42"/>
      <c r="N2363" s="25"/>
      <c r="O2363" s="54"/>
      <c r="P2363"/>
      <c r="Q2363" s="25"/>
      <c r="R2363" s="54"/>
      <c r="W2363" s="23"/>
      <c r="X2363" s="23"/>
      <c r="Y2363" s="23"/>
      <c r="Z2363" s="43"/>
      <c r="AA2363" s="23"/>
      <c r="AB2363" s="23"/>
      <c r="AC2363" s="23"/>
      <c r="AD2363" s="23"/>
      <c r="AE2363" s="23"/>
      <c r="AF2363" s="23"/>
      <c r="AG2363" s="23"/>
      <c r="AH2363" s="23"/>
      <c r="AI2363" s="49"/>
    </row>
    <row r="2364" spans="1:35">
      <c r="A2364" s="23"/>
      <c r="B2364" s="42"/>
      <c r="C2364" s="49"/>
      <c r="E2364" s="49"/>
      <c r="G2364" s="43"/>
      <c r="H2364" s="44"/>
      <c r="L2364" s="42"/>
      <c r="M2364" s="42"/>
      <c r="N2364" s="25"/>
      <c r="O2364" s="54"/>
      <c r="P2364"/>
      <c r="Q2364" s="25"/>
      <c r="R2364" s="54"/>
      <c r="W2364" s="23"/>
      <c r="X2364" s="23"/>
      <c r="Y2364" s="23"/>
      <c r="Z2364" s="43"/>
      <c r="AA2364" s="23"/>
      <c r="AB2364" s="23"/>
      <c r="AC2364" s="23"/>
      <c r="AD2364" s="23"/>
      <c r="AE2364" s="23"/>
      <c r="AF2364" s="23"/>
      <c r="AG2364" s="23"/>
      <c r="AH2364" s="23"/>
      <c r="AI2364" s="49"/>
    </row>
    <row r="2365" spans="1:35">
      <c r="A2365" s="23"/>
      <c r="B2365" s="42"/>
      <c r="C2365" s="49"/>
      <c r="E2365" s="49"/>
      <c r="G2365" s="43"/>
      <c r="H2365" s="44"/>
      <c r="L2365" s="42"/>
      <c r="M2365" s="42"/>
      <c r="N2365" s="25"/>
      <c r="O2365" s="54"/>
      <c r="P2365"/>
      <c r="Q2365" s="25"/>
      <c r="R2365" s="54"/>
      <c r="W2365" s="23"/>
      <c r="X2365" s="23"/>
      <c r="Y2365" s="23"/>
      <c r="Z2365" s="43"/>
      <c r="AA2365" s="23"/>
      <c r="AB2365" s="23"/>
      <c r="AC2365" s="23"/>
      <c r="AD2365" s="23"/>
      <c r="AE2365" s="23"/>
      <c r="AF2365" s="23"/>
      <c r="AG2365" s="23"/>
      <c r="AH2365" s="23"/>
      <c r="AI2365" s="49"/>
    </row>
    <row r="2366" spans="1:35">
      <c r="A2366" s="23"/>
      <c r="B2366" s="42"/>
      <c r="C2366" s="49"/>
      <c r="E2366" s="49"/>
      <c r="G2366" s="43"/>
      <c r="H2366" s="44"/>
      <c r="L2366" s="42"/>
      <c r="M2366" s="42"/>
      <c r="N2366" s="25"/>
      <c r="O2366" s="54"/>
      <c r="P2366"/>
      <c r="Q2366" s="25"/>
      <c r="R2366" s="54"/>
      <c r="W2366" s="23"/>
      <c r="X2366" s="23"/>
      <c r="Y2366" s="23"/>
      <c r="Z2366" s="43"/>
      <c r="AA2366" s="23"/>
      <c r="AB2366" s="23"/>
      <c r="AC2366" s="23"/>
      <c r="AD2366" s="23"/>
      <c r="AE2366" s="23"/>
      <c r="AF2366" s="23"/>
      <c r="AG2366" s="23"/>
      <c r="AH2366" s="23"/>
      <c r="AI2366" s="49"/>
    </row>
    <row r="2367" spans="1:35">
      <c r="A2367" s="23"/>
      <c r="B2367" s="42"/>
      <c r="C2367" s="49"/>
      <c r="E2367" s="49"/>
      <c r="G2367" s="43"/>
      <c r="H2367" s="44"/>
      <c r="L2367" s="42"/>
      <c r="M2367" s="42"/>
      <c r="N2367" s="25"/>
      <c r="O2367" s="54"/>
      <c r="P2367"/>
      <c r="Q2367" s="25"/>
      <c r="R2367" s="54"/>
      <c r="W2367" s="23"/>
      <c r="X2367" s="23"/>
      <c r="Y2367" s="23"/>
      <c r="Z2367" s="43"/>
      <c r="AA2367" s="23"/>
      <c r="AB2367" s="23"/>
      <c r="AC2367" s="23"/>
      <c r="AD2367" s="23"/>
      <c r="AE2367" s="23"/>
      <c r="AF2367" s="23"/>
      <c r="AG2367" s="23"/>
      <c r="AH2367" s="23"/>
      <c r="AI2367" s="49"/>
    </row>
    <row r="2368" spans="1:35">
      <c r="A2368" s="23"/>
      <c r="B2368" s="42"/>
      <c r="C2368" s="49"/>
      <c r="E2368" s="49"/>
      <c r="G2368" s="43"/>
      <c r="H2368" s="44"/>
      <c r="L2368" s="42"/>
      <c r="M2368" s="42"/>
      <c r="N2368" s="25"/>
      <c r="O2368" s="54"/>
      <c r="P2368"/>
      <c r="Q2368" s="25"/>
      <c r="R2368" s="54"/>
      <c r="W2368" s="23"/>
      <c r="X2368" s="23"/>
      <c r="Y2368" s="23"/>
      <c r="Z2368" s="43"/>
      <c r="AA2368" s="23"/>
      <c r="AB2368" s="23"/>
      <c r="AC2368" s="23"/>
      <c r="AD2368" s="23"/>
      <c r="AE2368" s="23"/>
      <c r="AF2368" s="23"/>
      <c r="AG2368" s="23"/>
      <c r="AH2368" s="23"/>
      <c r="AI2368" s="49"/>
    </row>
    <row r="2369" spans="1:35">
      <c r="A2369" s="23"/>
      <c r="B2369" s="42"/>
      <c r="C2369" s="49"/>
      <c r="E2369" s="49"/>
      <c r="G2369" s="43"/>
      <c r="H2369" s="44"/>
      <c r="L2369" s="42"/>
      <c r="M2369" s="42"/>
      <c r="N2369" s="25"/>
      <c r="O2369" s="54"/>
      <c r="P2369"/>
      <c r="Q2369" s="25"/>
      <c r="R2369" s="54"/>
      <c r="W2369" s="23"/>
      <c r="X2369" s="23"/>
      <c r="Y2369" s="23"/>
      <c r="Z2369" s="43"/>
      <c r="AA2369" s="23"/>
      <c r="AB2369" s="23"/>
      <c r="AC2369" s="23"/>
      <c r="AD2369" s="23"/>
      <c r="AE2369" s="23"/>
      <c r="AF2369" s="23"/>
      <c r="AG2369" s="23"/>
      <c r="AH2369" s="23"/>
      <c r="AI2369" s="49"/>
    </row>
    <row r="2370" spans="1:35">
      <c r="A2370" s="23"/>
      <c r="B2370" s="42"/>
      <c r="C2370" s="49"/>
      <c r="E2370" s="49"/>
      <c r="G2370" s="43"/>
      <c r="H2370" s="44"/>
      <c r="L2370" s="42"/>
      <c r="M2370" s="42"/>
      <c r="N2370" s="25"/>
      <c r="O2370" s="54"/>
      <c r="P2370"/>
      <c r="Q2370" s="25"/>
      <c r="R2370" s="54"/>
      <c r="W2370" s="23"/>
      <c r="X2370" s="23"/>
      <c r="Y2370" s="23"/>
      <c r="Z2370" s="43"/>
      <c r="AA2370" s="23"/>
      <c r="AB2370" s="23"/>
      <c r="AC2370" s="23"/>
      <c r="AD2370" s="23"/>
      <c r="AE2370" s="23"/>
      <c r="AF2370" s="23"/>
      <c r="AG2370" s="23"/>
      <c r="AH2370" s="23"/>
      <c r="AI2370" s="49"/>
    </row>
    <row r="2371" spans="1:35">
      <c r="A2371" s="23"/>
      <c r="B2371" s="42"/>
      <c r="C2371" s="49"/>
      <c r="E2371" s="49"/>
      <c r="G2371" s="43"/>
      <c r="H2371" s="44"/>
      <c r="L2371" s="42"/>
      <c r="M2371" s="42"/>
      <c r="N2371" s="25"/>
      <c r="O2371" s="54"/>
      <c r="P2371"/>
      <c r="Q2371" s="25"/>
      <c r="R2371" s="54"/>
      <c r="W2371" s="23"/>
      <c r="X2371" s="23"/>
      <c r="Y2371" s="23"/>
      <c r="Z2371" s="43"/>
      <c r="AA2371" s="23"/>
      <c r="AB2371" s="23"/>
      <c r="AC2371" s="23"/>
      <c r="AD2371" s="23"/>
      <c r="AE2371" s="23"/>
      <c r="AF2371" s="23"/>
      <c r="AG2371" s="23"/>
      <c r="AH2371" s="23"/>
      <c r="AI2371" s="49"/>
    </row>
    <row r="2372" spans="1:35">
      <c r="A2372" s="23"/>
      <c r="B2372" s="42"/>
      <c r="C2372" s="49"/>
      <c r="E2372" s="49"/>
      <c r="G2372" s="43"/>
      <c r="H2372" s="44"/>
      <c r="L2372" s="42"/>
      <c r="M2372" s="42"/>
      <c r="N2372" s="25"/>
      <c r="O2372" s="54"/>
      <c r="P2372"/>
      <c r="Q2372" s="25"/>
      <c r="R2372" s="54"/>
      <c r="W2372" s="23"/>
      <c r="X2372" s="23"/>
      <c r="Y2372" s="23"/>
      <c r="Z2372" s="43"/>
      <c r="AA2372" s="23"/>
      <c r="AB2372" s="23"/>
      <c r="AC2372" s="23"/>
      <c r="AD2372" s="23"/>
      <c r="AE2372" s="23"/>
      <c r="AF2372" s="23"/>
      <c r="AG2372" s="23"/>
      <c r="AH2372" s="23"/>
      <c r="AI2372" s="49"/>
    </row>
    <row r="2373" spans="1:35">
      <c r="A2373" s="23"/>
      <c r="B2373" s="42"/>
      <c r="C2373" s="49"/>
      <c r="E2373" s="49"/>
      <c r="G2373" s="43"/>
      <c r="H2373" s="44"/>
      <c r="L2373" s="42"/>
      <c r="M2373" s="42"/>
      <c r="N2373" s="25"/>
      <c r="O2373" s="54"/>
      <c r="P2373"/>
      <c r="Q2373" s="25"/>
      <c r="R2373" s="54"/>
      <c r="W2373" s="23"/>
      <c r="X2373" s="23"/>
      <c r="Y2373" s="23"/>
      <c r="Z2373" s="43"/>
      <c r="AA2373" s="23"/>
      <c r="AB2373" s="23"/>
      <c r="AC2373" s="23"/>
      <c r="AD2373" s="23"/>
      <c r="AE2373" s="23"/>
      <c r="AF2373" s="23"/>
      <c r="AG2373" s="23"/>
      <c r="AH2373" s="23"/>
      <c r="AI2373" s="49"/>
    </row>
    <row r="2374" spans="1:35">
      <c r="A2374" s="23"/>
      <c r="B2374" s="42"/>
      <c r="C2374" s="49"/>
      <c r="E2374" s="49"/>
      <c r="G2374" s="43"/>
      <c r="H2374" s="44"/>
      <c r="L2374" s="42"/>
      <c r="M2374" s="42"/>
      <c r="N2374" s="25"/>
      <c r="O2374" s="54"/>
      <c r="P2374"/>
      <c r="Q2374" s="25"/>
      <c r="R2374" s="54"/>
      <c r="W2374" s="23"/>
      <c r="X2374" s="23"/>
      <c r="Y2374" s="23"/>
      <c r="Z2374" s="43"/>
      <c r="AA2374" s="23"/>
      <c r="AB2374" s="23"/>
      <c r="AC2374" s="23"/>
      <c r="AD2374" s="23"/>
      <c r="AE2374" s="23"/>
      <c r="AF2374" s="23"/>
      <c r="AG2374" s="23"/>
      <c r="AH2374" s="23"/>
      <c r="AI2374" s="49"/>
    </row>
    <row r="2375" spans="1:35">
      <c r="A2375" s="23"/>
      <c r="B2375" s="42"/>
      <c r="C2375" s="49"/>
      <c r="E2375" s="49"/>
      <c r="G2375" s="43"/>
      <c r="H2375" s="44"/>
      <c r="L2375" s="42"/>
      <c r="M2375" s="42"/>
      <c r="N2375" s="25"/>
      <c r="O2375" s="54"/>
      <c r="P2375"/>
      <c r="Q2375" s="25"/>
      <c r="R2375" s="54"/>
      <c r="W2375" s="23"/>
      <c r="X2375" s="23"/>
      <c r="Y2375" s="23"/>
      <c r="Z2375" s="43"/>
      <c r="AA2375" s="23"/>
      <c r="AB2375" s="23"/>
      <c r="AC2375" s="23"/>
      <c r="AD2375" s="23"/>
      <c r="AE2375" s="23"/>
      <c r="AF2375" s="23"/>
      <c r="AG2375" s="23"/>
      <c r="AH2375" s="23"/>
      <c r="AI2375" s="49"/>
    </row>
    <row r="2376" spans="1:35">
      <c r="A2376" s="23"/>
      <c r="B2376" s="42"/>
      <c r="C2376" s="49"/>
      <c r="E2376" s="49"/>
      <c r="G2376" s="43"/>
      <c r="H2376" s="44"/>
      <c r="L2376" s="42"/>
      <c r="M2376" s="42"/>
      <c r="N2376" s="25"/>
      <c r="O2376" s="54"/>
      <c r="P2376"/>
      <c r="Q2376" s="25"/>
      <c r="R2376" s="54"/>
      <c r="W2376" s="23"/>
      <c r="X2376" s="23"/>
      <c r="Y2376" s="23"/>
      <c r="Z2376" s="43"/>
      <c r="AA2376" s="23"/>
      <c r="AB2376" s="23"/>
      <c r="AC2376" s="23"/>
      <c r="AD2376" s="23"/>
      <c r="AE2376" s="23"/>
      <c r="AF2376" s="23"/>
      <c r="AG2376" s="23"/>
      <c r="AH2376" s="23"/>
      <c r="AI2376" s="49"/>
    </row>
    <row r="2377" spans="1:35">
      <c r="A2377" s="23"/>
      <c r="B2377" s="42"/>
      <c r="C2377" s="49"/>
      <c r="E2377" s="49"/>
      <c r="G2377" s="43"/>
      <c r="H2377" s="44"/>
      <c r="L2377" s="42"/>
      <c r="M2377" s="42"/>
      <c r="N2377" s="25"/>
      <c r="O2377" s="54"/>
      <c r="P2377"/>
      <c r="Q2377" s="25"/>
      <c r="R2377" s="54"/>
      <c r="W2377" s="23"/>
      <c r="X2377" s="23"/>
      <c r="Y2377" s="23"/>
      <c r="Z2377" s="43"/>
      <c r="AA2377" s="23"/>
      <c r="AB2377" s="23"/>
      <c r="AC2377" s="23"/>
      <c r="AD2377" s="23"/>
      <c r="AE2377" s="23"/>
      <c r="AF2377" s="23"/>
      <c r="AG2377" s="23"/>
      <c r="AH2377" s="23"/>
      <c r="AI2377" s="49"/>
    </row>
    <row r="2378" spans="1:35">
      <c r="A2378" s="23"/>
      <c r="B2378" s="42"/>
      <c r="C2378" s="49"/>
      <c r="E2378" s="49"/>
      <c r="G2378" s="43"/>
      <c r="H2378" s="44"/>
      <c r="L2378" s="42"/>
      <c r="M2378" s="42"/>
      <c r="N2378" s="25"/>
      <c r="O2378" s="54"/>
      <c r="P2378"/>
      <c r="Q2378" s="25"/>
      <c r="R2378" s="54"/>
      <c r="W2378" s="23"/>
      <c r="X2378" s="23"/>
      <c r="Y2378" s="23"/>
      <c r="Z2378" s="43"/>
      <c r="AA2378" s="23"/>
      <c r="AB2378" s="23"/>
      <c r="AC2378" s="23"/>
      <c r="AD2378" s="23"/>
      <c r="AE2378" s="23"/>
      <c r="AF2378" s="23"/>
      <c r="AG2378" s="23"/>
      <c r="AH2378" s="23"/>
      <c r="AI2378" s="49"/>
    </row>
    <row r="2379" spans="1:35">
      <c r="A2379" s="23"/>
      <c r="B2379" s="42"/>
      <c r="C2379" s="49"/>
      <c r="E2379" s="49"/>
      <c r="G2379" s="43"/>
      <c r="H2379" s="44"/>
      <c r="L2379" s="42"/>
      <c r="M2379" s="42"/>
      <c r="N2379" s="25"/>
      <c r="O2379" s="54"/>
      <c r="P2379"/>
      <c r="Q2379" s="25"/>
      <c r="R2379" s="54"/>
      <c r="W2379" s="23"/>
      <c r="X2379" s="23"/>
      <c r="Y2379" s="23"/>
      <c r="Z2379" s="43"/>
      <c r="AA2379" s="23"/>
      <c r="AB2379" s="23"/>
      <c r="AC2379" s="23"/>
      <c r="AD2379" s="23"/>
      <c r="AE2379" s="23"/>
      <c r="AF2379" s="23"/>
      <c r="AG2379" s="23"/>
      <c r="AH2379" s="23"/>
      <c r="AI2379" s="49"/>
    </row>
    <row r="2380" spans="1:35">
      <c r="A2380" s="23"/>
      <c r="B2380" s="42"/>
      <c r="C2380" s="49"/>
      <c r="E2380" s="49"/>
      <c r="G2380" s="43"/>
      <c r="H2380" s="44"/>
      <c r="L2380" s="42"/>
      <c r="M2380" s="42"/>
      <c r="N2380" s="25"/>
      <c r="O2380" s="54"/>
      <c r="P2380"/>
      <c r="Q2380" s="25"/>
      <c r="R2380" s="54"/>
      <c r="W2380" s="23"/>
      <c r="X2380" s="23"/>
      <c r="Y2380" s="23"/>
      <c r="Z2380" s="43"/>
      <c r="AA2380" s="23"/>
      <c r="AB2380" s="23"/>
      <c r="AC2380" s="23"/>
      <c r="AD2380" s="23"/>
      <c r="AE2380" s="23"/>
      <c r="AF2380" s="23"/>
      <c r="AG2380" s="23"/>
      <c r="AH2380" s="23"/>
      <c r="AI2380" s="49"/>
    </row>
    <row r="2381" spans="1:35">
      <c r="A2381" s="23"/>
      <c r="B2381" s="42"/>
      <c r="C2381" s="49"/>
      <c r="E2381" s="49"/>
      <c r="G2381" s="43"/>
      <c r="H2381" s="44"/>
      <c r="L2381" s="42"/>
      <c r="M2381" s="42"/>
      <c r="N2381" s="25"/>
      <c r="O2381" s="54"/>
      <c r="P2381"/>
      <c r="Q2381" s="25"/>
      <c r="R2381" s="54"/>
      <c r="W2381" s="23"/>
      <c r="X2381" s="23"/>
      <c r="Y2381" s="23"/>
      <c r="Z2381" s="43"/>
      <c r="AA2381" s="23"/>
      <c r="AB2381" s="23"/>
      <c r="AC2381" s="23"/>
      <c r="AD2381" s="23"/>
      <c r="AE2381" s="23"/>
      <c r="AF2381" s="23"/>
      <c r="AG2381" s="23"/>
      <c r="AH2381" s="23"/>
      <c r="AI2381" s="49"/>
    </row>
    <row r="2382" spans="1:35">
      <c r="A2382" s="23"/>
      <c r="B2382" s="42"/>
      <c r="C2382" s="49"/>
      <c r="E2382" s="49"/>
      <c r="G2382" s="43"/>
      <c r="H2382" s="44"/>
      <c r="L2382" s="42"/>
      <c r="M2382" s="42"/>
      <c r="N2382" s="25"/>
      <c r="O2382" s="54"/>
      <c r="P2382"/>
      <c r="Q2382" s="25"/>
      <c r="R2382" s="54"/>
      <c r="W2382" s="23"/>
      <c r="X2382" s="23"/>
      <c r="Y2382" s="23"/>
      <c r="Z2382" s="43"/>
      <c r="AA2382" s="23"/>
      <c r="AB2382" s="23"/>
      <c r="AC2382" s="23"/>
      <c r="AD2382" s="23"/>
      <c r="AE2382" s="23"/>
      <c r="AF2382" s="23"/>
      <c r="AG2382" s="23"/>
      <c r="AH2382" s="23"/>
      <c r="AI2382" s="49"/>
    </row>
    <row r="2383" spans="1:35">
      <c r="A2383" s="23"/>
      <c r="B2383" s="42"/>
      <c r="C2383" s="49"/>
      <c r="E2383" s="49"/>
      <c r="G2383" s="43"/>
      <c r="H2383" s="44"/>
      <c r="L2383" s="42"/>
      <c r="M2383" s="42"/>
      <c r="N2383" s="25"/>
      <c r="O2383" s="54"/>
      <c r="P2383"/>
      <c r="Q2383" s="25"/>
      <c r="R2383" s="54"/>
      <c r="W2383" s="23"/>
      <c r="X2383" s="23"/>
      <c r="Y2383" s="23"/>
      <c r="Z2383" s="43"/>
      <c r="AA2383" s="23"/>
      <c r="AB2383" s="23"/>
      <c r="AC2383" s="23"/>
      <c r="AD2383" s="23"/>
      <c r="AE2383" s="23"/>
      <c r="AF2383" s="23"/>
      <c r="AG2383" s="23"/>
      <c r="AH2383" s="23"/>
      <c r="AI2383" s="49"/>
    </row>
    <row r="2384" spans="1:35">
      <c r="A2384" s="23"/>
      <c r="B2384" s="42"/>
      <c r="C2384" s="49"/>
      <c r="E2384" s="49"/>
      <c r="G2384" s="43"/>
      <c r="H2384" s="44"/>
      <c r="L2384" s="42"/>
      <c r="M2384" s="42"/>
      <c r="N2384" s="25"/>
      <c r="O2384" s="54"/>
      <c r="P2384"/>
      <c r="Q2384" s="25"/>
      <c r="R2384" s="54"/>
      <c r="W2384" s="23"/>
      <c r="X2384" s="23"/>
      <c r="Y2384" s="23"/>
      <c r="Z2384" s="43"/>
      <c r="AA2384" s="23"/>
      <c r="AB2384" s="23"/>
      <c r="AC2384" s="23"/>
      <c r="AD2384" s="23"/>
      <c r="AE2384" s="23"/>
      <c r="AF2384" s="23"/>
      <c r="AG2384" s="23"/>
      <c r="AH2384" s="23"/>
      <c r="AI2384" s="49"/>
    </row>
    <row r="2385" spans="1:35">
      <c r="A2385" s="23"/>
      <c r="B2385" s="42"/>
      <c r="C2385" s="49"/>
      <c r="E2385" s="49"/>
      <c r="G2385" s="43"/>
      <c r="H2385" s="44"/>
      <c r="L2385" s="42"/>
      <c r="M2385" s="42"/>
      <c r="N2385" s="25"/>
      <c r="O2385" s="54"/>
      <c r="P2385"/>
      <c r="Q2385" s="25"/>
      <c r="R2385" s="54"/>
      <c r="W2385" s="23"/>
      <c r="X2385" s="23"/>
      <c r="Y2385" s="23"/>
      <c r="Z2385" s="43"/>
      <c r="AA2385" s="23"/>
      <c r="AB2385" s="23"/>
      <c r="AC2385" s="23"/>
      <c r="AD2385" s="23"/>
      <c r="AE2385" s="23"/>
      <c r="AF2385" s="23"/>
      <c r="AG2385" s="23"/>
      <c r="AH2385" s="23"/>
      <c r="AI2385" s="49"/>
    </row>
    <row r="2386" spans="1:35">
      <c r="A2386" s="23"/>
      <c r="B2386" s="42"/>
      <c r="C2386" s="49"/>
      <c r="E2386" s="49"/>
      <c r="G2386" s="43"/>
      <c r="H2386" s="44"/>
      <c r="L2386" s="42"/>
      <c r="M2386" s="42"/>
      <c r="N2386" s="25"/>
      <c r="O2386" s="54"/>
      <c r="P2386"/>
      <c r="Q2386" s="25"/>
      <c r="R2386" s="54"/>
      <c r="W2386" s="23"/>
      <c r="X2386" s="23"/>
      <c r="Y2386" s="23"/>
      <c r="Z2386" s="43"/>
      <c r="AA2386" s="23"/>
      <c r="AB2386" s="23"/>
      <c r="AC2386" s="23"/>
      <c r="AD2386" s="23"/>
      <c r="AE2386" s="23"/>
      <c r="AF2386" s="23"/>
      <c r="AG2386" s="23"/>
      <c r="AH2386" s="23"/>
      <c r="AI2386" s="49"/>
    </row>
    <row r="2387" spans="1:35">
      <c r="A2387" s="23"/>
      <c r="B2387" s="42"/>
      <c r="C2387" s="49"/>
      <c r="E2387" s="49"/>
      <c r="G2387" s="43"/>
      <c r="H2387" s="44"/>
      <c r="L2387" s="42"/>
      <c r="M2387" s="42"/>
      <c r="N2387" s="25"/>
      <c r="O2387" s="54"/>
      <c r="P2387"/>
      <c r="Q2387" s="25"/>
      <c r="R2387" s="54"/>
      <c r="W2387" s="23"/>
      <c r="X2387" s="23"/>
      <c r="Y2387" s="23"/>
      <c r="Z2387" s="43"/>
      <c r="AA2387" s="23"/>
      <c r="AB2387" s="23"/>
      <c r="AC2387" s="23"/>
      <c r="AD2387" s="23"/>
      <c r="AE2387" s="23"/>
      <c r="AF2387" s="23"/>
      <c r="AG2387" s="23"/>
      <c r="AH2387" s="23"/>
      <c r="AI2387" s="49"/>
    </row>
    <row r="2388" spans="1:35">
      <c r="A2388" s="23"/>
      <c r="B2388" s="42"/>
      <c r="C2388" s="49"/>
      <c r="E2388" s="49"/>
      <c r="G2388" s="43"/>
      <c r="H2388" s="44"/>
      <c r="L2388" s="42"/>
      <c r="M2388" s="42"/>
      <c r="N2388" s="25"/>
      <c r="O2388" s="54"/>
      <c r="P2388"/>
      <c r="Q2388" s="25"/>
      <c r="R2388" s="54"/>
      <c r="W2388" s="23"/>
      <c r="X2388" s="23"/>
      <c r="Y2388" s="23"/>
      <c r="Z2388" s="43"/>
      <c r="AA2388" s="23"/>
      <c r="AB2388" s="23"/>
      <c r="AC2388" s="23"/>
      <c r="AD2388" s="23"/>
      <c r="AE2388" s="23"/>
      <c r="AF2388" s="23"/>
      <c r="AG2388" s="23"/>
      <c r="AH2388" s="23"/>
      <c r="AI2388" s="49"/>
    </row>
    <row r="2389" spans="1:35">
      <c r="A2389" s="23"/>
      <c r="B2389" s="42"/>
      <c r="C2389" s="49"/>
      <c r="E2389" s="49"/>
      <c r="G2389" s="43"/>
      <c r="H2389" s="44"/>
      <c r="L2389" s="42"/>
      <c r="M2389" s="42"/>
      <c r="N2389" s="25"/>
      <c r="O2389" s="54"/>
      <c r="P2389"/>
      <c r="Q2389" s="25"/>
      <c r="R2389" s="54"/>
      <c r="W2389" s="23"/>
      <c r="X2389" s="23"/>
      <c r="Y2389" s="23"/>
      <c r="Z2389" s="43"/>
      <c r="AA2389" s="23"/>
      <c r="AB2389" s="23"/>
      <c r="AC2389" s="23"/>
      <c r="AD2389" s="23"/>
      <c r="AE2389" s="23"/>
      <c r="AF2389" s="23"/>
      <c r="AG2389" s="23"/>
      <c r="AH2389" s="23"/>
      <c r="AI2389" s="49"/>
    </row>
    <row r="2390" spans="1:35">
      <c r="A2390" s="23"/>
      <c r="B2390" s="42"/>
      <c r="C2390" s="49"/>
      <c r="E2390" s="49"/>
      <c r="G2390" s="43"/>
      <c r="H2390" s="44"/>
      <c r="L2390" s="42"/>
      <c r="M2390" s="42"/>
      <c r="N2390" s="25"/>
      <c r="O2390" s="54"/>
      <c r="P2390"/>
      <c r="Q2390" s="25"/>
      <c r="R2390" s="54"/>
      <c r="W2390" s="23"/>
      <c r="X2390" s="23"/>
      <c r="Y2390" s="23"/>
      <c r="Z2390" s="43"/>
      <c r="AA2390" s="23"/>
      <c r="AB2390" s="23"/>
      <c r="AC2390" s="23"/>
      <c r="AD2390" s="23"/>
      <c r="AE2390" s="23"/>
      <c r="AF2390" s="23"/>
      <c r="AG2390" s="23"/>
      <c r="AH2390" s="23"/>
      <c r="AI2390" s="49"/>
    </row>
    <row r="2391" spans="1:35">
      <c r="A2391" s="23"/>
      <c r="B2391" s="42"/>
      <c r="C2391" s="49"/>
      <c r="E2391" s="49"/>
      <c r="G2391" s="43"/>
      <c r="H2391" s="44"/>
      <c r="L2391" s="42"/>
      <c r="M2391" s="42"/>
      <c r="N2391" s="25"/>
      <c r="O2391" s="54"/>
      <c r="P2391"/>
      <c r="Q2391" s="25"/>
      <c r="R2391" s="54"/>
      <c r="W2391" s="23"/>
      <c r="X2391" s="23"/>
      <c r="Y2391" s="23"/>
      <c r="Z2391" s="43"/>
      <c r="AA2391" s="23"/>
      <c r="AB2391" s="23"/>
      <c r="AC2391" s="23"/>
      <c r="AD2391" s="23"/>
      <c r="AE2391" s="23"/>
      <c r="AF2391" s="23"/>
      <c r="AG2391" s="23"/>
      <c r="AH2391" s="23"/>
      <c r="AI2391" s="49"/>
    </row>
    <row r="2392" spans="1:35">
      <c r="A2392" s="23"/>
      <c r="B2392" s="42"/>
      <c r="C2392" s="49"/>
      <c r="E2392" s="49"/>
      <c r="G2392" s="43"/>
      <c r="H2392" s="44"/>
      <c r="L2392" s="42"/>
      <c r="M2392" s="42"/>
      <c r="N2392" s="25"/>
      <c r="O2392" s="54"/>
      <c r="P2392"/>
      <c r="Q2392" s="25"/>
      <c r="R2392" s="54"/>
      <c r="W2392" s="23"/>
      <c r="X2392" s="23"/>
      <c r="Y2392" s="23"/>
      <c r="Z2392" s="43"/>
      <c r="AA2392" s="23"/>
      <c r="AB2392" s="23"/>
      <c r="AC2392" s="23"/>
      <c r="AD2392" s="23"/>
      <c r="AE2392" s="23"/>
      <c r="AF2392" s="23"/>
      <c r="AG2392" s="23"/>
      <c r="AH2392" s="23"/>
      <c r="AI2392" s="49"/>
    </row>
    <row r="2393" spans="1:35">
      <c r="A2393" s="23"/>
      <c r="B2393" s="42"/>
      <c r="C2393" s="49"/>
      <c r="E2393" s="49"/>
      <c r="G2393" s="43"/>
      <c r="H2393" s="44"/>
      <c r="L2393" s="42"/>
      <c r="M2393" s="42"/>
      <c r="N2393" s="25"/>
      <c r="O2393" s="54"/>
      <c r="P2393"/>
      <c r="Q2393" s="25"/>
      <c r="R2393" s="54"/>
      <c r="W2393" s="23"/>
      <c r="X2393" s="23"/>
      <c r="Y2393" s="23"/>
      <c r="Z2393" s="43"/>
      <c r="AA2393" s="23"/>
      <c r="AB2393" s="23"/>
      <c r="AC2393" s="23"/>
      <c r="AD2393" s="23"/>
      <c r="AE2393" s="23"/>
      <c r="AF2393" s="23"/>
      <c r="AG2393" s="23"/>
      <c r="AH2393" s="23"/>
      <c r="AI2393" s="49"/>
    </row>
    <row r="2394" spans="1:35">
      <c r="A2394" s="23"/>
      <c r="B2394" s="42"/>
      <c r="C2394" s="49"/>
      <c r="E2394" s="49"/>
      <c r="G2394" s="43"/>
      <c r="H2394" s="44"/>
      <c r="L2394" s="42"/>
      <c r="M2394" s="42"/>
      <c r="N2394" s="25"/>
      <c r="O2394" s="54"/>
      <c r="P2394"/>
      <c r="Q2394" s="25"/>
      <c r="R2394" s="54"/>
      <c r="W2394" s="23"/>
      <c r="X2394" s="23"/>
      <c r="Y2394" s="23"/>
      <c r="Z2394" s="43"/>
      <c r="AA2394" s="23"/>
      <c r="AB2394" s="23"/>
      <c r="AC2394" s="23"/>
      <c r="AD2394" s="23"/>
      <c r="AE2394" s="23"/>
      <c r="AF2394" s="23"/>
      <c r="AG2394" s="23"/>
      <c r="AH2394" s="23"/>
      <c r="AI2394" s="49"/>
    </row>
    <row r="2395" spans="1:35">
      <c r="A2395" s="23"/>
      <c r="B2395" s="42"/>
      <c r="C2395" s="49"/>
      <c r="E2395" s="49"/>
      <c r="G2395" s="43"/>
      <c r="H2395" s="44"/>
      <c r="L2395" s="42"/>
      <c r="M2395" s="42"/>
      <c r="N2395" s="25"/>
      <c r="O2395" s="54"/>
      <c r="P2395"/>
      <c r="Q2395" s="25"/>
      <c r="R2395" s="54"/>
      <c r="W2395" s="23"/>
      <c r="X2395" s="23"/>
      <c r="Y2395" s="23"/>
      <c r="Z2395" s="43"/>
      <c r="AA2395" s="23"/>
      <c r="AB2395" s="23"/>
      <c r="AC2395" s="23"/>
      <c r="AD2395" s="23"/>
      <c r="AE2395" s="23"/>
      <c r="AF2395" s="23"/>
      <c r="AG2395" s="23"/>
      <c r="AH2395" s="23"/>
      <c r="AI2395" s="49"/>
    </row>
    <row r="2396" spans="1:35">
      <c r="A2396" s="23"/>
      <c r="B2396" s="42"/>
      <c r="C2396" s="49"/>
      <c r="E2396" s="49"/>
      <c r="G2396" s="43"/>
      <c r="H2396" s="44"/>
      <c r="L2396" s="42"/>
      <c r="M2396" s="42"/>
      <c r="N2396" s="25"/>
      <c r="O2396" s="54"/>
      <c r="P2396"/>
      <c r="Q2396" s="25"/>
      <c r="R2396" s="54"/>
      <c r="W2396" s="23"/>
      <c r="X2396" s="23"/>
      <c r="Y2396" s="23"/>
      <c r="Z2396" s="43"/>
      <c r="AA2396" s="23"/>
      <c r="AB2396" s="23"/>
      <c r="AC2396" s="23"/>
      <c r="AD2396" s="23"/>
      <c r="AE2396" s="23"/>
      <c r="AF2396" s="23"/>
      <c r="AG2396" s="23"/>
      <c r="AH2396" s="23"/>
      <c r="AI2396" s="49"/>
    </row>
    <row r="2397" spans="1:35">
      <c r="A2397" s="23"/>
      <c r="B2397" s="42"/>
      <c r="C2397" s="49"/>
      <c r="E2397" s="49"/>
      <c r="G2397" s="43"/>
      <c r="H2397" s="44"/>
      <c r="L2397" s="42"/>
      <c r="M2397" s="42"/>
      <c r="N2397" s="25"/>
      <c r="O2397" s="54"/>
      <c r="P2397"/>
      <c r="Q2397" s="25"/>
      <c r="R2397" s="54"/>
      <c r="W2397" s="23"/>
      <c r="X2397" s="23"/>
      <c r="Y2397" s="23"/>
      <c r="Z2397" s="43"/>
      <c r="AA2397" s="23"/>
      <c r="AB2397" s="23"/>
      <c r="AC2397" s="23"/>
      <c r="AD2397" s="23"/>
      <c r="AE2397" s="23"/>
      <c r="AF2397" s="23"/>
      <c r="AG2397" s="23"/>
      <c r="AH2397" s="23"/>
      <c r="AI2397" s="49"/>
    </row>
    <row r="2398" spans="1:35">
      <c r="A2398" s="23"/>
      <c r="B2398" s="42"/>
      <c r="C2398" s="49"/>
      <c r="E2398" s="49"/>
      <c r="G2398" s="43"/>
      <c r="H2398" s="44"/>
      <c r="L2398" s="42"/>
      <c r="M2398" s="42"/>
      <c r="N2398" s="25"/>
      <c r="O2398" s="54"/>
      <c r="P2398"/>
      <c r="Q2398" s="25"/>
      <c r="R2398" s="54"/>
      <c r="W2398" s="23"/>
      <c r="X2398" s="23"/>
      <c r="Y2398" s="23"/>
      <c r="Z2398" s="43"/>
      <c r="AA2398" s="23"/>
      <c r="AB2398" s="23"/>
      <c r="AC2398" s="23"/>
      <c r="AD2398" s="23"/>
      <c r="AE2398" s="23"/>
      <c r="AF2398" s="23"/>
      <c r="AG2398" s="23"/>
      <c r="AH2398" s="23"/>
      <c r="AI2398" s="49"/>
    </row>
    <row r="2399" spans="1:35">
      <c r="A2399" s="23"/>
      <c r="B2399" s="42"/>
      <c r="C2399" s="49"/>
      <c r="E2399" s="49"/>
      <c r="G2399" s="43"/>
      <c r="H2399" s="44"/>
      <c r="L2399" s="42"/>
      <c r="M2399" s="42"/>
      <c r="N2399" s="25"/>
      <c r="O2399" s="54"/>
      <c r="P2399"/>
      <c r="Q2399" s="25"/>
      <c r="R2399" s="54"/>
      <c r="W2399" s="23"/>
      <c r="X2399" s="23"/>
      <c r="Y2399" s="23"/>
      <c r="Z2399" s="43"/>
      <c r="AA2399" s="23"/>
      <c r="AB2399" s="23"/>
      <c r="AC2399" s="23"/>
      <c r="AD2399" s="23"/>
      <c r="AE2399" s="23"/>
      <c r="AF2399" s="23"/>
      <c r="AG2399" s="23"/>
      <c r="AH2399" s="23"/>
      <c r="AI2399" s="49"/>
    </row>
    <row r="2400" spans="1:35">
      <c r="A2400" s="23"/>
      <c r="B2400" s="42"/>
      <c r="C2400" s="49"/>
      <c r="E2400" s="49"/>
      <c r="G2400" s="43"/>
      <c r="H2400" s="44"/>
      <c r="L2400" s="42"/>
      <c r="M2400" s="42"/>
      <c r="N2400" s="25"/>
      <c r="O2400" s="54"/>
      <c r="P2400"/>
      <c r="Q2400" s="25"/>
      <c r="R2400" s="54"/>
      <c r="W2400" s="23"/>
      <c r="X2400" s="23"/>
      <c r="Y2400" s="23"/>
      <c r="Z2400" s="43"/>
      <c r="AA2400" s="23"/>
      <c r="AB2400" s="23"/>
      <c r="AC2400" s="23"/>
      <c r="AD2400" s="23"/>
      <c r="AE2400" s="23"/>
      <c r="AF2400" s="23"/>
      <c r="AG2400" s="23"/>
      <c r="AH2400" s="23"/>
      <c r="AI2400" s="49"/>
    </row>
    <row r="2401" spans="1:35">
      <c r="A2401" s="23"/>
      <c r="B2401" s="42"/>
      <c r="C2401" s="49"/>
      <c r="E2401" s="49"/>
      <c r="G2401" s="43"/>
      <c r="H2401" s="44"/>
      <c r="L2401" s="42"/>
      <c r="M2401" s="42"/>
      <c r="N2401" s="25"/>
      <c r="O2401" s="54"/>
      <c r="P2401"/>
      <c r="Q2401" s="25"/>
      <c r="R2401" s="54"/>
      <c r="W2401" s="23"/>
      <c r="X2401" s="23"/>
      <c r="Y2401" s="23"/>
      <c r="Z2401" s="43"/>
      <c r="AA2401" s="23"/>
      <c r="AB2401" s="23"/>
      <c r="AC2401" s="23"/>
      <c r="AD2401" s="23"/>
      <c r="AE2401" s="23"/>
      <c r="AF2401" s="23"/>
      <c r="AG2401" s="23"/>
      <c r="AH2401" s="23"/>
      <c r="AI2401" s="49"/>
    </row>
    <row r="2402" spans="1:35">
      <c r="A2402" s="23"/>
      <c r="B2402" s="42"/>
      <c r="C2402" s="49"/>
      <c r="E2402" s="49"/>
      <c r="G2402" s="43"/>
      <c r="H2402" s="44"/>
      <c r="L2402" s="42"/>
      <c r="M2402" s="42"/>
      <c r="N2402" s="25"/>
      <c r="O2402" s="54"/>
      <c r="P2402"/>
      <c r="Q2402" s="25"/>
      <c r="R2402" s="54"/>
      <c r="W2402" s="23"/>
      <c r="X2402" s="23"/>
      <c r="Y2402" s="23"/>
      <c r="Z2402" s="43"/>
      <c r="AA2402" s="23"/>
      <c r="AB2402" s="23"/>
      <c r="AC2402" s="23"/>
      <c r="AD2402" s="23"/>
      <c r="AE2402" s="23"/>
      <c r="AF2402" s="23"/>
      <c r="AG2402" s="23"/>
      <c r="AH2402" s="23"/>
      <c r="AI2402" s="49"/>
    </row>
    <row r="2403" spans="1:35">
      <c r="A2403" s="23"/>
      <c r="B2403" s="42"/>
      <c r="C2403" s="49"/>
      <c r="E2403" s="49"/>
      <c r="G2403" s="43"/>
      <c r="H2403" s="44"/>
      <c r="L2403" s="42"/>
      <c r="M2403" s="42"/>
      <c r="N2403" s="25"/>
      <c r="O2403" s="54"/>
      <c r="P2403"/>
      <c r="Q2403" s="25"/>
      <c r="R2403" s="54"/>
      <c r="W2403" s="23"/>
      <c r="X2403" s="23"/>
      <c r="Y2403" s="23"/>
      <c r="Z2403" s="43"/>
      <c r="AA2403" s="23"/>
      <c r="AB2403" s="23"/>
      <c r="AC2403" s="23"/>
      <c r="AD2403" s="23"/>
      <c r="AE2403" s="23"/>
      <c r="AF2403" s="23"/>
      <c r="AG2403" s="23"/>
      <c r="AH2403" s="23"/>
      <c r="AI2403" s="49"/>
    </row>
    <row r="2404" spans="1:35">
      <c r="A2404" s="23"/>
      <c r="B2404" s="42"/>
      <c r="C2404" s="49"/>
      <c r="E2404" s="49"/>
      <c r="G2404" s="43"/>
      <c r="H2404" s="44"/>
      <c r="L2404" s="42"/>
      <c r="M2404" s="42"/>
      <c r="N2404" s="25"/>
      <c r="O2404" s="54"/>
      <c r="P2404"/>
      <c r="Q2404" s="25"/>
      <c r="R2404" s="54"/>
      <c r="W2404" s="23"/>
      <c r="X2404" s="23"/>
      <c r="Y2404" s="23"/>
      <c r="Z2404" s="43"/>
      <c r="AA2404" s="23"/>
      <c r="AB2404" s="23"/>
      <c r="AC2404" s="23"/>
      <c r="AD2404" s="23"/>
      <c r="AE2404" s="23"/>
      <c r="AF2404" s="23"/>
      <c r="AG2404" s="23"/>
      <c r="AH2404" s="23"/>
      <c r="AI2404" s="49"/>
    </row>
    <row r="2405" spans="1:35">
      <c r="A2405" s="23"/>
      <c r="B2405" s="42"/>
      <c r="C2405" s="49"/>
      <c r="E2405" s="49"/>
      <c r="G2405" s="43"/>
      <c r="H2405" s="44"/>
      <c r="L2405" s="42"/>
      <c r="M2405" s="42"/>
      <c r="N2405" s="25"/>
      <c r="O2405" s="54"/>
      <c r="P2405"/>
      <c r="Q2405" s="25"/>
      <c r="R2405" s="54"/>
      <c r="W2405" s="23"/>
      <c r="X2405" s="23"/>
      <c r="Y2405" s="23"/>
      <c r="Z2405" s="43"/>
      <c r="AA2405" s="23"/>
      <c r="AB2405" s="23"/>
      <c r="AC2405" s="23"/>
      <c r="AD2405" s="23"/>
      <c r="AE2405" s="23"/>
      <c r="AF2405" s="23"/>
      <c r="AG2405" s="23"/>
      <c r="AH2405" s="23"/>
      <c r="AI2405" s="49"/>
    </row>
    <row r="2406" spans="1:35">
      <c r="A2406" s="23"/>
      <c r="B2406" s="42"/>
      <c r="C2406" s="49"/>
      <c r="E2406" s="49"/>
      <c r="G2406" s="43"/>
      <c r="H2406" s="44"/>
      <c r="L2406" s="42"/>
      <c r="M2406" s="42"/>
      <c r="N2406" s="25"/>
      <c r="O2406" s="54"/>
      <c r="P2406"/>
      <c r="Q2406" s="25"/>
      <c r="R2406" s="54"/>
      <c r="W2406" s="23"/>
      <c r="X2406" s="23"/>
      <c r="Y2406" s="23"/>
      <c r="Z2406" s="43"/>
      <c r="AA2406" s="23"/>
      <c r="AB2406" s="23"/>
      <c r="AC2406" s="23"/>
      <c r="AD2406" s="23"/>
      <c r="AE2406" s="23"/>
      <c r="AF2406" s="23"/>
      <c r="AG2406" s="23"/>
      <c r="AH2406" s="23"/>
      <c r="AI2406" s="49"/>
    </row>
    <row r="2407" spans="1:35">
      <c r="A2407" s="23"/>
      <c r="B2407" s="42"/>
      <c r="C2407" s="49"/>
      <c r="E2407" s="49"/>
      <c r="G2407" s="43"/>
      <c r="H2407" s="44"/>
      <c r="L2407" s="42"/>
      <c r="M2407" s="42"/>
      <c r="N2407" s="25"/>
      <c r="O2407" s="54"/>
      <c r="P2407"/>
      <c r="Q2407" s="25"/>
      <c r="R2407" s="54"/>
      <c r="W2407" s="23"/>
      <c r="X2407" s="23"/>
      <c r="Y2407" s="23"/>
      <c r="Z2407" s="43"/>
      <c r="AA2407" s="23"/>
      <c r="AB2407" s="23"/>
      <c r="AC2407" s="23"/>
      <c r="AD2407" s="23"/>
      <c r="AE2407" s="23"/>
      <c r="AF2407" s="23"/>
      <c r="AG2407" s="23"/>
      <c r="AH2407" s="23"/>
      <c r="AI2407" s="49"/>
    </row>
    <row r="2408" spans="1:35">
      <c r="A2408" s="23"/>
      <c r="B2408" s="42"/>
      <c r="C2408" s="49"/>
      <c r="E2408" s="49"/>
      <c r="G2408" s="43"/>
      <c r="H2408" s="44"/>
      <c r="L2408" s="42"/>
      <c r="M2408" s="42"/>
      <c r="N2408" s="25"/>
      <c r="O2408" s="54"/>
      <c r="P2408"/>
      <c r="Q2408" s="25"/>
      <c r="R2408" s="54"/>
      <c r="W2408" s="23"/>
      <c r="X2408" s="23"/>
      <c r="Y2408" s="23"/>
      <c r="Z2408" s="43"/>
      <c r="AA2408" s="23"/>
      <c r="AB2408" s="23"/>
      <c r="AC2408" s="23"/>
      <c r="AD2408" s="23"/>
      <c r="AE2408" s="23"/>
      <c r="AF2408" s="23"/>
      <c r="AG2408" s="23"/>
      <c r="AH2408" s="23"/>
      <c r="AI2408" s="49"/>
    </row>
    <row r="2409" spans="1:35">
      <c r="A2409" s="23"/>
      <c r="B2409" s="42"/>
      <c r="C2409" s="49"/>
      <c r="E2409" s="49"/>
      <c r="G2409" s="43"/>
      <c r="H2409" s="44"/>
      <c r="L2409" s="42"/>
      <c r="M2409" s="42"/>
      <c r="N2409" s="25"/>
      <c r="O2409" s="54"/>
      <c r="P2409"/>
      <c r="Q2409" s="25"/>
      <c r="R2409" s="54"/>
      <c r="W2409" s="23"/>
      <c r="X2409" s="23"/>
      <c r="Y2409" s="23"/>
      <c r="Z2409" s="43"/>
      <c r="AA2409" s="23"/>
      <c r="AB2409" s="23"/>
      <c r="AC2409" s="23"/>
      <c r="AD2409" s="23"/>
      <c r="AE2409" s="23"/>
      <c r="AF2409" s="23"/>
      <c r="AG2409" s="23"/>
      <c r="AH2409" s="23"/>
      <c r="AI2409" s="49"/>
    </row>
    <row r="2410" spans="1:35">
      <c r="A2410" s="23"/>
      <c r="B2410" s="42"/>
      <c r="C2410" s="49"/>
      <c r="E2410" s="49"/>
      <c r="G2410" s="43"/>
      <c r="H2410" s="44"/>
      <c r="L2410" s="42"/>
      <c r="M2410" s="42"/>
      <c r="N2410" s="25"/>
      <c r="O2410" s="54"/>
      <c r="P2410"/>
      <c r="Q2410" s="25"/>
      <c r="R2410" s="54"/>
      <c r="W2410" s="23"/>
      <c r="X2410" s="23"/>
      <c r="Y2410" s="23"/>
      <c r="Z2410" s="43"/>
      <c r="AA2410" s="23"/>
      <c r="AB2410" s="23"/>
      <c r="AC2410" s="23"/>
      <c r="AD2410" s="23"/>
      <c r="AE2410" s="23"/>
      <c r="AF2410" s="23"/>
      <c r="AG2410" s="23"/>
      <c r="AH2410" s="23"/>
      <c r="AI2410" s="49"/>
    </row>
    <row r="2411" spans="1:35">
      <c r="A2411" s="23"/>
      <c r="B2411" s="42"/>
      <c r="C2411" s="49"/>
      <c r="E2411" s="49"/>
      <c r="G2411" s="43"/>
      <c r="H2411" s="44"/>
      <c r="L2411" s="42"/>
      <c r="M2411" s="42"/>
      <c r="N2411" s="25"/>
      <c r="O2411" s="54"/>
      <c r="P2411"/>
      <c r="Q2411" s="25"/>
      <c r="R2411" s="54"/>
      <c r="W2411" s="23"/>
      <c r="X2411" s="23"/>
      <c r="Y2411" s="23"/>
      <c r="Z2411" s="43"/>
      <c r="AA2411" s="23"/>
      <c r="AB2411" s="23"/>
      <c r="AC2411" s="23"/>
      <c r="AD2411" s="23"/>
      <c r="AE2411" s="23"/>
      <c r="AF2411" s="23"/>
      <c r="AG2411" s="23"/>
      <c r="AH2411" s="23"/>
      <c r="AI2411" s="49"/>
    </row>
    <row r="2412" spans="1:35">
      <c r="A2412" s="23"/>
      <c r="B2412" s="42"/>
      <c r="C2412" s="49"/>
      <c r="E2412" s="49"/>
      <c r="G2412" s="43"/>
      <c r="H2412" s="44"/>
      <c r="L2412" s="42"/>
      <c r="M2412" s="42"/>
      <c r="N2412" s="25"/>
      <c r="O2412" s="54"/>
      <c r="P2412"/>
      <c r="Q2412" s="25"/>
      <c r="R2412" s="54"/>
      <c r="W2412" s="23"/>
      <c r="X2412" s="23"/>
      <c r="Y2412" s="23"/>
      <c r="Z2412" s="43"/>
      <c r="AA2412" s="23"/>
      <c r="AB2412" s="23"/>
      <c r="AC2412" s="23"/>
      <c r="AD2412" s="23"/>
      <c r="AE2412" s="23"/>
      <c r="AF2412" s="23"/>
      <c r="AG2412" s="23"/>
      <c r="AH2412" s="23"/>
      <c r="AI2412" s="49"/>
    </row>
    <row r="2413" spans="1:35">
      <c r="A2413" s="23"/>
      <c r="B2413" s="42"/>
      <c r="C2413" s="49"/>
      <c r="E2413" s="49"/>
      <c r="G2413" s="43"/>
      <c r="H2413" s="44"/>
      <c r="L2413" s="42"/>
      <c r="M2413" s="42"/>
      <c r="N2413" s="25"/>
      <c r="O2413" s="54"/>
      <c r="P2413"/>
      <c r="Q2413" s="25"/>
      <c r="R2413" s="54"/>
      <c r="W2413" s="23"/>
      <c r="X2413" s="23"/>
      <c r="Y2413" s="23"/>
      <c r="Z2413" s="43"/>
      <c r="AA2413" s="23"/>
      <c r="AB2413" s="23"/>
      <c r="AC2413" s="23"/>
      <c r="AD2413" s="23"/>
      <c r="AE2413" s="23"/>
      <c r="AF2413" s="23"/>
      <c r="AG2413" s="23"/>
      <c r="AH2413" s="23"/>
      <c r="AI2413" s="49"/>
    </row>
    <row r="2414" spans="1:35">
      <c r="A2414" s="23"/>
      <c r="B2414" s="42"/>
      <c r="C2414" s="49"/>
      <c r="E2414" s="49"/>
      <c r="G2414" s="43"/>
      <c r="H2414" s="44"/>
      <c r="L2414" s="42"/>
      <c r="M2414" s="42"/>
      <c r="N2414" s="25"/>
      <c r="O2414" s="54"/>
      <c r="P2414"/>
      <c r="Q2414" s="25"/>
      <c r="R2414" s="54"/>
      <c r="W2414" s="23"/>
      <c r="X2414" s="23"/>
      <c r="Y2414" s="23"/>
      <c r="Z2414" s="43"/>
      <c r="AA2414" s="23"/>
      <c r="AB2414" s="23"/>
      <c r="AC2414" s="23"/>
      <c r="AD2414" s="23"/>
      <c r="AE2414" s="23"/>
      <c r="AF2414" s="23"/>
      <c r="AG2414" s="23"/>
      <c r="AH2414" s="23"/>
      <c r="AI2414" s="49"/>
    </row>
    <row r="2415" spans="1:35">
      <c r="A2415" s="23"/>
      <c r="B2415" s="42"/>
      <c r="C2415" s="49"/>
      <c r="E2415" s="49"/>
      <c r="G2415" s="43"/>
      <c r="H2415" s="44"/>
      <c r="L2415" s="42"/>
      <c r="M2415" s="42"/>
      <c r="N2415" s="25"/>
      <c r="O2415" s="54"/>
      <c r="P2415"/>
      <c r="Q2415" s="25"/>
      <c r="R2415" s="54"/>
      <c r="W2415" s="23"/>
      <c r="X2415" s="23"/>
      <c r="Y2415" s="23"/>
      <c r="Z2415" s="43"/>
      <c r="AA2415" s="23"/>
      <c r="AB2415" s="23"/>
      <c r="AC2415" s="23"/>
      <c r="AD2415" s="23"/>
      <c r="AE2415" s="23"/>
      <c r="AF2415" s="23"/>
      <c r="AG2415" s="23"/>
      <c r="AH2415" s="23"/>
      <c r="AI2415" s="49"/>
    </row>
    <row r="2416" spans="1:35">
      <c r="A2416" s="23"/>
      <c r="B2416" s="42"/>
      <c r="C2416" s="49"/>
      <c r="E2416" s="49"/>
      <c r="G2416" s="43"/>
      <c r="H2416" s="44"/>
      <c r="L2416" s="42"/>
      <c r="M2416" s="42"/>
      <c r="N2416" s="25"/>
      <c r="O2416" s="54"/>
      <c r="P2416"/>
      <c r="Q2416" s="25"/>
      <c r="R2416" s="54"/>
      <c r="W2416" s="23"/>
      <c r="X2416" s="23"/>
      <c r="Y2416" s="23"/>
      <c r="Z2416" s="43"/>
      <c r="AA2416" s="23"/>
      <c r="AB2416" s="23"/>
      <c r="AC2416" s="23"/>
      <c r="AD2416" s="23"/>
      <c r="AE2416" s="23"/>
      <c r="AF2416" s="23"/>
      <c r="AG2416" s="23"/>
      <c r="AH2416" s="23"/>
      <c r="AI2416" s="49"/>
    </row>
    <row r="2417" spans="1:35">
      <c r="A2417" s="23"/>
      <c r="B2417" s="42"/>
      <c r="C2417" s="49"/>
      <c r="E2417" s="49"/>
      <c r="G2417" s="43"/>
      <c r="H2417" s="44"/>
      <c r="L2417" s="42"/>
      <c r="M2417" s="42"/>
      <c r="N2417" s="25"/>
      <c r="O2417" s="54"/>
      <c r="P2417"/>
      <c r="Q2417" s="25"/>
      <c r="R2417" s="54"/>
      <c r="W2417" s="23"/>
      <c r="X2417" s="23"/>
      <c r="Y2417" s="23"/>
      <c r="Z2417" s="43"/>
      <c r="AA2417" s="23"/>
      <c r="AB2417" s="23"/>
      <c r="AC2417" s="23"/>
      <c r="AD2417" s="23"/>
      <c r="AE2417" s="23"/>
      <c r="AF2417" s="23"/>
      <c r="AG2417" s="23"/>
      <c r="AH2417" s="23"/>
      <c r="AI2417" s="49"/>
    </row>
    <row r="2418" spans="1:35">
      <c r="A2418" s="23"/>
      <c r="B2418" s="42"/>
      <c r="C2418" s="49"/>
      <c r="E2418" s="49"/>
      <c r="G2418" s="43"/>
      <c r="H2418" s="44"/>
      <c r="L2418" s="42"/>
      <c r="M2418" s="42"/>
      <c r="N2418" s="25"/>
      <c r="O2418" s="54"/>
      <c r="P2418"/>
      <c r="Q2418" s="25"/>
      <c r="R2418" s="54"/>
      <c r="W2418" s="23"/>
      <c r="X2418" s="23"/>
      <c r="Y2418" s="23"/>
      <c r="Z2418" s="43"/>
      <c r="AA2418" s="23"/>
      <c r="AB2418" s="23"/>
      <c r="AC2418" s="23"/>
      <c r="AD2418" s="23"/>
      <c r="AE2418" s="23"/>
      <c r="AF2418" s="23"/>
      <c r="AG2418" s="23"/>
      <c r="AH2418" s="23"/>
      <c r="AI2418" s="49"/>
    </row>
    <row r="2419" spans="1:35">
      <c r="A2419" s="23"/>
      <c r="B2419" s="42"/>
      <c r="C2419" s="49"/>
      <c r="E2419" s="49"/>
      <c r="G2419" s="43"/>
      <c r="H2419" s="44"/>
      <c r="L2419" s="42"/>
      <c r="M2419" s="42"/>
      <c r="N2419" s="25"/>
      <c r="O2419" s="54"/>
      <c r="P2419"/>
      <c r="Q2419" s="25"/>
      <c r="R2419" s="54"/>
      <c r="W2419" s="23"/>
      <c r="X2419" s="23"/>
      <c r="Y2419" s="23"/>
      <c r="Z2419" s="43"/>
      <c r="AA2419" s="23"/>
      <c r="AB2419" s="23"/>
      <c r="AC2419" s="23"/>
      <c r="AD2419" s="23"/>
      <c r="AE2419" s="23"/>
      <c r="AF2419" s="23"/>
      <c r="AG2419" s="23"/>
      <c r="AH2419" s="23"/>
      <c r="AI2419" s="49"/>
    </row>
    <row r="2420" spans="1:35">
      <c r="A2420" s="23"/>
      <c r="B2420" s="42"/>
      <c r="C2420" s="49"/>
      <c r="E2420" s="49"/>
      <c r="G2420" s="43"/>
      <c r="H2420" s="44"/>
      <c r="L2420" s="42"/>
      <c r="M2420" s="42"/>
      <c r="N2420" s="25"/>
      <c r="O2420" s="54"/>
      <c r="P2420"/>
      <c r="Q2420" s="25"/>
      <c r="R2420" s="54"/>
      <c r="W2420" s="23"/>
      <c r="X2420" s="23"/>
      <c r="Y2420" s="23"/>
      <c r="Z2420" s="43"/>
      <c r="AA2420" s="23"/>
      <c r="AB2420" s="23"/>
      <c r="AC2420" s="23"/>
      <c r="AD2420" s="23"/>
      <c r="AE2420" s="23"/>
      <c r="AF2420" s="23"/>
      <c r="AG2420" s="23"/>
      <c r="AH2420" s="23"/>
      <c r="AI2420" s="49"/>
    </row>
    <row r="2421" spans="1:35">
      <c r="A2421" s="23"/>
      <c r="B2421" s="42"/>
      <c r="C2421" s="49"/>
      <c r="E2421" s="49"/>
      <c r="G2421" s="43"/>
      <c r="H2421" s="44"/>
      <c r="L2421" s="42"/>
      <c r="M2421" s="42"/>
      <c r="N2421" s="25"/>
      <c r="O2421" s="54"/>
      <c r="P2421"/>
      <c r="Q2421" s="25"/>
      <c r="R2421" s="54"/>
      <c r="W2421" s="23"/>
      <c r="X2421" s="23"/>
      <c r="Y2421" s="23"/>
      <c r="Z2421" s="43"/>
      <c r="AA2421" s="23"/>
      <c r="AB2421" s="23"/>
      <c r="AC2421" s="23"/>
      <c r="AD2421" s="23"/>
      <c r="AE2421" s="23"/>
      <c r="AF2421" s="23"/>
      <c r="AG2421" s="23"/>
      <c r="AH2421" s="23"/>
      <c r="AI2421" s="49"/>
    </row>
    <row r="2422" spans="1:35">
      <c r="A2422" s="23"/>
      <c r="B2422" s="42"/>
      <c r="C2422" s="49"/>
      <c r="E2422" s="49"/>
      <c r="G2422" s="43"/>
      <c r="H2422" s="44"/>
      <c r="L2422" s="42"/>
      <c r="M2422" s="42"/>
      <c r="N2422" s="25"/>
      <c r="O2422" s="54"/>
      <c r="P2422"/>
      <c r="Q2422" s="25"/>
      <c r="R2422" s="54"/>
      <c r="W2422" s="23"/>
      <c r="X2422" s="23"/>
      <c r="Y2422" s="23"/>
      <c r="Z2422" s="43"/>
      <c r="AA2422" s="23"/>
      <c r="AB2422" s="23"/>
      <c r="AC2422" s="23"/>
      <c r="AD2422" s="23"/>
      <c r="AE2422" s="23"/>
      <c r="AF2422" s="23"/>
      <c r="AG2422" s="23"/>
      <c r="AH2422" s="23"/>
      <c r="AI2422" s="49"/>
    </row>
    <row r="2423" spans="1:35">
      <c r="A2423" s="23"/>
      <c r="B2423" s="42"/>
      <c r="C2423" s="49"/>
      <c r="E2423" s="49"/>
      <c r="G2423" s="43"/>
      <c r="H2423" s="44"/>
      <c r="L2423" s="42"/>
      <c r="M2423" s="42"/>
      <c r="N2423" s="25"/>
      <c r="O2423" s="54"/>
      <c r="P2423"/>
      <c r="Q2423" s="25"/>
      <c r="R2423" s="54"/>
      <c r="W2423" s="23"/>
      <c r="X2423" s="23"/>
      <c r="Y2423" s="23"/>
      <c r="Z2423" s="43"/>
      <c r="AA2423" s="23"/>
      <c r="AB2423" s="23"/>
      <c r="AC2423" s="23"/>
      <c r="AD2423" s="23"/>
      <c r="AE2423" s="23"/>
      <c r="AF2423" s="23"/>
      <c r="AG2423" s="23"/>
      <c r="AH2423" s="23"/>
      <c r="AI2423" s="49"/>
    </row>
    <row r="2424" spans="1:35">
      <c r="A2424" s="23"/>
      <c r="B2424" s="42"/>
      <c r="C2424" s="49"/>
      <c r="E2424" s="49"/>
      <c r="G2424" s="43"/>
      <c r="H2424" s="44"/>
      <c r="L2424" s="42"/>
      <c r="M2424" s="42"/>
      <c r="N2424" s="25"/>
      <c r="O2424" s="54"/>
      <c r="P2424"/>
      <c r="Q2424" s="25"/>
      <c r="R2424" s="54"/>
      <c r="W2424" s="23"/>
      <c r="X2424" s="23"/>
      <c r="Y2424" s="23"/>
      <c r="Z2424" s="43"/>
      <c r="AA2424" s="23"/>
      <c r="AB2424" s="23"/>
      <c r="AC2424" s="23"/>
      <c r="AD2424" s="23"/>
      <c r="AE2424" s="23"/>
      <c r="AF2424" s="23"/>
      <c r="AG2424" s="23"/>
      <c r="AH2424" s="23"/>
      <c r="AI2424" s="49"/>
    </row>
    <row r="2425" spans="1:35">
      <c r="A2425" s="23"/>
      <c r="B2425" s="42"/>
      <c r="C2425" s="49"/>
      <c r="E2425" s="49"/>
      <c r="G2425" s="43"/>
      <c r="H2425" s="44"/>
      <c r="L2425" s="42"/>
      <c r="M2425" s="42"/>
      <c r="N2425" s="25"/>
      <c r="O2425" s="54"/>
      <c r="P2425"/>
      <c r="Q2425" s="25"/>
      <c r="R2425" s="54"/>
      <c r="W2425" s="23"/>
      <c r="X2425" s="23"/>
      <c r="Y2425" s="23"/>
      <c r="Z2425" s="43"/>
      <c r="AA2425" s="23"/>
      <c r="AB2425" s="23"/>
      <c r="AC2425" s="23"/>
      <c r="AD2425" s="23"/>
      <c r="AE2425" s="23"/>
      <c r="AF2425" s="23"/>
      <c r="AG2425" s="23"/>
      <c r="AH2425" s="23"/>
      <c r="AI2425" s="49"/>
    </row>
    <row r="2426" spans="1:35">
      <c r="A2426" s="23"/>
      <c r="B2426" s="42"/>
      <c r="C2426" s="49"/>
      <c r="E2426" s="49"/>
      <c r="G2426" s="43"/>
      <c r="H2426" s="44"/>
      <c r="L2426" s="42"/>
      <c r="M2426" s="42"/>
      <c r="N2426" s="25"/>
      <c r="O2426" s="54"/>
      <c r="P2426"/>
      <c r="Q2426" s="25"/>
      <c r="R2426" s="54"/>
      <c r="W2426" s="23"/>
      <c r="X2426" s="23"/>
      <c r="Y2426" s="23"/>
      <c r="Z2426" s="43"/>
      <c r="AA2426" s="23"/>
      <c r="AB2426" s="23"/>
      <c r="AC2426" s="23"/>
      <c r="AD2426" s="23"/>
      <c r="AE2426" s="23"/>
      <c r="AF2426" s="23"/>
      <c r="AG2426" s="23"/>
      <c r="AH2426" s="23"/>
      <c r="AI2426" s="49"/>
    </row>
    <row r="2427" spans="1:35">
      <c r="A2427" s="23"/>
      <c r="B2427" s="42"/>
      <c r="C2427" s="49"/>
      <c r="E2427" s="49"/>
      <c r="G2427" s="43"/>
      <c r="H2427" s="44"/>
      <c r="L2427" s="42"/>
      <c r="M2427" s="42"/>
      <c r="N2427" s="25"/>
      <c r="O2427" s="54"/>
      <c r="P2427"/>
      <c r="Q2427" s="25"/>
      <c r="R2427" s="54"/>
      <c r="W2427" s="23"/>
      <c r="X2427" s="23"/>
      <c r="Y2427" s="23"/>
      <c r="Z2427" s="43"/>
      <c r="AA2427" s="23"/>
      <c r="AB2427" s="23"/>
      <c r="AC2427" s="23"/>
      <c r="AD2427" s="23"/>
      <c r="AE2427" s="23"/>
      <c r="AF2427" s="23"/>
      <c r="AG2427" s="23"/>
      <c r="AH2427" s="23"/>
      <c r="AI2427" s="49"/>
    </row>
    <row r="2428" spans="1:35">
      <c r="A2428" s="23"/>
      <c r="B2428" s="42"/>
      <c r="C2428" s="49"/>
      <c r="E2428" s="49"/>
      <c r="G2428" s="43"/>
      <c r="H2428" s="44"/>
      <c r="L2428" s="42"/>
      <c r="M2428" s="42"/>
      <c r="N2428" s="25"/>
      <c r="O2428" s="54"/>
      <c r="P2428"/>
      <c r="Q2428" s="25"/>
      <c r="R2428" s="54"/>
      <c r="W2428" s="23"/>
      <c r="X2428" s="23"/>
      <c r="Y2428" s="23"/>
      <c r="Z2428" s="43"/>
      <c r="AA2428" s="23"/>
      <c r="AB2428" s="23"/>
      <c r="AC2428" s="23"/>
      <c r="AD2428" s="23"/>
      <c r="AE2428" s="23"/>
      <c r="AF2428" s="23"/>
      <c r="AG2428" s="23"/>
      <c r="AH2428" s="23"/>
      <c r="AI2428" s="49"/>
    </row>
    <row r="2429" spans="1:35">
      <c r="A2429" s="23"/>
      <c r="B2429" s="42"/>
      <c r="C2429" s="49"/>
      <c r="E2429" s="49"/>
      <c r="G2429" s="43"/>
      <c r="H2429" s="44"/>
      <c r="L2429" s="42"/>
      <c r="M2429" s="42"/>
      <c r="N2429" s="25"/>
      <c r="O2429" s="54"/>
      <c r="P2429"/>
      <c r="Q2429" s="25"/>
      <c r="R2429" s="54"/>
      <c r="W2429" s="23"/>
      <c r="X2429" s="23"/>
      <c r="Y2429" s="23"/>
      <c r="Z2429" s="43"/>
      <c r="AA2429" s="23"/>
      <c r="AB2429" s="23"/>
      <c r="AC2429" s="23"/>
      <c r="AD2429" s="23"/>
      <c r="AE2429" s="23"/>
      <c r="AF2429" s="23"/>
      <c r="AG2429" s="23"/>
      <c r="AH2429" s="23"/>
      <c r="AI2429" s="49"/>
    </row>
    <row r="2430" spans="1:35">
      <c r="A2430" s="23"/>
      <c r="B2430" s="42"/>
      <c r="C2430" s="49"/>
      <c r="E2430" s="49"/>
      <c r="G2430" s="43"/>
      <c r="H2430" s="44"/>
      <c r="L2430" s="42"/>
      <c r="M2430" s="42"/>
      <c r="N2430" s="25"/>
      <c r="O2430" s="54"/>
      <c r="P2430"/>
      <c r="Q2430" s="25"/>
      <c r="R2430" s="54"/>
      <c r="W2430" s="23"/>
      <c r="X2430" s="23"/>
      <c r="Y2430" s="23"/>
      <c r="Z2430" s="43"/>
      <c r="AA2430" s="23"/>
      <c r="AB2430" s="23"/>
      <c r="AC2430" s="23"/>
      <c r="AD2430" s="23"/>
      <c r="AE2430" s="23"/>
      <c r="AF2430" s="23"/>
      <c r="AG2430" s="23"/>
      <c r="AH2430" s="23"/>
      <c r="AI2430" s="49"/>
    </row>
    <row r="2431" spans="1:35">
      <c r="A2431" s="23"/>
      <c r="B2431" s="42"/>
      <c r="C2431" s="49"/>
      <c r="E2431" s="49"/>
      <c r="G2431" s="43"/>
      <c r="H2431" s="44"/>
      <c r="L2431" s="42"/>
      <c r="M2431" s="42"/>
      <c r="N2431" s="25"/>
      <c r="O2431" s="54"/>
      <c r="P2431"/>
      <c r="Q2431" s="25"/>
      <c r="R2431" s="54"/>
      <c r="W2431" s="23"/>
      <c r="X2431" s="23"/>
      <c r="Y2431" s="23"/>
      <c r="Z2431" s="43"/>
      <c r="AA2431" s="23"/>
      <c r="AB2431" s="23"/>
      <c r="AC2431" s="23"/>
      <c r="AD2431" s="23"/>
      <c r="AE2431" s="23"/>
      <c r="AF2431" s="23"/>
      <c r="AG2431" s="23"/>
      <c r="AH2431" s="23"/>
      <c r="AI2431" s="49"/>
    </row>
    <row r="2432" spans="1:35">
      <c r="A2432" s="23"/>
      <c r="B2432" s="42"/>
      <c r="C2432" s="49"/>
      <c r="E2432" s="49"/>
      <c r="G2432" s="43"/>
      <c r="H2432" s="44"/>
      <c r="L2432" s="42"/>
      <c r="M2432" s="42"/>
      <c r="N2432" s="25"/>
      <c r="O2432" s="54"/>
      <c r="P2432"/>
      <c r="Q2432" s="25"/>
      <c r="R2432" s="54"/>
      <c r="W2432" s="23"/>
      <c r="X2432" s="23"/>
      <c r="Y2432" s="23"/>
      <c r="Z2432" s="43"/>
      <c r="AA2432" s="23"/>
      <c r="AB2432" s="23"/>
      <c r="AC2432" s="23"/>
      <c r="AD2432" s="23"/>
      <c r="AE2432" s="23"/>
      <c r="AF2432" s="23"/>
      <c r="AG2432" s="23"/>
      <c r="AH2432" s="23"/>
      <c r="AI2432" s="49"/>
    </row>
    <row r="2433" spans="1:35">
      <c r="A2433" s="23"/>
      <c r="B2433" s="42"/>
      <c r="C2433" s="49"/>
      <c r="E2433" s="49"/>
      <c r="G2433" s="43"/>
      <c r="H2433" s="44"/>
      <c r="L2433" s="42"/>
      <c r="M2433" s="42"/>
      <c r="N2433" s="25"/>
      <c r="O2433" s="54"/>
      <c r="P2433"/>
      <c r="Q2433" s="25"/>
      <c r="R2433" s="54"/>
      <c r="W2433" s="23"/>
      <c r="X2433" s="23"/>
      <c r="Y2433" s="23"/>
      <c r="Z2433" s="43"/>
      <c r="AA2433" s="23"/>
      <c r="AB2433" s="23"/>
      <c r="AC2433" s="23"/>
      <c r="AD2433" s="23"/>
      <c r="AE2433" s="23"/>
      <c r="AF2433" s="23"/>
      <c r="AG2433" s="23"/>
      <c r="AH2433" s="23"/>
      <c r="AI2433" s="49"/>
    </row>
    <row r="2434" spans="1:35">
      <c r="A2434" s="23"/>
      <c r="B2434" s="42"/>
      <c r="C2434" s="49"/>
      <c r="E2434" s="49"/>
      <c r="G2434" s="43"/>
      <c r="H2434" s="44"/>
      <c r="L2434" s="42"/>
      <c r="M2434" s="42"/>
      <c r="N2434" s="25"/>
      <c r="O2434" s="54"/>
      <c r="P2434"/>
      <c r="Q2434" s="25"/>
      <c r="R2434" s="54"/>
      <c r="W2434" s="23"/>
      <c r="X2434" s="23"/>
      <c r="Y2434" s="23"/>
      <c r="Z2434" s="43"/>
      <c r="AA2434" s="23"/>
      <c r="AB2434" s="23"/>
      <c r="AC2434" s="23"/>
      <c r="AD2434" s="23"/>
      <c r="AE2434" s="23"/>
      <c r="AF2434" s="23"/>
      <c r="AG2434" s="23"/>
      <c r="AH2434" s="23"/>
      <c r="AI2434" s="49"/>
    </row>
    <row r="2435" spans="1:35">
      <c r="A2435" s="23"/>
      <c r="B2435" s="42"/>
      <c r="C2435" s="49"/>
      <c r="E2435" s="49"/>
      <c r="G2435" s="43"/>
      <c r="H2435" s="44"/>
      <c r="L2435" s="42"/>
      <c r="M2435" s="42"/>
      <c r="N2435" s="25"/>
      <c r="O2435" s="54"/>
      <c r="P2435"/>
      <c r="Q2435" s="25"/>
      <c r="R2435" s="54"/>
      <c r="W2435" s="23"/>
      <c r="X2435" s="23"/>
      <c r="Y2435" s="23"/>
      <c r="Z2435" s="43"/>
      <c r="AA2435" s="23"/>
      <c r="AB2435" s="23"/>
      <c r="AC2435" s="23"/>
      <c r="AD2435" s="23"/>
      <c r="AE2435" s="23"/>
      <c r="AF2435" s="23"/>
      <c r="AG2435" s="23"/>
      <c r="AH2435" s="23"/>
      <c r="AI2435" s="49"/>
    </row>
    <row r="2436" spans="1:35">
      <c r="A2436" s="23"/>
      <c r="B2436" s="42"/>
      <c r="C2436" s="49"/>
      <c r="E2436" s="49"/>
      <c r="G2436" s="43"/>
      <c r="H2436" s="44"/>
      <c r="L2436" s="42"/>
      <c r="M2436" s="42"/>
      <c r="N2436" s="25"/>
      <c r="O2436" s="54"/>
      <c r="P2436"/>
      <c r="Q2436" s="25"/>
      <c r="R2436" s="54"/>
      <c r="W2436" s="23"/>
      <c r="X2436" s="23"/>
      <c r="Y2436" s="23"/>
      <c r="Z2436" s="43"/>
      <c r="AA2436" s="23"/>
      <c r="AB2436" s="23"/>
      <c r="AC2436" s="23"/>
      <c r="AD2436" s="23"/>
      <c r="AE2436" s="23"/>
      <c r="AF2436" s="23"/>
      <c r="AG2436" s="23"/>
      <c r="AH2436" s="23"/>
      <c r="AI2436" s="49"/>
    </row>
    <row r="2437" spans="1:35">
      <c r="A2437" s="23"/>
      <c r="B2437" s="42"/>
      <c r="C2437" s="49"/>
      <c r="E2437" s="49"/>
      <c r="G2437" s="43"/>
      <c r="H2437" s="44"/>
      <c r="L2437" s="42"/>
      <c r="M2437" s="42"/>
      <c r="N2437" s="25"/>
      <c r="O2437" s="54"/>
      <c r="P2437"/>
      <c r="Q2437" s="25"/>
      <c r="R2437" s="54"/>
      <c r="W2437" s="23"/>
      <c r="X2437" s="23"/>
      <c r="Y2437" s="23"/>
      <c r="Z2437" s="43"/>
      <c r="AA2437" s="23"/>
      <c r="AB2437" s="23"/>
      <c r="AC2437" s="23"/>
      <c r="AD2437" s="23"/>
      <c r="AE2437" s="23"/>
      <c r="AF2437" s="23"/>
      <c r="AG2437" s="23"/>
      <c r="AH2437" s="23"/>
      <c r="AI2437" s="49"/>
    </row>
    <row r="2438" spans="1:35">
      <c r="A2438" s="23"/>
      <c r="B2438" s="42"/>
      <c r="C2438" s="49"/>
      <c r="E2438" s="49"/>
      <c r="G2438" s="43"/>
      <c r="H2438" s="44"/>
      <c r="L2438" s="42"/>
      <c r="M2438" s="42"/>
      <c r="N2438" s="25"/>
      <c r="O2438" s="54"/>
      <c r="P2438"/>
      <c r="Q2438" s="25"/>
      <c r="R2438" s="54"/>
      <c r="W2438" s="23"/>
      <c r="X2438" s="23"/>
      <c r="Y2438" s="23"/>
      <c r="Z2438" s="43"/>
      <c r="AA2438" s="23"/>
      <c r="AB2438" s="23"/>
      <c r="AC2438" s="23"/>
      <c r="AD2438" s="23"/>
      <c r="AE2438" s="23"/>
      <c r="AF2438" s="23"/>
      <c r="AG2438" s="23"/>
      <c r="AH2438" s="23"/>
      <c r="AI2438" s="49"/>
    </row>
    <row r="2439" spans="1:35">
      <c r="A2439" s="23"/>
      <c r="B2439" s="42"/>
      <c r="C2439" s="49"/>
      <c r="E2439" s="49"/>
      <c r="G2439" s="43"/>
      <c r="H2439" s="44"/>
      <c r="L2439" s="42"/>
      <c r="M2439" s="42"/>
      <c r="N2439" s="25"/>
      <c r="O2439" s="54"/>
      <c r="P2439"/>
      <c r="Q2439" s="25"/>
      <c r="R2439" s="54"/>
      <c r="W2439" s="23"/>
      <c r="X2439" s="23"/>
      <c r="Y2439" s="23"/>
      <c r="Z2439" s="43"/>
      <c r="AA2439" s="23"/>
      <c r="AB2439" s="23"/>
      <c r="AC2439" s="23"/>
      <c r="AD2439" s="23"/>
      <c r="AE2439" s="23"/>
      <c r="AF2439" s="23"/>
      <c r="AG2439" s="23"/>
      <c r="AH2439" s="23"/>
      <c r="AI2439" s="49"/>
    </row>
    <row r="2440" spans="1:35">
      <c r="A2440" s="23"/>
      <c r="B2440" s="42"/>
      <c r="C2440" s="49"/>
      <c r="E2440" s="49"/>
      <c r="G2440" s="43"/>
      <c r="H2440" s="44"/>
      <c r="L2440" s="42"/>
      <c r="M2440" s="42"/>
      <c r="N2440" s="25"/>
      <c r="O2440" s="54"/>
      <c r="P2440"/>
      <c r="Q2440" s="25"/>
      <c r="R2440" s="54"/>
      <c r="W2440" s="23"/>
      <c r="X2440" s="23"/>
      <c r="Y2440" s="23"/>
      <c r="Z2440" s="43"/>
      <c r="AA2440" s="23"/>
      <c r="AB2440" s="23"/>
      <c r="AC2440" s="23"/>
      <c r="AD2440" s="23"/>
      <c r="AE2440" s="23"/>
      <c r="AF2440" s="23"/>
      <c r="AG2440" s="23"/>
      <c r="AH2440" s="23"/>
      <c r="AI2440" s="49"/>
    </row>
    <row r="2441" spans="1:35">
      <c r="A2441" s="23"/>
      <c r="B2441" s="42"/>
      <c r="C2441" s="49"/>
      <c r="E2441" s="49"/>
      <c r="G2441" s="43"/>
      <c r="H2441" s="44"/>
      <c r="L2441" s="42"/>
      <c r="M2441" s="42"/>
      <c r="N2441" s="25"/>
      <c r="O2441" s="54"/>
      <c r="P2441"/>
      <c r="Q2441" s="25"/>
      <c r="R2441" s="54"/>
      <c r="W2441" s="23"/>
      <c r="X2441" s="23"/>
      <c r="Y2441" s="23"/>
      <c r="Z2441" s="43"/>
      <c r="AA2441" s="23"/>
      <c r="AB2441" s="23"/>
      <c r="AC2441" s="23"/>
      <c r="AD2441" s="23"/>
      <c r="AE2441" s="23"/>
      <c r="AF2441" s="23"/>
      <c r="AG2441" s="23"/>
      <c r="AH2441" s="23"/>
      <c r="AI2441" s="49"/>
    </row>
    <row r="2442" spans="1:35">
      <c r="A2442" s="23"/>
      <c r="B2442" s="42"/>
      <c r="C2442" s="49"/>
      <c r="E2442" s="49"/>
      <c r="G2442" s="43"/>
      <c r="H2442" s="44"/>
      <c r="L2442" s="42"/>
      <c r="M2442" s="42"/>
      <c r="N2442" s="25"/>
      <c r="O2442" s="54"/>
      <c r="P2442"/>
      <c r="Q2442" s="25"/>
      <c r="R2442" s="54"/>
      <c r="W2442" s="23"/>
      <c r="X2442" s="23"/>
      <c r="Y2442" s="23"/>
      <c r="Z2442" s="43"/>
      <c r="AA2442" s="23"/>
      <c r="AB2442" s="23"/>
      <c r="AC2442" s="23"/>
      <c r="AD2442" s="23"/>
      <c r="AE2442" s="23"/>
      <c r="AF2442" s="23"/>
      <c r="AG2442" s="23"/>
      <c r="AH2442" s="23"/>
      <c r="AI2442" s="49"/>
    </row>
    <row r="2443" spans="1:35">
      <c r="B2443" s="42"/>
      <c r="G2443" s="43"/>
      <c r="H2443" s="44"/>
      <c r="L2443" s="42"/>
      <c r="M2443" s="42"/>
      <c r="N2443" s="25"/>
      <c r="O2443" s="54"/>
      <c r="P2443"/>
      <c r="Q2443" s="25"/>
      <c r="R2443" s="54"/>
      <c r="W2443" s="23"/>
      <c r="X2443" s="23"/>
      <c r="Y2443" s="23"/>
      <c r="Z2443" s="43"/>
      <c r="AA2443" s="23"/>
      <c r="AB2443" s="23"/>
      <c r="AC2443" s="23"/>
      <c r="AD2443" s="23"/>
      <c r="AE2443" s="23"/>
      <c r="AF2443" s="23"/>
      <c r="AG2443" s="23"/>
      <c r="AH2443" s="23"/>
    </row>
    <row r="2444" spans="1:35">
      <c r="B2444" s="42"/>
      <c r="G2444" s="43"/>
      <c r="H2444" s="44"/>
      <c r="L2444" s="42"/>
      <c r="M2444" s="42"/>
      <c r="N2444" s="25"/>
      <c r="O2444" s="54"/>
      <c r="P2444"/>
      <c r="Q2444" s="25"/>
      <c r="R2444" s="54"/>
      <c r="W2444" s="23"/>
      <c r="X2444" s="23"/>
      <c r="Y2444" s="23"/>
      <c r="Z2444" s="43"/>
      <c r="AA2444" s="23"/>
      <c r="AB2444" s="23"/>
      <c r="AC2444" s="23"/>
      <c r="AD2444" s="23"/>
      <c r="AE2444" s="23"/>
      <c r="AF2444" s="23"/>
      <c r="AG2444" s="23"/>
      <c r="AH2444" s="23"/>
      <c r="AI2444" s="48"/>
    </row>
    <row r="2445" spans="1:35">
      <c r="B2445" s="42"/>
      <c r="G2445" s="43"/>
      <c r="H2445" s="44"/>
      <c r="L2445" s="42"/>
      <c r="M2445" s="42"/>
      <c r="N2445" s="25"/>
      <c r="O2445" s="54"/>
      <c r="P2445"/>
      <c r="Q2445" s="25"/>
      <c r="R2445" s="54"/>
      <c r="W2445" s="23"/>
      <c r="X2445" s="23"/>
      <c r="Y2445" s="23"/>
      <c r="Z2445" s="43"/>
      <c r="AA2445" s="23"/>
      <c r="AB2445" s="23"/>
      <c r="AC2445" s="23"/>
      <c r="AD2445" s="23"/>
      <c r="AE2445" s="23"/>
      <c r="AF2445" s="23"/>
      <c r="AG2445" s="23"/>
      <c r="AH2445" s="23"/>
      <c r="AI2445" s="48"/>
    </row>
    <row r="2446" spans="1:35">
      <c r="B2446" s="42"/>
      <c r="G2446" s="43"/>
      <c r="H2446" s="44"/>
      <c r="L2446" s="42"/>
      <c r="M2446" s="42"/>
      <c r="N2446" s="25"/>
      <c r="O2446" s="54"/>
      <c r="P2446"/>
      <c r="Q2446" s="25"/>
      <c r="R2446" s="54"/>
      <c r="W2446" s="23"/>
      <c r="X2446" s="23"/>
      <c r="Y2446" s="23"/>
      <c r="Z2446" s="43"/>
      <c r="AA2446" s="23"/>
      <c r="AB2446" s="23"/>
      <c r="AC2446" s="23"/>
      <c r="AD2446" s="23"/>
      <c r="AE2446" s="23"/>
      <c r="AF2446" s="23"/>
      <c r="AG2446" s="23"/>
      <c r="AH2446" s="23"/>
      <c r="AI2446" s="48"/>
    </row>
    <row r="2447" spans="1:35">
      <c r="B2447" s="42"/>
      <c r="G2447" s="43"/>
      <c r="H2447" s="44"/>
      <c r="L2447" s="42"/>
      <c r="M2447" s="42"/>
      <c r="N2447" s="25"/>
      <c r="O2447" s="54"/>
      <c r="P2447"/>
      <c r="Q2447" s="25"/>
      <c r="R2447" s="54"/>
      <c r="W2447" s="23"/>
      <c r="X2447" s="23"/>
      <c r="Y2447" s="23"/>
      <c r="Z2447" s="43"/>
      <c r="AA2447" s="23"/>
      <c r="AB2447" s="23"/>
      <c r="AC2447" s="23"/>
      <c r="AD2447" s="23"/>
      <c r="AE2447" s="23"/>
      <c r="AF2447" s="23"/>
      <c r="AG2447" s="23"/>
      <c r="AH2447" s="23"/>
      <c r="AI2447" s="48"/>
    </row>
    <row r="2448" spans="1:35">
      <c r="B2448" s="42"/>
      <c r="G2448" s="43"/>
      <c r="H2448" s="44"/>
      <c r="L2448" s="42"/>
      <c r="M2448" s="42"/>
      <c r="N2448" s="25"/>
      <c r="O2448" s="54"/>
      <c r="P2448"/>
      <c r="Q2448" s="25"/>
      <c r="R2448" s="54"/>
      <c r="W2448" s="23"/>
      <c r="X2448" s="23"/>
      <c r="Y2448" s="23"/>
      <c r="Z2448" s="43"/>
      <c r="AA2448" s="23"/>
      <c r="AB2448" s="23"/>
      <c r="AC2448" s="23"/>
      <c r="AD2448" s="23"/>
      <c r="AE2448" s="23"/>
      <c r="AF2448" s="23"/>
      <c r="AG2448" s="23"/>
      <c r="AH2448" s="23"/>
      <c r="AI2448" s="48"/>
    </row>
    <row r="2449" spans="1:35">
      <c r="B2449" s="42"/>
      <c r="G2449" s="43"/>
      <c r="H2449" s="44"/>
      <c r="L2449" s="42"/>
      <c r="M2449" s="42"/>
      <c r="N2449" s="25"/>
      <c r="O2449" s="54"/>
      <c r="P2449"/>
      <c r="Q2449" s="25"/>
      <c r="R2449" s="54"/>
      <c r="W2449" s="23"/>
      <c r="X2449" s="23"/>
      <c r="Y2449" s="23"/>
      <c r="Z2449" s="43"/>
      <c r="AA2449" s="23"/>
      <c r="AB2449" s="23"/>
      <c r="AC2449" s="23"/>
      <c r="AD2449" s="23"/>
      <c r="AE2449" s="23"/>
      <c r="AF2449" s="23"/>
      <c r="AG2449" s="23"/>
      <c r="AH2449" s="23"/>
      <c r="AI2449" s="48"/>
    </row>
    <row r="2450" spans="1:35">
      <c r="B2450" s="42"/>
      <c r="G2450" s="43"/>
      <c r="H2450" s="44"/>
      <c r="L2450" s="42"/>
      <c r="M2450" s="42"/>
      <c r="N2450" s="25"/>
      <c r="O2450" s="54"/>
      <c r="P2450"/>
      <c r="Q2450" s="25"/>
      <c r="R2450" s="54"/>
      <c r="W2450" s="23"/>
      <c r="X2450" s="23"/>
      <c r="Y2450" s="23"/>
      <c r="Z2450" s="43"/>
      <c r="AA2450" s="23"/>
      <c r="AB2450" s="23"/>
      <c r="AC2450" s="23"/>
      <c r="AD2450" s="23"/>
      <c r="AE2450" s="23"/>
      <c r="AF2450" s="23"/>
      <c r="AG2450" s="23"/>
      <c r="AH2450" s="23"/>
      <c r="AI2450" s="48"/>
    </row>
    <row r="2451" spans="1:35">
      <c r="B2451" s="42"/>
      <c r="G2451" s="43"/>
      <c r="H2451" s="44"/>
      <c r="L2451" s="42"/>
      <c r="M2451" s="42"/>
      <c r="N2451" s="25"/>
      <c r="O2451" s="54"/>
      <c r="P2451"/>
      <c r="Q2451" s="25"/>
      <c r="R2451" s="54"/>
      <c r="W2451" s="23"/>
      <c r="X2451" s="23"/>
      <c r="Y2451" s="23"/>
      <c r="Z2451" s="43"/>
      <c r="AA2451" s="23"/>
      <c r="AB2451" s="23"/>
      <c r="AC2451" s="23"/>
      <c r="AD2451" s="23"/>
      <c r="AE2451" s="23"/>
      <c r="AF2451" s="23"/>
      <c r="AG2451" s="23"/>
      <c r="AH2451" s="23"/>
      <c r="AI2451" s="48"/>
    </row>
    <row r="2452" spans="1:35">
      <c r="B2452" s="42"/>
      <c r="G2452" s="43"/>
      <c r="H2452" s="44"/>
      <c r="L2452" s="42"/>
      <c r="M2452" s="42"/>
      <c r="N2452" s="25"/>
      <c r="O2452" s="54"/>
      <c r="P2452"/>
      <c r="Q2452" s="25"/>
      <c r="R2452" s="54"/>
      <c r="W2452" s="23"/>
      <c r="X2452" s="23"/>
      <c r="Y2452" s="23"/>
      <c r="Z2452" s="43"/>
      <c r="AA2452" s="23"/>
      <c r="AB2452" s="23"/>
      <c r="AC2452" s="23"/>
      <c r="AD2452" s="23"/>
      <c r="AE2452" s="23"/>
      <c r="AF2452" s="23"/>
      <c r="AG2452" s="23"/>
      <c r="AH2452" s="23"/>
      <c r="AI2452" s="48"/>
    </row>
    <row r="2453" spans="1:35">
      <c r="A2453" s="45"/>
      <c r="B2453" s="42"/>
      <c r="C2453" s="45"/>
      <c r="E2453" s="45"/>
      <c r="G2453" s="43"/>
      <c r="H2453" s="44"/>
      <c r="L2453" s="42"/>
      <c r="M2453" s="42"/>
      <c r="N2453" s="25"/>
      <c r="O2453" s="54"/>
      <c r="P2453"/>
      <c r="Q2453" s="25"/>
      <c r="R2453" s="54"/>
      <c r="W2453" s="23"/>
      <c r="X2453" s="23"/>
      <c r="Y2453" s="23"/>
      <c r="Z2453" s="43"/>
      <c r="AA2453" s="23"/>
      <c r="AB2453" s="23"/>
      <c r="AC2453" s="23"/>
      <c r="AD2453" s="23"/>
      <c r="AE2453" s="23"/>
      <c r="AF2453" s="23"/>
      <c r="AG2453" s="23"/>
      <c r="AH2453" s="23"/>
      <c r="AI2453" s="48"/>
    </row>
    <row r="2454" spans="1:35">
      <c r="A2454" s="45"/>
      <c r="B2454" s="42"/>
      <c r="C2454" s="45"/>
      <c r="E2454" s="45"/>
      <c r="G2454" s="43"/>
      <c r="H2454" s="44"/>
      <c r="L2454" s="42"/>
      <c r="M2454" s="42"/>
      <c r="N2454" s="25"/>
      <c r="O2454" s="54"/>
      <c r="P2454"/>
      <c r="Q2454" s="25"/>
      <c r="R2454" s="54"/>
      <c r="W2454" s="23"/>
      <c r="X2454" s="23"/>
      <c r="Y2454" s="23"/>
      <c r="Z2454" s="43"/>
      <c r="AA2454" s="23"/>
      <c r="AB2454" s="23"/>
      <c r="AC2454" s="23"/>
      <c r="AD2454" s="23"/>
      <c r="AE2454" s="23"/>
      <c r="AF2454" s="23"/>
      <c r="AG2454" s="23"/>
      <c r="AH2454" s="23"/>
      <c r="AI2454" s="48"/>
    </row>
    <row r="2455" spans="1:35">
      <c r="A2455" s="45"/>
      <c r="B2455" s="42"/>
      <c r="C2455" s="45"/>
      <c r="E2455" s="45"/>
      <c r="G2455" s="43"/>
      <c r="H2455" s="44"/>
      <c r="L2455" s="42"/>
      <c r="M2455" s="42"/>
      <c r="N2455" s="25"/>
      <c r="O2455" s="54"/>
      <c r="P2455"/>
      <c r="Q2455" s="25"/>
      <c r="R2455" s="54"/>
      <c r="W2455" s="23"/>
      <c r="X2455" s="23"/>
      <c r="Y2455" s="23"/>
      <c r="Z2455" s="43"/>
      <c r="AA2455" s="23"/>
      <c r="AB2455" s="23"/>
      <c r="AC2455" s="23"/>
      <c r="AD2455" s="23"/>
      <c r="AE2455" s="23"/>
      <c r="AF2455" s="23"/>
      <c r="AG2455" s="23"/>
      <c r="AH2455" s="23"/>
      <c r="AI2455" s="48"/>
    </row>
    <row r="2456" spans="1:35">
      <c r="A2456" s="45"/>
      <c r="B2456" s="42"/>
      <c r="C2456" s="45"/>
      <c r="E2456" s="45"/>
      <c r="G2456" s="43"/>
      <c r="H2456" s="44"/>
      <c r="L2456" s="42"/>
      <c r="M2456" s="42"/>
      <c r="N2456" s="25"/>
      <c r="O2456" s="54"/>
      <c r="P2456"/>
      <c r="Q2456" s="25"/>
      <c r="R2456" s="54"/>
      <c r="W2456" s="23"/>
      <c r="X2456" s="23"/>
      <c r="Y2456" s="23"/>
      <c r="Z2456" s="43"/>
      <c r="AA2456" s="23"/>
      <c r="AB2456" s="23"/>
      <c r="AC2456" s="23"/>
      <c r="AD2456" s="23"/>
      <c r="AE2456" s="23"/>
      <c r="AF2456" s="23"/>
      <c r="AG2456" s="23"/>
      <c r="AH2456" s="23"/>
      <c r="AI2456" s="48"/>
    </row>
    <row r="2457" spans="1:35">
      <c r="A2457" s="45"/>
      <c r="B2457" s="42"/>
      <c r="C2457" s="45"/>
      <c r="E2457" s="45"/>
      <c r="G2457" s="43"/>
      <c r="H2457" s="44"/>
      <c r="L2457" s="42"/>
      <c r="M2457" s="42"/>
      <c r="N2457" s="25"/>
      <c r="O2457" s="54"/>
      <c r="P2457"/>
      <c r="Q2457" s="25"/>
      <c r="R2457" s="54"/>
      <c r="W2457" s="23"/>
      <c r="X2457" s="23"/>
      <c r="Y2457" s="23"/>
      <c r="Z2457" s="43"/>
      <c r="AA2457" s="23"/>
      <c r="AB2457" s="23"/>
      <c r="AC2457" s="23"/>
      <c r="AD2457" s="23"/>
      <c r="AE2457" s="23"/>
      <c r="AF2457" s="23"/>
      <c r="AG2457" s="23"/>
      <c r="AH2457" s="23"/>
      <c r="AI2457" s="48"/>
    </row>
    <row r="2458" spans="1:35">
      <c r="A2458" s="45"/>
      <c r="B2458" s="42"/>
      <c r="C2458" s="45"/>
      <c r="E2458" s="45"/>
      <c r="G2458" s="43"/>
      <c r="H2458" s="44"/>
      <c r="L2458" s="42"/>
      <c r="M2458" s="42"/>
      <c r="N2458" s="25"/>
      <c r="O2458" s="54"/>
      <c r="P2458"/>
      <c r="Q2458" s="25"/>
      <c r="R2458" s="54"/>
      <c r="W2458" s="23"/>
      <c r="X2458" s="23"/>
      <c r="Y2458" s="23"/>
      <c r="Z2458" s="43"/>
      <c r="AA2458" s="23"/>
      <c r="AB2458" s="23"/>
      <c r="AC2458" s="23"/>
      <c r="AD2458" s="23"/>
      <c r="AE2458" s="23"/>
      <c r="AF2458" s="23"/>
      <c r="AG2458" s="23"/>
      <c r="AH2458" s="23"/>
      <c r="AI2458" s="48"/>
    </row>
    <row r="2459" spans="1:35">
      <c r="A2459" s="45"/>
      <c r="B2459" s="42"/>
      <c r="C2459" s="45"/>
      <c r="E2459" s="45"/>
      <c r="G2459" s="43"/>
      <c r="H2459" s="44"/>
      <c r="L2459" s="42"/>
      <c r="M2459" s="42"/>
      <c r="N2459" s="25"/>
      <c r="O2459" s="54"/>
      <c r="P2459"/>
      <c r="Q2459" s="25"/>
      <c r="R2459" s="54"/>
      <c r="W2459" s="23"/>
      <c r="X2459" s="23"/>
      <c r="Y2459" s="23"/>
      <c r="Z2459" s="43"/>
      <c r="AA2459" s="23"/>
      <c r="AB2459" s="23"/>
      <c r="AC2459" s="23"/>
      <c r="AD2459" s="23"/>
      <c r="AE2459" s="23"/>
      <c r="AF2459" s="23"/>
      <c r="AG2459" s="23"/>
      <c r="AH2459" s="23"/>
      <c r="AI2459" s="48"/>
    </row>
    <row r="2460" spans="1:35">
      <c r="A2460" s="45"/>
      <c r="B2460" s="42"/>
      <c r="C2460" s="45"/>
      <c r="E2460" s="45"/>
      <c r="G2460" s="43"/>
      <c r="H2460" s="44"/>
      <c r="L2460" s="42"/>
      <c r="M2460" s="42"/>
      <c r="N2460" s="25"/>
      <c r="O2460" s="54"/>
      <c r="P2460"/>
      <c r="Q2460" s="25"/>
      <c r="R2460" s="54"/>
      <c r="W2460" s="23"/>
      <c r="X2460" s="23"/>
      <c r="Y2460" s="23"/>
      <c r="Z2460" s="43"/>
      <c r="AA2460" s="23"/>
      <c r="AB2460" s="23"/>
      <c r="AC2460" s="23"/>
      <c r="AD2460" s="23"/>
      <c r="AE2460" s="23"/>
      <c r="AF2460" s="23"/>
      <c r="AG2460" s="23"/>
      <c r="AH2460" s="23"/>
      <c r="AI2460" s="48"/>
    </row>
    <row r="2461" spans="1:35">
      <c r="A2461" s="45"/>
      <c r="B2461" s="42"/>
      <c r="C2461" s="45"/>
      <c r="E2461" s="45"/>
      <c r="G2461" s="43"/>
      <c r="H2461" s="44"/>
      <c r="L2461" s="42"/>
      <c r="M2461" s="42"/>
      <c r="N2461" s="25"/>
      <c r="O2461" s="54"/>
      <c r="P2461"/>
      <c r="Q2461" s="25"/>
      <c r="R2461" s="54"/>
      <c r="W2461" s="23"/>
      <c r="X2461" s="23"/>
      <c r="Y2461" s="23"/>
      <c r="Z2461" s="43"/>
      <c r="AA2461" s="23"/>
      <c r="AB2461" s="23"/>
      <c r="AC2461" s="23"/>
      <c r="AD2461" s="23"/>
      <c r="AE2461" s="23"/>
      <c r="AF2461" s="23"/>
      <c r="AG2461" s="23"/>
      <c r="AH2461" s="23"/>
      <c r="AI2461" s="48"/>
    </row>
    <row r="2462" spans="1:35">
      <c r="A2462" s="45"/>
      <c r="B2462" s="42"/>
      <c r="C2462" s="45"/>
      <c r="E2462" s="45"/>
      <c r="G2462" s="43"/>
      <c r="H2462" s="44"/>
      <c r="L2462" s="42"/>
      <c r="M2462" s="42"/>
      <c r="N2462" s="25"/>
      <c r="O2462" s="54"/>
      <c r="P2462"/>
      <c r="Q2462" s="25"/>
      <c r="R2462" s="54"/>
      <c r="W2462" s="23"/>
      <c r="X2462" s="23"/>
      <c r="Y2462" s="23"/>
      <c r="Z2462" s="43"/>
      <c r="AA2462" s="23"/>
      <c r="AB2462" s="23"/>
      <c r="AC2462" s="23"/>
      <c r="AD2462" s="23"/>
      <c r="AE2462" s="23"/>
      <c r="AF2462" s="23"/>
      <c r="AG2462" s="23"/>
      <c r="AH2462" s="23"/>
      <c r="AI2462" s="48"/>
    </row>
    <row r="2463" spans="1:35">
      <c r="A2463" s="45"/>
      <c r="B2463" s="42"/>
      <c r="C2463" s="45"/>
      <c r="E2463" s="45"/>
      <c r="G2463" s="43"/>
      <c r="H2463" s="44"/>
      <c r="L2463" s="42"/>
      <c r="M2463" s="42"/>
      <c r="N2463" s="25"/>
      <c r="O2463" s="54"/>
      <c r="P2463"/>
      <c r="Q2463" s="25"/>
      <c r="R2463" s="54"/>
      <c r="W2463" s="23"/>
      <c r="X2463" s="23"/>
      <c r="Y2463" s="23"/>
      <c r="Z2463" s="43"/>
      <c r="AA2463" s="23"/>
      <c r="AB2463" s="23"/>
      <c r="AC2463" s="23"/>
      <c r="AD2463" s="23"/>
      <c r="AE2463" s="23"/>
      <c r="AF2463" s="23"/>
      <c r="AG2463" s="23"/>
      <c r="AH2463" s="23"/>
      <c r="AI2463" s="48"/>
    </row>
    <row r="2464" spans="1:35">
      <c r="A2464" s="45"/>
      <c r="B2464" s="42"/>
      <c r="C2464" s="45"/>
      <c r="E2464" s="45"/>
      <c r="G2464" s="43"/>
      <c r="H2464" s="44"/>
      <c r="L2464" s="42"/>
      <c r="M2464" s="42"/>
      <c r="N2464" s="25"/>
      <c r="O2464" s="54"/>
      <c r="P2464"/>
      <c r="Q2464" s="25"/>
      <c r="R2464" s="54"/>
      <c r="W2464" s="23"/>
      <c r="X2464" s="23"/>
      <c r="Y2464" s="23"/>
      <c r="Z2464" s="43"/>
      <c r="AA2464" s="23"/>
      <c r="AB2464" s="23"/>
      <c r="AC2464" s="23"/>
      <c r="AD2464" s="23"/>
      <c r="AE2464" s="23"/>
      <c r="AF2464" s="23"/>
      <c r="AG2464" s="23"/>
      <c r="AH2464" s="23"/>
      <c r="AI2464" s="48"/>
    </row>
    <row r="2465" spans="1:35">
      <c r="A2465" s="45"/>
      <c r="B2465" s="42"/>
      <c r="C2465" s="45"/>
      <c r="E2465" s="45"/>
      <c r="G2465" s="43"/>
      <c r="H2465" s="44"/>
      <c r="L2465" s="42"/>
      <c r="M2465" s="42"/>
      <c r="N2465" s="25"/>
      <c r="O2465" s="54"/>
      <c r="P2465"/>
      <c r="Q2465" s="25"/>
      <c r="R2465" s="54"/>
      <c r="W2465" s="23"/>
      <c r="X2465" s="23"/>
      <c r="Y2465" s="23"/>
      <c r="Z2465" s="43"/>
      <c r="AA2465" s="23"/>
      <c r="AB2465" s="23"/>
      <c r="AC2465" s="23"/>
      <c r="AD2465" s="23"/>
      <c r="AE2465" s="23"/>
      <c r="AF2465" s="23"/>
      <c r="AG2465" s="23"/>
      <c r="AH2465" s="23"/>
      <c r="AI2465" s="48"/>
    </row>
    <row r="2466" spans="1:35">
      <c r="A2466" s="45"/>
      <c r="B2466" s="42"/>
      <c r="C2466" s="45"/>
      <c r="E2466" s="45"/>
      <c r="G2466" s="43"/>
      <c r="H2466" s="44"/>
      <c r="L2466" s="42"/>
      <c r="M2466" s="42"/>
      <c r="N2466" s="25"/>
      <c r="O2466" s="54"/>
      <c r="P2466"/>
      <c r="Q2466" s="25"/>
      <c r="R2466" s="54"/>
      <c r="W2466" s="23"/>
      <c r="X2466" s="23"/>
      <c r="Y2466" s="23"/>
      <c r="Z2466" s="43"/>
      <c r="AA2466" s="23"/>
      <c r="AB2466" s="23"/>
      <c r="AC2466" s="23"/>
      <c r="AD2466" s="23"/>
      <c r="AE2466" s="23"/>
      <c r="AF2466" s="23"/>
      <c r="AG2466" s="23"/>
      <c r="AH2466" s="23"/>
      <c r="AI2466" s="48"/>
    </row>
    <row r="2467" spans="1:35">
      <c r="A2467" s="45"/>
      <c r="B2467" s="42"/>
      <c r="C2467" s="45"/>
      <c r="E2467" s="45"/>
      <c r="G2467" s="43"/>
      <c r="H2467" s="44"/>
      <c r="L2467" s="42"/>
      <c r="M2467" s="42"/>
      <c r="N2467" s="25"/>
      <c r="O2467" s="54"/>
      <c r="P2467"/>
      <c r="Q2467" s="25"/>
      <c r="R2467" s="54"/>
      <c r="W2467" s="23"/>
      <c r="X2467" s="23"/>
      <c r="Y2467" s="23"/>
      <c r="Z2467" s="43"/>
      <c r="AA2467" s="23"/>
      <c r="AB2467" s="23"/>
      <c r="AC2467" s="23"/>
      <c r="AD2467" s="23"/>
      <c r="AE2467" s="23"/>
      <c r="AF2467" s="23"/>
      <c r="AG2467" s="23"/>
      <c r="AH2467" s="23"/>
      <c r="AI2467" s="48"/>
    </row>
    <row r="2468" spans="1:35">
      <c r="A2468" s="45"/>
      <c r="B2468" s="42"/>
      <c r="C2468" s="45"/>
      <c r="E2468" s="45"/>
      <c r="G2468" s="43"/>
      <c r="H2468" s="44"/>
      <c r="L2468" s="42"/>
      <c r="M2468" s="42"/>
      <c r="N2468" s="25"/>
      <c r="O2468" s="54"/>
      <c r="P2468"/>
      <c r="Q2468" s="25"/>
      <c r="R2468" s="54"/>
      <c r="W2468" s="23"/>
      <c r="X2468" s="23"/>
      <c r="Y2468" s="23"/>
      <c r="Z2468" s="43"/>
      <c r="AA2468" s="23"/>
      <c r="AB2468" s="23"/>
      <c r="AC2468" s="23"/>
      <c r="AD2468" s="23"/>
      <c r="AE2468" s="23"/>
      <c r="AF2468" s="23"/>
      <c r="AG2468" s="23"/>
      <c r="AH2468" s="23"/>
      <c r="AI2468" s="48"/>
    </row>
    <row r="2469" spans="1:35">
      <c r="B2469" s="42"/>
      <c r="G2469" s="43"/>
      <c r="H2469" s="44"/>
      <c r="L2469" s="42"/>
      <c r="M2469" s="42"/>
      <c r="N2469" s="25"/>
      <c r="O2469" s="54"/>
      <c r="P2469"/>
      <c r="Q2469" s="25"/>
      <c r="R2469" s="54"/>
      <c r="W2469" s="23"/>
      <c r="X2469" s="23"/>
      <c r="Y2469" s="23"/>
      <c r="Z2469" s="43"/>
      <c r="AA2469" s="23"/>
      <c r="AB2469" s="23"/>
      <c r="AC2469" s="23"/>
      <c r="AD2469" s="23"/>
      <c r="AE2469" s="23"/>
      <c r="AF2469" s="23"/>
      <c r="AG2469" s="23"/>
      <c r="AH2469" s="23"/>
      <c r="AI2469" s="48"/>
    </row>
    <row r="2470" spans="1:35">
      <c r="B2470" s="42"/>
      <c r="G2470" s="43"/>
      <c r="H2470" s="44"/>
      <c r="L2470" s="42"/>
      <c r="M2470" s="42"/>
      <c r="N2470" s="25"/>
      <c r="O2470" s="54"/>
      <c r="P2470"/>
      <c r="Q2470" s="25"/>
      <c r="R2470" s="54"/>
      <c r="W2470" s="23"/>
      <c r="X2470" s="23"/>
      <c r="Y2470" s="23"/>
      <c r="Z2470" s="43"/>
      <c r="AA2470" s="23"/>
      <c r="AB2470" s="23"/>
      <c r="AC2470" s="23"/>
      <c r="AD2470" s="23"/>
      <c r="AE2470" s="23"/>
      <c r="AF2470" s="23"/>
      <c r="AG2470" s="23"/>
      <c r="AH2470" s="23"/>
      <c r="AI2470" s="48"/>
    </row>
    <row r="2471" spans="1:35">
      <c r="A2471" s="23"/>
      <c r="B2471" s="42"/>
      <c r="C2471" s="49"/>
      <c r="E2471" s="49"/>
      <c r="G2471" s="43"/>
      <c r="H2471" s="44"/>
      <c r="L2471" s="42"/>
      <c r="M2471" s="42"/>
      <c r="N2471" s="25"/>
      <c r="O2471" s="54"/>
      <c r="P2471"/>
      <c r="Q2471" s="25"/>
      <c r="R2471" s="54"/>
      <c r="W2471" s="23"/>
      <c r="X2471" s="23"/>
      <c r="Y2471" s="23"/>
      <c r="Z2471" s="43"/>
      <c r="AA2471" s="23"/>
      <c r="AB2471" s="23"/>
      <c r="AC2471" s="23"/>
      <c r="AD2471" s="23"/>
      <c r="AE2471" s="23"/>
      <c r="AF2471" s="23"/>
      <c r="AG2471" s="23"/>
      <c r="AH2471" s="23"/>
      <c r="AI2471" s="49"/>
    </row>
    <row r="2472" spans="1:35">
      <c r="A2472" s="23"/>
      <c r="B2472" s="42"/>
      <c r="C2472" s="49"/>
      <c r="E2472" s="49"/>
      <c r="G2472" s="43"/>
      <c r="H2472" s="44"/>
      <c r="L2472" s="42"/>
      <c r="M2472" s="42"/>
      <c r="N2472" s="25"/>
      <c r="O2472" s="54"/>
      <c r="P2472"/>
      <c r="Q2472" s="25"/>
      <c r="R2472" s="54"/>
      <c r="W2472" s="23"/>
      <c r="X2472" s="23"/>
      <c r="Y2472" s="23"/>
      <c r="Z2472" s="43"/>
      <c r="AA2472" s="23"/>
      <c r="AB2472" s="23"/>
      <c r="AC2472" s="23"/>
      <c r="AD2472" s="23"/>
      <c r="AE2472" s="23"/>
      <c r="AF2472" s="23"/>
      <c r="AG2472" s="23"/>
      <c r="AH2472" s="23"/>
      <c r="AI2472" s="49"/>
    </row>
    <row r="2473" spans="1:35">
      <c r="A2473" s="23"/>
      <c r="B2473" s="42"/>
      <c r="C2473" s="49"/>
      <c r="E2473" s="49"/>
      <c r="G2473" s="43"/>
      <c r="H2473" s="44"/>
      <c r="L2473" s="42"/>
      <c r="M2473" s="42"/>
      <c r="N2473" s="25"/>
      <c r="O2473" s="54"/>
      <c r="P2473"/>
      <c r="Q2473" s="25"/>
      <c r="R2473" s="54"/>
      <c r="W2473" s="23"/>
      <c r="X2473" s="23"/>
      <c r="Y2473" s="23"/>
      <c r="Z2473" s="43"/>
      <c r="AA2473" s="23"/>
      <c r="AB2473" s="23"/>
      <c r="AC2473" s="23"/>
      <c r="AD2473" s="23"/>
      <c r="AE2473" s="23"/>
      <c r="AF2473" s="23"/>
      <c r="AG2473" s="23"/>
      <c r="AH2473" s="23"/>
      <c r="AI2473" s="49"/>
    </row>
    <row r="2474" spans="1:35">
      <c r="A2474" s="23"/>
      <c r="B2474" s="42"/>
      <c r="C2474" s="49"/>
      <c r="E2474" s="49"/>
      <c r="G2474" s="43"/>
      <c r="H2474" s="44"/>
      <c r="L2474" s="42"/>
      <c r="M2474" s="42"/>
      <c r="N2474" s="25"/>
      <c r="O2474" s="54"/>
      <c r="P2474"/>
      <c r="Q2474" s="25"/>
      <c r="R2474" s="54"/>
      <c r="W2474" s="23"/>
      <c r="X2474" s="23"/>
      <c r="Y2474" s="23"/>
      <c r="Z2474" s="43"/>
      <c r="AA2474" s="23"/>
      <c r="AB2474" s="23"/>
      <c r="AC2474" s="23"/>
      <c r="AD2474" s="23"/>
      <c r="AE2474" s="23"/>
      <c r="AF2474" s="23"/>
      <c r="AG2474" s="23"/>
      <c r="AH2474" s="23"/>
      <c r="AI2474" s="49"/>
    </row>
    <row r="2475" spans="1:35">
      <c r="A2475" s="23"/>
      <c r="B2475" s="42"/>
      <c r="C2475" s="49"/>
      <c r="E2475" s="49"/>
      <c r="G2475" s="43"/>
      <c r="H2475" s="44"/>
      <c r="L2475" s="42"/>
      <c r="M2475" s="42"/>
      <c r="N2475" s="25"/>
      <c r="O2475" s="54"/>
      <c r="P2475"/>
      <c r="Q2475" s="25"/>
      <c r="R2475" s="54"/>
      <c r="W2475" s="23"/>
      <c r="X2475" s="23"/>
      <c r="Y2475" s="23"/>
      <c r="Z2475" s="43"/>
      <c r="AA2475" s="23"/>
      <c r="AB2475" s="23"/>
      <c r="AC2475" s="23"/>
      <c r="AD2475" s="23"/>
      <c r="AE2475" s="23"/>
      <c r="AF2475" s="23"/>
      <c r="AG2475" s="23"/>
      <c r="AH2475" s="23"/>
      <c r="AI2475" s="49"/>
    </row>
    <row r="2476" spans="1:35">
      <c r="A2476" s="23"/>
      <c r="B2476" s="42"/>
      <c r="C2476" s="49"/>
      <c r="E2476" s="49"/>
      <c r="G2476" s="43"/>
      <c r="H2476" s="44"/>
      <c r="L2476" s="42"/>
      <c r="M2476" s="42"/>
      <c r="N2476" s="25"/>
      <c r="O2476" s="54"/>
      <c r="P2476"/>
      <c r="Q2476" s="25"/>
      <c r="R2476" s="54"/>
      <c r="W2476" s="23"/>
      <c r="X2476" s="23"/>
      <c r="Y2476" s="23"/>
      <c r="Z2476" s="43"/>
      <c r="AA2476" s="23"/>
      <c r="AB2476" s="23"/>
      <c r="AC2476" s="23"/>
      <c r="AD2476" s="23"/>
      <c r="AE2476" s="23"/>
      <c r="AF2476" s="23"/>
      <c r="AG2476" s="23"/>
      <c r="AH2476" s="23"/>
      <c r="AI2476" s="49"/>
    </row>
    <row r="2477" spans="1:35">
      <c r="A2477" s="23"/>
      <c r="B2477" s="42"/>
      <c r="C2477" s="49"/>
      <c r="E2477" s="49"/>
      <c r="G2477" s="43"/>
      <c r="H2477" s="44"/>
      <c r="L2477" s="42"/>
      <c r="M2477" s="42"/>
      <c r="N2477" s="25"/>
      <c r="O2477" s="54"/>
      <c r="P2477"/>
      <c r="Q2477" s="25"/>
      <c r="R2477" s="54"/>
      <c r="W2477" s="23"/>
      <c r="X2477" s="23"/>
      <c r="Y2477" s="23"/>
      <c r="Z2477" s="43"/>
      <c r="AA2477" s="23"/>
      <c r="AB2477" s="23"/>
      <c r="AC2477" s="23"/>
      <c r="AD2477" s="23"/>
      <c r="AE2477" s="23"/>
      <c r="AF2477" s="23"/>
      <c r="AG2477" s="23"/>
      <c r="AH2477" s="23"/>
      <c r="AI2477" s="49"/>
    </row>
    <row r="2478" spans="1:35">
      <c r="B2478" s="42"/>
      <c r="C2478" s="49"/>
      <c r="E2478" s="49"/>
      <c r="G2478" s="43"/>
      <c r="H2478" s="44"/>
      <c r="L2478" s="42"/>
      <c r="M2478" s="42"/>
      <c r="N2478" s="25"/>
      <c r="O2478" s="54"/>
      <c r="P2478"/>
      <c r="Q2478" s="25"/>
      <c r="R2478" s="54"/>
      <c r="W2478" s="23"/>
      <c r="X2478" s="23"/>
      <c r="Y2478" s="23"/>
      <c r="Z2478" s="43"/>
      <c r="AA2478" s="23"/>
      <c r="AB2478" s="23"/>
      <c r="AC2478" s="23"/>
      <c r="AD2478" s="23"/>
      <c r="AE2478" s="23"/>
      <c r="AF2478" s="23"/>
      <c r="AG2478" s="23"/>
      <c r="AH2478" s="23"/>
      <c r="AI2478" s="23"/>
    </row>
    <row r="2479" spans="1:35">
      <c r="B2479" s="42"/>
      <c r="C2479" s="49"/>
      <c r="E2479" s="49"/>
      <c r="G2479" s="43"/>
      <c r="H2479" s="44"/>
      <c r="L2479" s="42"/>
      <c r="M2479" s="42"/>
      <c r="N2479" s="25"/>
      <c r="O2479" s="54"/>
      <c r="P2479"/>
      <c r="Q2479" s="25"/>
      <c r="R2479" s="54"/>
      <c r="W2479" s="23"/>
      <c r="X2479" s="23"/>
      <c r="Y2479" s="23"/>
      <c r="Z2479" s="43"/>
      <c r="AA2479" s="23"/>
      <c r="AB2479" s="23"/>
      <c r="AC2479" s="23"/>
      <c r="AD2479" s="23"/>
      <c r="AE2479" s="23"/>
      <c r="AF2479" s="23"/>
      <c r="AG2479" s="23"/>
      <c r="AH2479" s="23"/>
      <c r="AI2479" s="23"/>
    </row>
    <row r="2480" spans="1:35">
      <c r="B2480" s="42"/>
      <c r="C2480" s="49"/>
      <c r="E2480" s="49"/>
      <c r="G2480" s="43"/>
      <c r="H2480" s="44"/>
      <c r="L2480" s="42"/>
      <c r="M2480" s="42"/>
      <c r="N2480" s="25"/>
      <c r="O2480" s="54"/>
      <c r="P2480"/>
      <c r="Q2480" s="25"/>
      <c r="R2480" s="54"/>
      <c r="W2480" s="23"/>
      <c r="X2480" s="23"/>
      <c r="Y2480" s="23"/>
      <c r="Z2480" s="43"/>
      <c r="AA2480" s="23"/>
      <c r="AB2480" s="23"/>
      <c r="AC2480" s="23"/>
      <c r="AD2480" s="23"/>
      <c r="AE2480" s="23"/>
      <c r="AF2480" s="23"/>
      <c r="AG2480" s="23"/>
      <c r="AH2480" s="23"/>
      <c r="AI2480" s="23"/>
    </row>
    <row r="2481" spans="2:35">
      <c r="B2481" s="42"/>
      <c r="C2481" s="49"/>
      <c r="E2481" s="49"/>
      <c r="G2481" s="43"/>
      <c r="H2481" s="44"/>
      <c r="L2481" s="42"/>
      <c r="M2481" s="42"/>
      <c r="N2481" s="25"/>
      <c r="O2481" s="54"/>
      <c r="P2481"/>
      <c r="Q2481" s="25"/>
      <c r="R2481" s="54"/>
      <c r="W2481" s="23"/>
      <c r="X2481" s="23"/>
      <c r="Y2481" s="23"/>
      <c r="Z2481" s="43"/>
      <c r="AA2481" s="23"/>
      <c r="AB2481" s="23"/>
      <c r="AC2481" s="23"/>
      <c r="AD2481" s="23"/>
      <c r="AE2481" s="23"/>
      <c r="AF2481" s="23"/>
      <c r="AG2481" s="23"/>
      <c r="AH2481" s="23"/>
      <c r="AI2481" s="23"/>
    </row>
    <row r="2482" spans="2:35">
      <c r="B2482" s="42"/>
      <c r="C2482" s="49"/>
      <c r="E2482" s="49"/>
      <c r="G2482" s="43"/>
      <c r="H2482" s="44"/>
      <c r="L2482" s="42"/>
      <c r="M2482" s="42"/>
      <c r="N2482" s="25"/>
      <c r="O2482" s="54"/>
      <c r="P2482"/>
      <c r="Q2482" s="25"/>
      <c r="R2482" s="54"/>
      <c r="W2482" s="23"/>
      <c r="X2482" s="23"/>
      <c r="Y2482" s="23"/>
      <c r="Z2482" s="43"/>
      <c r="AA2482" s="23"/>
      <c r="AB2482" s="23"/>
      <c r="AC2482" s="23"/>
      <c r="AD2482" s="23"/>
      <c r="AE2482" s="23"/>
      <c r="AF2482" s="23"/>
      <c r="AG2482" s="23"/>
      <c r="AH2482" s="23"/>
      <c r="AI2482" s="23"/>
    </row>
    <row r="2483" spans="2:35">
      <c r="B2483" s="42"/>
      <c r="C2483" s="49"/>
      <c r="E2483" s="49"/>
      <c r="G2483" s="43"/>
      <c r="H2483" s="44"/>
      <c r="L2483" s="42"/>
      <c r="M2483" s="42"/>
      <c r="N2483" s="25"/>
      <c r="O2483" s="54"/>
      <c r="P2483"/>
      <c r="Q2483" s="25"/>
      <c r="R2483" s="54"/>
      <c r="W2483" s="23"/>
      <c r="X2483" s="23"/>
      <c r="Y2483" s="23"/>
      <c r="Z2483" s="43"/>
      <c r="AA2483" s="23"/>
      <c r="AB2483" s="23"/>
      <c r="AC2483" s="23"/>
      <c r="AD2483" s="23"/>
      <c r="AE2483" s="23"/>
      <c r="AF2483" s="23"/>
      <c r="AG2483" s="23"/>
      <c r="AH2483" s="23"/>
      <c r="AI2483" s="23"/>
    </row>
    <row r="2484" spans="2:35">
      <c r="B2484" s="42"/>
      <c r="C2484" s="49"/>
      <c r="E2484" s="49"/>
      <c r="G2484" s="43"/>
      <c r="H2484" s="44"/>
      <c r="L2484" s="42"/>
      <c r="M2484" s="42"/>
      <c r="N2484" s="25"/>
      <c r="O2484" s="54"/>
      <c r="P2484"/>
      <c r="Q2484" s="25"/>
      <c r="R2484" s="54"/>
      <c r="W2484" s="23"/>
      <c r="X2484" s="23"/>
      <c r="Y2484" s="23"/>
      <c r="Z2484" s="43"/>
      <c r="AA2484" s="23"/>
      <c r="AB2484" s="23"/>
      <c r="AC2484" s="23"/>
      <c r="AD2484" s="23"/>
      <c r="AE2484" s="23"/>
      <c r="AF2484" s="23"/>
      <c r="AG2484" s="23"/>
      <c r="AH2484" s="23"/>
      <c r="AI2484" s="23"/>
    </row>
    <row r="2485" spans="2:35">
      <c r="B2485" s="42"/>
      <c r="C2485" s="49"/>
      <c r="E2485" s="49"/>
      <c r="G2485" s="43"/>
      <c r="H2485" s="44"/>
      <c r="L2485" s="42"/>
      <c r="M2485" s="42"/>
      <c r="N2485" s="25"/>
      <c r="O2485" s="54"/>
      <c r="P2485"/>
      <c r="Q2485" s="25"/>
      <c r="R2485" s="54"/>
      <c r="W2485" s="23"/>
      <c r="X2485" s="23"/>
      <c r="Y2485" s="23"/>
      <c r="Z2485" s="43"/>
      <c r="AA2485" s="23"/>
      <c r="AB2485" s="23"/>
      <c r="AC2485" s="23"/>
      <c r="AD2485" s="23"/>
      <c r="AE2485" s="23"/>
      <c r="AF2485" s="23"/>
      <c r="AG2485" s="23"/>
      <c r="AH2485" s="23"/>
      <c r="AI2485" s="23"/>
    </row>
    <row r="2486" spans="2:35">
      <c r="B2486" s="42"/>
      <c r="C2486" s="49"/>
      <c r="E2486" s="49"/>
      <c r="G2486" s="43"/>
      <c r="H2486" s="44"/>
      <c r="L2486" s="42"/>
      <c r="M2486" s="42"/>
      <c r="N2486" s="25"/>
      <c r="O2486" s="54"/>
      <c r="P2486"/>
      <c r="Q2486" s="25"/>
      <c r="R2486" s="54"/>
      <c r="W2486" s="23"/>
      <c r="X2486" s="23"/>
      <c r="Y2486" s="23"/>
      <c r="Z2486" s="43"/>
      <c r="AA2486" s="23"/>
      <c r="AB2486" s="23"/>
      <c r="AC2486" s="23"/>
      <c r="AD2486" s="23"/>
      <c r="AE2486" s="23"/>
      <c r="AF2486" s="23"/>
      <c r="AG2486" s="23"/>
      <c r="AH2486" s="23"/>
      <c r="AI2486" s="23"/>
    </row>
    <row r="2487" spans="2:35">
      <c r="B2487" s="42"/>
      <c r="C2487" s="49"/>
      <c r="E2487" s="49"/>
      <c r="G2487" s="43"/>
      <c r="H2487" s="44"/>
      <c r="L2487" s="42"/>
      <c r="M2487" s="42"/>
      <c r="N2487" s="25"/>
      <c r="O2487" s="54"/>
      <c r="P2487"/>
      <c r="Q2487" s="25"/>
      <c r="R2487" s="54"/>
      <c r="W2487" s="23"/>
      <c r="X2487" s="23"/>
      <c r="Y2487" s="23"/>
      <c r="Z2487" s="43"/>
      <c r="AA2487" s="23"/>
      <c r="AB2487" s="23"/>
      <c r="AC2487" s="23"/>
      <c r="AD2487" s="23"/>
      <c r="AE2487" s="23"/>
      <c r="AF2487" s="23"/>
      <c r="AG2487" s="23"/>
      <c r="AH2487" s="23"/>
      <c r="AI2487" s="23"/>
    </row>
    <row r="2488" spans="2:35">
      <c r="B2488" s="42"/>
      <c r="C2488" s="49"/>
      <c r="E2488" s="49"/>
      <c r="G2488" s="43"/>
      <c r="H2488" s="44"/>
      <c r="L2488" s="42"/>
      <c r="M2488" s="42"/>
      <c r="N2488" s="25"/>
      <c r="O2488" s="54"/>
      <c r="P2488"/>
      <c r="Q2488" s="25"/>
      <c r="R2488" s="54"/>
      <c r="W2488" s="23"/>
      <c r="X2488" s="23"/>
      <c r="Y2488" s="23"/>
      <c r="Z2488" s="43"/>
      <c r="AA2488" s="23"/>
      <c r="AB2488" s="23"/>
      <c r="AC2488" s="23"/>
      <c r="AD2488" s="23"/>
      <c r="AE2488" s="23"/>
      <c r="AF2488" s="23"/>
      <c r="AG2488" s="23"/>
      <c r="AH2488" s="23"/>
      <c r="AI2488" s="23"/>
    </row>
    <row r="2489" spans="2:35">
      <c r="B2489" s="42"/>
      <c r="C2489" s="49"/>
      <c r="E2489" s="49"/>
      <c r="G2489" s="43"/>
      <c r="H2489" s="44"/>
      <c r="L2489" s="42"/>
      <c r="M2489" s="42"/>
      <c r="N2489" s="25"/>
      <c r="O2489" s="54"/>
      <c r="P2489"/>
      <c r="Q2489" s="25"/>
      <c r="R2489" s="54"/>
      <c r="W2489" s="23"/>
      <c r="X2489" s="23"/>
      <c r="Y2489" s="23"/>
      <c r="Z2489" s="43"/>
      <c r="AA2489" s="23"/>
      <c r="AB2489" s="23"/>
      <c r="AC2489" s="23"/>
      <c r="AD2489" s="23"/>
      <c r="AE2489" s="23"/>
      <c r="AF2489" s="23"/>
      <c r="AG2489" s="23"/>
      <c r="AH2489" s="23"/>
      <c r="AI2489" s="23"/>
    </row>
    <row r="2490" spans="2:35">
      <c r="B2490" s="42"/>
      <c r="C2490" s="49"/>
      <c r="E2490" s="49"/>
      <c r="G2490" s="43"/>
      <c r="H2490" s="44"/>
      <c r="L2490" s="42"/>
      <c r="M2490" s="42"/>
      <c r="N2490" s="25"/>
      <c r="O2490" s="54"/>
      <c r="P2490"/>
      <c r="Q2490" s="25"/>
      <c r="R2490" s="54"/>
      <c r="W2490" s="23"/>
      <c r="X2490" s="23"/>
      <c r="Y2490" s="23"/>
      <c r="Z2490" s="43"/>
      <c r="AA2490" s="23"/>
      <c r="AB2490" s="23"/>
      <c r="AC2490" s="23"/>
      <c r="AD2490" s="23"/>
      <c r="AE2490" s="23"/>
      <c r="AF2490" s="23"/>
      <c r="AG2490" s="23"/>
      <c r="AH2490" s="23"/>
      <c r="AI2490" s="23"/>
    </row>
    <row r="2491" spans="2:35">
      <c r="B2491" s="42"/>
      <c r="C2491" s="49"/>
      <c r="E2491" s="49"/>
      <c r="G2491" s="43"/>
      <c r="H2491" s="44"/>
      <c r="L2491" s="42"/>
      <c r="M2491" s="42"/>
      <c r="N2491" s="25"/>
      <c r="O2491" s="54"/>
      <c r="P2491"/>
      <c r="Q2491" s="25"/>
      <c r="R2491" s="54"/>
      <c r="W2491" s="23"/>
      <c r="X2491" s="23"/>
      <c r="Y2491" s="23"/>
      <c r="Z2491" s="43"/>
      <c r="AA2491" s="23"/>
      <c r="AB2491" s="23"/>
      <c r="AC2491" s="23"/>
      <c r="AD2491" s="23"/>
      <c r="AE2491" s="23"/>
      <c r="AF2491" s="23"/>
      <c r="AG2491" s="23"/>
      <c r="AH2491" s="23"/>
      <c r="AI2491" s="23"/>
    </row>
    <row r="2492" spans="2:35">
      <c r="B2492" s="42"/>
      <c r="C2492" s="49"/>
      <c r="E2492" s="49"/>
      <c r="G2492" s="43"/>
      <c r="H2492" s="44"/>
      <c r="L2492" s="42"/>
      <c r="M2492" s="42"/>
      <c r="N2492" s="25"/>
      <c r="O2492" s="54"/>
      <c r="P2492"/>
      <c r="Q2492" s="25"/>
      <c r="R2492" s="54"/>
      <c r="W2492" s="23"/>
      <c r="X2492" s="23"/>
      <c r="Y2492" s="23"/>
      <c r="Z2492" s="43"/>
      <c r="AA2492" s="23"/>
      <c r="AB2492" s="23"/>
      <c r="AC2492" s="23"/>
      <c r="AD2492" s="23"/>
      <c r="AE2492" s="23"/>
      <c r="AF2492" s="23"/>
      <c r="AG2492" s="23"/>
      <c r="AH2492" s="23"/>
      <c r="AI2492" s="23"/>
    </row>
    <row r="2493" spans="2:35">
      <c r="B2493" s="42"/>
      <c r="C2493" s="49"/>
      <c r="E2493" s="49"/>
      <c r="G2493" s="43"/>
      <c r="H2493" s="44"/>
      <c r="L2493" s="42"/>
      <c r="M2493" s="42"/>
      <c r="N2493" s="25"/>
      <c r="O2493" s="54"/>
      <c r="P2493"/>
      <c r="Q2493" s="25"/>
      <c r="R2493" s="54"/>
      <c r="W2493" s="23"/>
      <c r="X2493" s="23"/>
      <c r="Y2493" s="23"/>
      <c r="Z2493" s="43"/>
      <c r="AA2493" s="23"/>
      <c r="AB2493" s="23"/>
      <c r="AC2493" s="23"/>
      <c r="AD2493" s="23"/>
      <c r="AE2493" s="23"/>
      <c r="AF2493" s="23"/>
      <c r="AG2493" s="23"/>
      <c r="AH2493" s="23"/>
      <c r="AI2493" s="23"/>
    </row>
    <row r="2494" spans="2:35">
      <c r="B2494" s="42"/>
      <c r="C2494" s="49"/>
      <c r="E2494" s="49"/>
      <c r="G2494" s="43"/>
      <c r="H2494" s="44"/>
      <c r="L2494" s="42"/>
      <c r="M2494" s="42"/>
      <c r="N2494" s="25"/>
      <c r="O2494" s="54"/>
      <c r="P2494"/>
      <c r="Q2494" s="25"/>
      <c r="R2494" s="54"/>
      <c r="W2494" s="23"/>
      <c r="X2494" s="23"/>
      <c r="Y2494" s="23"/>
      <c r="Z2494" s="43"/>
      <c r="AA2494" s="23"/>
      <c r="AB2494" s="23"/>
      <c r="AC2494" s="23"/>
      <c r="AD2494" s="23"/>
      <c r="AE2494" s="23"/>
      <c r="AF2494" s="23"/>
      <c r="AG2494" s="23"/>
      <c r="AH2494" s="23"/>
      <c r="AI2494" s="23"/>
    </row>
    <row r="2495" spans="2:35">
      <c r="B2495" s="42"/>
      <c r="C2495" s="49"/>
      <c r="E2495" s="49"/>
      <c r="G2495" s="43"/>
      <c r="H2495" s="44"/>
      <c r="L2495" s="42"/>
      <c r="M2495" s="42"/>
      <c r="N2495" s="25"/>
      <c r="O2495" s="54"/>
      <c r="P2495"/>
      <c r="Q2495" s="25"/>
      <c r="R2495" s="54"/>
      <c r="W2495" s="23"/>
      <c r="X2495" s="23"/>
      <c r="Y2495" s="23"/>
      <c r="Z2495" s="43"/>
      <c r="AA2495" s="23"/>
      <c r="AB2495" s="23"/>
      <c r="AC2495" s="23"/>
      <c r="AD2495" s="23"/>
      <c r="AE2495" s="23"/>
      <c r="AF2495" s="23"/>
      <c r="AG2495" s="23"/>
      <c r="AH2495" s="23"/>
      <c r="AI2495" s="23"/>
    </row>
    <row r="2496" spans="2:35">
      <c r="B2496" s="42"/>
      <c r="C2496" s="49"/>
      <c r="E2496" s="49"/>
      <c r="G2496" s="43"/>
      <c r="H2496" s="44"/>
      <c r="L2496" s="42"/>
      <c r="M2496" s="42"/>
      <c r="N2496" s="25"/>
      <c r="O2496" s="54"/>
      <c r="P2496"/>
      <c r="Q2496" s="25"/>
      <c r="R2496" s="54"/>
      <c r="W2496" s="23"/>
      <c r="X2496" s="23"/>
      <c r="Y2496" s="23"/>
      <c r="Z2496" s="43"/>
      <c r="AA2496" s="23"/>
      <c r="AB2496" s="23"/>
      <c r="AC2496" s="23"/>
      <c r="AD2496" s="23"/>
      <c r="AE2496" s="23"/>
      <c r="AF2496" s="23"/>
      <c r="AG2496" s="23"/>
      <c r="AH2496" s="23"/>
      <c r="AI2496" s="23"/>
    </row>
    <row r="2497" spans="1:35">
      <c r="B2497" s="42"/>
      <c r="C2497" s="49"/>
      <c r="E2497" s="49"/>
      <c r="G2497" s="43"/>
      <c r="H2497" s="44"/>
      <c r="L2497" s="42"/>
      <c r="M2497" s="42"/>
      <c r="N2497" s="25"/>
      <c r="O2497" s="54"/>
      <c r="P2497"/>
      <c r="Q2497" s="25"/>
      <c r="R2497" s="54"/>
      <c r="W2497" s="23"/>
      <c r="X2497" s="23"/>
      <c r="Y2497" s="23"/>
      <c r="Z2497" s="43"/>
      <c r="AA2497" s="23"/>
      <c r="AB2497" s="23"/>
      <c r="AC2497" s="23"/>
      <c r="AD2497" s="23"/>
      <c r="AE2497" s="23"/>
      <c r="AF2497" s="23"/>
      <c r="AG2497" s="23"/>
      <c r="AH2497" s="23"/>
      <c r="AI2497" s="23"/>
    </row>
    <row r="2498" spans="1:35">
      <c r="B2498" s="42"/>
      <c r="C2498" s="49"/>
      <c r="E2498" s="49"/>
      <c r="G2498" s="43"/>
      <c r="H2498" s="44"/>
      <c r="L2498" s="42"/>
      <c r="M2498" s="42"/>
      <c r="N2498" s="25"/>
      <c r="O2498" s="54"/>
      <c r="P2498"/>
      <c r="Q2498" s="25"/>
      <c r="R2498" s="54"/>
      <c r="W2498" s="23"/>
      <c r="X2498" s="23"/>
      <c r="Y2498" s="23"/>
      <c r="Z2498" s="43"/>
      <c r="AA2498" s="23"/>
      <c r="AB2498" s="23"/>
      <c r="AC2498" s="23"/>
      <c r="AD2498" s="23"/>
      <c r="AE2498" s="23"/>
      <c r="AF2498" s="23"/>
      <c r="AG2498" s="23"/>
      <c r="AH2498" s="23"/>
      <c r="AI2498" s="23"/>
    </row>
    <row r="2499" spans="1:35">
      <c r="B2499" s="42"/>
      <c r="C2499" s="49"/>
      <c r="E2499" s="49"/>
      <c r="G2499" s="43"/>
      <c r="H2499" s="44"/>
      <c r="L2499" s="42"/>
      <c r="M2499" s="42"/>
      <c r="N2499" s="25"/>
      <c r="O2499" s="54"/>
      <c r="P2499"/>
      <c r="Q2499" s="25"/>
      <c r="R2499" s="54"/>
      <c r="W2499" s="23"/>
      <c r="X2499" s="23"/>
      <c r="Y2499" s="23"/>
      <c r="Z2499" s="43"/>
      <c r="AA2499" s="23"/>
      <c r="AB2499" s="23"/>
      <c r="AC2499" s="23"/>
      <c r="AD2499" s="23"/>
      <c r="AE2499" s="23"/>
      <c r="AF2499" s="23"/>
      <c r="AG2499" s="23"/>
      <c r="AH2499" s="23"/>
      <c r="AI2499" s="23"/>
    </row>
    <row r="2500" spans="1:35">
      <c r="A2500" s="23"/>
      <c r="B2500" s="42"/>
      <c r="C2500" s="49"/>
      <c r="E2500" s="49"/>
      <c r="G2500" s="43"/>
      <c r="H2500" s="44"/>
      <c r="L2500" s="42"/>
      <c r="M2500" s="42"/>
      <c r="N2500" s="25"/>
      <c r="O2500" s="54"/>
      <c r="P2500"/>
      <c r="Q2500" s="25"/>
      <c r="R2500" s="54"/>
      <c r="W2500" s="23"/>
      <c r="X2500" s="23"/>
      <c r="Y2500" s="23"/>
      <c r="Z2500" s="43"/>
      <c r="AA2500" s="23"/>
      <c r="AB2500" s="23"/>
      <c r="AC2500" s="23"/>
      <c r="AD2500" s="23"/>
      <c r="AE2500" s="23"/>
      <c r="AF2500" s="23"/>
      <c r="AG2500" s="23"/>
      <c r="AH2500" s="23"/>
      <c r="AI2500" s="49"/>
    </row>
    <row r="2501" spans="1:35">
      <c r="A2501" s="23"/>
      <c r="B2501" s="42"/>
      <c r="C2501" s="49"/>
      <c r="E2501" s="49"/>
      <c r="G2501" s="43"/>
      <c r="H2501" s="44"/>
      <c r="L2501" s="42"/>
      <c r="M2501" s="42"/>
      <c r="N2501" s="25"/>
      <c r="O2501" s="54"/>
      <c r="P2501"/>
      <c r="Q2501" s="25"/>
      <c r="R2501" s="54"/>
      <c r="W2501" s="23"/>
      <c r="X2501" s="23"/>
      <c r="Y2501" s="23"/>
      <c r="Z2501" s="43"/>
      <c r="AA2501" s="23"/>
      <c r="AB2501" s="23"/>
      <c r="AC2501" s="23"/>
      <c r="AD2501" s="23"/>
      <c r="AE2501" s="23"/>
      <c r="AF2501" s="23"/>
      <c r="AG2501" s="23"/>
      <c r="AH2501" s="23"/>
      <c r="AI2501" s="49"/>
    </row>
    <row r="2502" spans="1:35">
      <c r="A2502" s="23"/>
      <c r="B2502" s="42"/>
      <c r="C2502" s="49"/>
      <c r="E2502" s="49"/>
      <c r="G2502" s="43"/>
      <c r="H2502" s="44"/>
      <c r="L2502" s="42"/>
      <c r="M2502" s="42"/>
      <c r="N2502" s="25"/>
      <c r="O2502" s="54"/>
      <c r="P2502"/>
      <c r="Q2502" s="25"/>
      <c r="R2502" s="54"/>
      <c r="W2502" s="23"/>
      <c r="X2502" s="23"/>
      <c r="Y2502" s="23"/>
      <c r="Z2502" s="43"/>
      <c r="AA2502" s="23"/>
      <c r="AB2502" s="23"/>
      <c r="AC2502" s="23"/>
      <c r="AD2502" s="23"/>
      <c r="AE2502" s="23"/>
      <c r="AF2502" s="23"/>
      <c r="AG2502" s="23"/>
      <c r="AH2502" s="23"/>
      <c r="AI2502" s="49"/>
    </row>
    <row r="2503" spans="1:35">
      <c r="A2503" s="23"/>
      <c r="B2503" s="42"/>
      <c r="C2503" s="49"/>
      <c r="E2503" s="49"/>
      <c r="G2503" s="43"/>
      <c r="H2503" s="44"/>
      <c r="L2503" s="42"/>
      <c r="M2503" s="42"/>
      <c r="N2503" s="25"/>
      <c r="O2503" s="54"/>
      <c r="P2503"/>
      <c r="Q2503" s="25"/>
      <c r="R2503" s="54"/>
      <c r="W2503" s="23"/>
      <c r="X2503" s="23"/>
      <c r="Y2503" s="23"/>
      <c r="Z2503" s="43"/>
      <c r="AA2503" s="23"/>
      <c r="AB2503" s="23"/>
      <c r="AC2503" s="23"/>
      <c r="AD2503" s="23"/>
      <c r="AE2503" s="23"/>
      <c r="AF2503" s="23"/>
      <c r="AG2503" s="23"/>
      <c r="AH2503" s="23"/>
      <c r="AI2503" s="49"/>
    </row>
    <row r="2504" spans="1:35">
      <c r="A2504" s="23"/>
      <c r="B2504" s="42"/>
      <c r="C2504" s="49"/>
      <c r="E2504" s="49"/>
      <c r="G2504" s="43"/>
      <c r="H2504" s="44"/>
      <c r="L2504" s="42"/>
      <c r="M2504" s="42"/>
      <c r="N2504" s="25"/>
      <c r="O2504" s="54"/>
      <c r="P2504"/>
      <c r="Q2504" s="25"/>
      <c r="R2504" s="54"/>
      <c r="W2504" s="23"/>
      <c r="X2504" s="23"/>
      <c r="Y2504" s="23"/>
      <c r="Z2504" s="43"/>
      <c r="AA2504" s="23"/>
      <c r="AB2504" s="23"/>
      <c r="AC2504" s="23"/>
      <c r="AD2504" s="23"/>
      <c r="AE2504" s="23"/>
      <c r="AF2504" s="23"/>
      <c r="AG2504" s="23"/>
      <c r="AH2504" s="23"/>
      <c r="AI2504" s="49"/>
    </row>
    <row r="2505" spans="1:35">
      <c r="A2505" s="23"/>
      <c r="B2505" s="42"/>
      <c r="C2505" s="49"/>
      <c r="E2505" s="49"/>
      <c r="G2505" s="43"/>
      <c r="H2505" s="44"/>
      <c r="L2505" s="42"/>
      <c r="M2505" s="42"/>
      <c r="N2505" s="25"/>
      <c r="O2505" s="54"/>
      <c r="P2505"/>
      <c r="Q2505" s="25"/>
      <c r="R2505" s="54"/>
      <c r="W2505" s="23"/>
      <c r="X2505" s="23"/>
      <c r="Y2505" s="23"/>
      <c r="Z2505" s="43"/>
      <c r="AA2505" s="23"/>
      <c r="AB2505" s="23"/>
      <c r="AC2505" s="23"/>
      <c r="AD2505" s="23"/>
      <c r="AE2505" s="23"/>
      <c r="AF2505" s="23"/>
      <c r="AG2505" s="23"/>
      <c r="AH2505" s="23"/>
      <c r="AI2505" s="49"/>
    </row>
    <row r="2506" spans="1:35">
      <c r="A2506" s="23"/>
      <c r="B2506" s="42"/>
      <c r="C2506" s="49"/>
      <c r="E2506" s="49"/>
      <c r="G2506" s="43"/>
      <c r="H2506" s="44"/>
      <c r="L2506" s="42"/>
      <c r="M2506" s="42"/>
      <c r="N2506" s="25"/>
      <c r="O2506" s="54"/>
      <c r="P2506"/>
      <c r="Q2506" s="25"/>
      <c r="R2506" s="54"/>
      <c r="W2506" s="23"/>
      <c r="X2506" s="23"/>
      <c r="Y2506" s="23"/>
      <c r="Z2506" s="43"/>
      <c r="AA2506" s="23"/>
      <c r="AB2506" s="23"/>
      <c r="AC2506" s="23"/>
      <c r="AD2506" s="23"/>
      <c r="AE2506" s="23"/>
      <c r="AF2506" s="23"/>
      <c r="AG2506" s="23"/>
      <c r="AH2506" s="23"/>
      <c r="AI2506" s="49"/>
    </row>
    <row r="2507" spans="1:35">
      <c r="A2507" s="23"/>
      <c r="B2507" s="42"/>
      <c r="C2507" s="49"/>
      <c r="E2507" s="49"/>
      <c r="G2507" s="43"/>
      <c r="H2507" s="44"/>
      <c r="L2507" s="42"/>
      <c r="M2507" s="42"/>
      <c r="N2507" s="25"/>
      <c r="O2507" s="54"/>
      <c r="P2507"/>
      <c r="Q2507" s="25"/>
      <c r="R2507" s="54"/>
      <c r="W2507" s="23"/>
      <c r="X2507" s="23"/>
      <c r="Y2507" s="23"/>
      <c r="Z2507" s="43"/>
      <c r="AA2507" s="23"/>
      <c r="AB2507" s="23"/>
      <c r="AC2507" s="23"/>
      <c r="AD2507" s="23"/>
      <c r="AE2507" s="23"/>
      <c r="AF2507" s="23"/>
      <c r="AG2507" s="23"/>
      <c r="AH2507" s="23"/>
      <c r="AI2507" s="49"/>
    </row>
    <row r="2508" spans="1:35">
      <c r="A2508" s="23"/>
      <c r="B2508" s="42"/>
      <c r="C2508" s="49"/>
      <c r="E2508" s="49"/>
      <c r="G2508" s="43"/>
      <c r="H2508" s="44"/>
      <c r="L2508" s="42"/>
      <c r="M2508" s="42"/>
      <c r="N2508" s="25"/>
      <c r="O2508" s="54"/>
      <c r="P2508"/>
      <c r="Q2508" s="25"/>
      <c r="R2508" s="54"/>
      <c r="W2508" s="23"/>
      <c r="X2508" s="23"/>
      <c r="Y2508" s="23"/>
      <c r="Z2508" s="43"/>
      <c r="AA2508" s="23"/>
      <c r="AB2508" s="23"/>
      <c r="AC2508" s="23"/>
      <c r="AD2508" s="23"/>
      <c r="AE2508" s="23"/>
      <c r="AF2508" s="23"/>
      <c r="AG2508" s="23"/>
      <c r="AH2508" s="23"/>
      <c r="AI2508" s="49"/>
    </row>
    <row r="2509" spans="1:35">
      <c r="A2509" s="23"/>
      <c r="B2509" s="42"/>
      <c r="C2509" s="49"/>
      <c r="E2509" s="49"/>
      <c r="G2509" s="43"/>
      <c r="H2509" s="44"/>
      <c r="L2509" s="42"/>
      <c r="M2509" s="42"/>
      <c r="N2509" s="25"/>
      <c r="O2509" s="54"/>
      <c r="P2509"/>
      <c r="Q2509" s="25"/>
      <c r="R2509" s="54"/>
      <c r="W2509" s="23"/>
      <c r="X2509" s="23"/>
      <c r="Y2509" s="23"/>
      <c r="Z2509" s="43"/>
      <c r="AA2509" s="23"/>
      <c r="AB2509" s="23"/>
      <c r="AC2509" s="23"/>
      <c r="AD2509" s="23"/>
      <c r="AE2509" s="23"/>
      <c r="AF2509" s="23"/>
      <c r="AG2509" s="23"/>
      <c r="AH2509" s="23"/>
      <c r="AI2509" s="49"/>
    </row>
    <row r="2510" spans="1:35">
      <c r="A2510" s="23"/>
      <c r="B2510" s="42"/>
      <c r="C2510" s="49"/>
      <c r="E2510" s="49"/>
      <c r="G2510" s="43"/>
      <c r="H2510" s="44"/>
      <c r="L2510" s="42"/>
      <c r="M2510" s="42"/>
      <c r="N2510" s="25"/>
      <c r="O2510" s="54"/>
      <c r="P2510"/>
      <c r="Q2510" s="25"/>
      <c r="R2510" s="54"/>
      <c r="W2510" s="23"/>
      <c r="X2510" s="23"/>
      <c r="Y2510" s="23"/>
      <c r="Z2510" s="43"/>
      <c r="AA2510" s="23"/>
      <c r="AB2510" s="23"/>
      <c r="AC2510" s="23"/>
      <c r="AD2510" s="23"/>
      <c r="AE2510" s="23"/>
      <c r="AF2510" s="23"/>
      <c r="AG2510" s="23"/>
      <c r="AH2510" s="23"/>
      <c r="AI2510" s="49"/>
    </row>
    <row r="2511" spans="1:35">
      <c r="A2511" s="23"/>
      <c r="B2511" s="42"/>
      <c r="C2511" s="49"/>
      <c r="E2511" s="49"/>
      <c r="G2511" s="43"/>
      <c r="H2511" s="44"/>
      <c r="L2511" s="42"/>
      <c r="M2511" s="42"/>
      <c r="N2511" s="25"/>
      <c r="O2511" s="54"/>
      <c r="P2511"/>
      <c r="Q2511" s="25"/>
      <c r="R2511" s="54"/>
      <c r="W2511" s="23"/>
      <c r="X2511" s="23"/>
      <c r="Y2511" s="23"/>
      <c r="Z2511" s="43"/>
      <c r="AA2511" s="23"/>
      <c r="AB2511" s="23"/>
      <c r="AC2511" s="23"/>
      <c r="AD2511" s="23"/>
      <c r="AE2511" s="23"/>
      <c r="AF2511" s="23"/>
      <c r="AG2511" s="23"/>
      <c r="AH2511" s="23"/>
      <c r="AI2511" s="49"/>
    </row>
    <row r="2512" spans="1:35">
      <c r="A2512" s="23"/>
      <c r="B2512" s="42"/>
      <c r="C2512" s="49"/>
      <c r="E2512" s="49"/>
      <c r="G2512" s="43"/>
      <c r="H2512" s="44"/>
      <c r="L2512" s="42"/>
      <c r="M2512" s="42"/>
      <c r="N2512" s="25"/>
      <c r="O2512" s="54"/>
      <c r="P2512"/>
      <c r="Q2512" s="25"/>
      <c r="R2512" s="54"/>
      <c r="W2512" s="23"/>
      <c r="X2512" s="23"/>
      <c r="Y2512" s="23"/>
      <c r="Z2512" s="43"/>
      <c r="AA2512" s="23"/>
      <c r="AB2512" s="23"/>
      <c r="AC2512" s="23"/>
      <c r="AD2512" s="23"/>
      <c r="AE2512" s="23"/>
      <c r="AF2512" s="23"/>
      <c r="AG2512" s="23"/>
      <c r="AH2512" s="23"/>
      <c r="AI2512" s="49"/>
    </row>
    <row r="2513" spans="1:35">
      <c r="A2513" s="23"/>
      <c r="B2513" s="42"/>
      <c r="C2513" s="49"/>
      <c r="E2513" s="49"/>
      <c r="G2513" s="43"/>
      <c r="H2513" s="44"/>
      <c r="L2513" s="42"/>
      <c r="M2513" s="42"/>
      <c r="N2513" s="25"/>
      <c r="O2513" s="54"/>
      <c r="P2513"/>
      <c r="Q2513" s="25"/>
      <c r="R2513" s="54"/>
      <c r="W2513" s="23"/>
      <c r="X2513" s="23"/>
      <c r="Y2513" s="23"/>
      <c r="Z2513" s="43"/>
      <c r="AA2513" s="23"/>
      <c r="AB2513" s="23"/>
      <c r="AC2513" s="23"/>
      <c r="AD2513" s="23"/>
      <c r="AE2513" s="23"/>
      <c r="AF2513" s="23"/>
      <c r="AG2513" s="23"/>
      <c r="AH2513" s="23"/>
      <c r="AI2513" s="49"/>
    </row>
    <row r="2514" spans="1:35">
      <c r="A2514" s="23"/>
      <c r="B2514" s="42"/>
      <c r="C2514" s="49"/>
      <c r="E2514" s="49"/>
      <c r="G2514" s="43"/>
      <c r="H2514" s="44"/>
      <c r="L2514" s="42"/>
      <c r="M2514" s="42"/>
      <c r="N2514" s="25"/>
      <c r="O2514" s="54"/>
      <c r="P2514"/>
      <c r="Q2514" s="25"/>
      <c r="R2514" s="54"/>
      <c r="W2514" s="23"/>
      <c r="X2514" s="23"/>
      <c r="Y2514" s="23"/>
      <c r="Z2514" s="43"/>
      <c r="AA2514" s="23"/>
      <c r="AB2514" s="23"/>
      <c r="AC2514" s="23"/>
      <c r="AD2514" s="23"/>
      <c r="AE2514" s="23"/>
      <c r="AF2514" s="23"/>
      <c r="AG2514" s="23"/>
      <c r="AH2514" s="23"/>
      <c r="AI2514" s="49"/>
    </row>
    <row r="2515" spans="1:35">
      <c r="A2515" s="23"/>
      <c r="B2515" s="42"/>
      <c r="C2515" s="49"/>
      <c r="E2515" s="49"/>
      <c r="G2515" s="43"/>
      <c r="H2515" s="44"/>
      <c r="L2515" s="42"/>
      <c r="M2515" s="42"/>
      <c r="N2515" s="25"/>
      <c r="O2515" s="54"/>
      <c r="P2515"/>
      <c r="Q2515" s="25"/>
      <c r="R2515" s="54"/>
      <c r="W2515" s="23"/>
      <c r="X2515" s="23"/>
      <c r="Y2515" s="23"/>
      <c r="Z2515" s="43"/>
      <c r="AA2515" s="23"/>
      <c r="AB2515" s="23"/>
      <c r="AC2515" s="23"/>
      <c r="AD2515" s="23"/>
      <c r="AE2515" s="23"/>
      <c r="AF2515" s="23"/>
      <c r="AG2515" s="23"/>
      <c r="AH2515" s="23"/>
      <c r="AI2515" s="49"/>
    </row>
    <row r="2516" spans="1:35">
      <c r="A2516" s="23"/>
      <c r="B2516" s="42"/>
      <c r="C2516" s="49"/>
      <c r="E2516" s="49"/>
      <c r="G2516" s="43"/>
      <c r="H2516" s="44"/>
      <c r="L2516" s="42"/>
      <c r="M2516" s="42"/>
      <c r="N2516" s="25"/>
      <c r="O2516" s="54"/>
      <c r="P2516"/>
      <c r="Q2516" s="25"/>
      <c r="R2516" s="54"/>
      <c r="W2516" s="23"/>
      <c r="X2516" s="23"/>
      <c r="Y2516" s="23"/>
      <c r="Z2516" s="43"/>
      <c r="AA2516" s="23"/>
      <c r="AB2516" s="23"/>
      <c r="AC2516" s="23"/>
      <c r="AD2516" s="23"/>
      <c r="AE2516" s="23"/>
      <c r="AF2516" s="23"/>
      <c r="AG2516" s="23"/>
      <c r="AH2516" s="23"/>
      <c r="AI2516" s="49"/>
    </row>
    <row r="2517" spans="1:35">
      <c r="A2517" s="23"/>
      <c r="B2517" s="42"/>
      <c r="C2517" s="49"/>
      <c r="E2517" s="49"/>
      <c r="G2517" s="43"/>
      <c r="H2517" s="44"/>
      <c r="L2517" s="42"/>
      <c r="M2517" s="42"/>
      <c r="N2517" s="25"/>
      <c r="O2517" s="54"/>
      <c r="P2517"/>
      <c r="Q2517" s="25"/>
      <c r="R2517" s="54"/>
      <c r="W2517" s="23"/>
      <c r="X2517" s="23"/>
      <c r="Y2517" s="23"/>
      <c r="Z2517" s="43"/>
      <c r="AA2517" s="23"/>
      <c r="AB2517" s="23"/>
      <c r="AC2517" s="23"/>
      <c r="AD2517" s="23"/>
      <c r="AE2517" s="23"/>
      <c r="AF2517" s="23"/>
      <c r="AG2517" s="23"/>
      <c r="AH2517" s="23"/>
      <c r="AI2517" s="49"/>
    </row>
    <row r="2518" spans="1:35">
      <c r="A2518" s="23"/>
      <c r="B2518" s="42"/>
      <c r="C2518" s="49"/>
      <c r="E2518" s="49"/>
      <c r="G2518" s="43"/>
      <c r="H2518" s="44"/>
      <c r="L2518" s="42"/>
      <c r="M2518" s="42"/>
      <c r="N2518" s="25"/>
      <c r="O2518" s="54"/>
      <c r="P2518"/>
      <c r="Q2518" s="25"/>
      <c r="R2518" s="54"/>
      <c r="W2518" s="23"/>
      <c r="X2518" s="23"/>
      <c r="Y2518" s="23"/>
      <c r="Z2518" s="43"/>
      <c r="AA2518" s="23"/>
      <c r="AB2518" s="23"/>
      <c r="AC2518" s="23"/>
      <c r="AD2518" s="23"/>
      <c r="AE2518" s="23"/>
      <c r="AF2518" s="23"/>
      <c r="AG2518" s="23"/>
      <c r="AH2518" s="23"/>
      <c r="AI2518" s="49"/>
    </row>
    <row r="2519" spans="1:35">
      <c r="A2519" s="23"/>
      <c r="B2519" s="42"/>
      <c r="C2519" s="49"/>
      <c r="E2519" s="49"/>
      <c r="G2519" s="43"/>
      <c r="H2519" s="44"/>
      <c r="L2519" s="42"/>
      <c r="M2519" s="42"/>
      <c r="N2519" s="25"/>
      <c r="O2519" s="54"/>
      <c r="P2519"/>
      <c r="Q2519" s="25"/>
      <c r="R2519" s="54"/>
      <c r="W2519" s="23"/>
      <c r="X2519" s="23"/>
      <c r="Y2519" s="23"/>
      <c r="Z2519" s="43"/>
      <c r="AA2519" s="23"/>
      <c r="AB2519" s="23"/>
      <c r="AC2519" s="23"/>
      <c r="AD2519" s="23"/>
      <c r="AE2519" s="23"/>
      <c r="AF2519" s="23"/>
      <c r="AG2519" s="23"/>
      <c r="AH2519" s="23"/>
      <c r="AI2519" s="49"/>
    </row>
    <row r="2520" spans="1:35">
      <c r="A2520" s="23"/>
      <c r="B2520" s="42"/>
      <c r="C2520" s="49"/>
      <c r="E2520" s="49"/>
      <c r="G2520" s="43"/>
      <c r="H2520" s="44"/>
      <c r="L2520" s="42"/>
      <c r="M2520" s="42"/>
      <c r="N2520" s="25"/>
      <c r="O2520" s="54"/>
      <c r="P2520"/>
      <c r="Q2520" s="25"/>
      <c r="R2520" s="54"/>
      <c r="W2520" s="23"/>
      <c r="X2520" s="23"/>
      <c r="Y2520" s="23"/>
      <c r="Z2520" s="43"/>
      <c r="AA2520" s="23"/>
      <c r="AB2520" s="23"/>
      <c r="AC2520" s="23"/>
      <c r="AD2520" s="23"/>
      <c r="AE2520" s="23"/>
      <c r="AF2520" s="23"/>
      <c r="AG2520" s="23"/>
      <c r="AH2520" s="23"/>
      <c r="AI2520" s="49"/>
    </row>
    <row r="2521" spans="1:35">
      <c r="A2521" s="23"/>
      <c r="B2521" s="42"/>
      <c r="C2521" s="49"/>
      <c r="E2521" s="49"/>
      <c r="G2521" s="43"/>
      <c r="H2521" s="44"/>
      <c r="L2521" s="42"/>
      <c r="M2521" s="42"/>
      <c r="N2521" s="25"/>
      <c r="O2521" s="54"/>
      <c r="P2521"/>
      <c r="Q2521" s="25"/>
      <c r="R2521" s="54"/>
      <c r="W2521" s="23"/>
      <c r="X2521" s="23"/>
      <c r="Y2521" s="23"/>
      <c r="Z2521" s="43"/>
      <c r="AA2521" s="23"/>
      <c r="AB2521" s="23"/>
      <c r="AC2521" s="23"/>
      <c r="AD2521" s="23"/>
      <c r="AE2521" s="23"/>
      <c r="AF2521" s="23"/>
      <c r="AG2521" s="23"/>
      <c r="AH2521" s="23"/>
      <c r="AI2521" s="49"/>
    </row>
    <row r="2522" spans="1:35">
      <c r="A2522" s="23"/>
      <c r="B2522" s="42"/>
      <c r="C2522" s="49"/>
      <c r="E2522" s="49"/>
      <c r="G2522" s="43"/>
      <c r="H2522" s="44"/>
      <c r="L2522" s="42"/>
      <c r="M2522" s="42"/>
      <c r="N2522" s="25"/>
      <c r="O2522" s="54"/>
      <c r="P2522"/>
      <c r="Q2522" s="25"/>
      <c r="R2522" s="54"/>
      <c r="W2522" s="23"/>
      <c r="X2522" s="23"/>
      <c r="Y2522" s="23"/>
      <c r="Z2522" s="43"/>
      <c r="AA2522" s="23"/>
      <c r="AB2522" s="23"/>
      <c r="AC2522" s="23"/>
      <c r="AD2522" s="23"/>
      <c r="AE2522" s="23"/>
      <c r="AF2522" s="23"/>
      <c r="AG2522" s="23"/>
      <c r="AH2522" s="23"/>
      <c r="AI2522" s="49"/>
    </row>
    <row r="2523" spans="1:35">
      <c r="A2523" s="23"/>
      <c r="B2523" s="42"/>
      <c r="C2523" s="49"/>
      <c r="E2523" s="49"/>
      <c r="G2523" s="43"/>
      <c r="H2523" s="44"/>
      <c r="L2523" s="42"/>
      <c r="M2523" s="42"/>
      <c r="N2523" s="25"/>
      <c r="O2523" s="54"/>
      <c r="P2523"/>
      <c r="Q2523" s="25"/>
      <c r="R2523" s="54"/>
      <c r="W2523" s="23"/>
      <c r="X2523" s="23"/>
      <c r="Y2523" s="23"/>
      <c r="Z2523" s="43"/>
      <c r="AA2523" s="23"/>
      <c r="AB2523" s="23"/>
      <c r="AC2523" s="23"/>
      <c r="AD2523" s="23"/>
      <c r="AE2523" s="23"/>
      <c r="AF2523" s="23"/>
      <c r="AG2523" s="23"/>
      <c r="AH2523" s="23"/>
      <c r="AI2523" s="49"/>
    </row>
    <row r="2524" spans="1:35">
      <c r="A2524" s="23"/>
      <c r="B2524" s="42"/>
      <c r="C2524" s="49"/>
      <c r="E2524" s="49"/>
      <c r="G2524" s="43"/>
      <c r="H2524" s="44"/>
      <c r="L2524" s="42"/>
      <c r="M2524" s="42"/>
      <c r="N2524" s="25"/>
      <c r="O2524" s="54"/>
      <c r="P2524"/>
      <c r="Q2524" s="25"/>
      <c r="R2524" s="54"/>
      <c r="W2524" s="23"/>
      <c r="X2524" s="23"/>
      <c r="Y2524" s="23"/>
      <c r="Z2524" s="43"/>
      <c r="AA2524" s="23"/>
      <c r="AB2524" s="23"/>
      <c r="AC2524" s="23"/>
      <c r="AD2524" s="23"/>
      <c r="AE2524" s="23"/>
      <c r="AF2524" s="23"/>
      <c r="AG2524" s="23"/>
      <c r="AH2524" s="23"/>
      <c r="AI2524" s="49"/>
    </row>
    <row r="2525" spans="1:35">
      <c r="A2525" s="23"/>
      <c r="B2525" s="42"/>
      <c r="C2525" s="49"/>
      <c r="E2525" s="49"/>
      <c r="G2525" s="43"/>
      <c r="H2525" s="44"/>
      <c r="L2525" s="42"/>
      <c r="M2525" s="42"/>
      <c r="N2525" s="25"/>
      <c r="O2525" s="54"/>
      <c r="P2525"/>
      <c r="Q2525" s="25"/>
      <c r="R2525" s="54"/>
      <c r="W2525" s="23"/>
      <c r="X2525" s="23"/>
      <c r="Y2525" s="23"/>
      <c r="Z2525" s="43"/>
      <c r="AA2525" s="23"/>
      <c r="AB2525" s="23"/>
      <c r="AC2525" s="23"/>
      <c r="AD2525" s="23"/>
      <c r="AE2525" s="23"/>
      <c r="AF2525" s="23"/>
      <c r="AG2525" s="23"/>
      <c r="AH2525" s="23"/>
      <c r="AI2525" s="49"/>
    </row>
    <row r="2526" spans="1:35">
      <c r="A2526" s="23"/>
      <c r="B2526" s="42"/>
      <c r="C2526" s="49"/>
      <c r="E2526" s="49"/>
      <c r="G2526" s="43"/>
      <c r="H2526" s="44"/>
      <c r="L2526" s="42"/>
      <c r="M2526" s="42"/>
      <c r="N2526" s="25"/>
      <c r="O2526" s="54"/>
      <c r="P2526"/>
      <c r="Q2526" s="25"/>
      <c r="R2526" s="54"/>
      <c r="W2526" s="23"/>
      <c r="X2526" s="23"/>
      <c r="Y2526" s="23"/>
      <c r="Z2526" s="43"/>
      <c r="AA2526" s="23"/>
      <c r="AB2526" s="23"/>
      <c r="AC2526" s="23"/>
      <c r="AD2526" s="23"/>
      <c r="AE2526" s="23"/>
      <c r="AF2526" s="23"/>
      <c r="AG2526" s="23"/>
      <c r="AH2526" s="23"/>
      <c r="AI2526" s="49"/>
    </row>
    <row r="2527" spans="1:35">
      <c r="A2527" s="23"/>
      <c r="B2527" s="42"/>
      <c r="C2527" s="49"/>
      <c r="E2527" s="49"/>
      <c r="G2527" s="43"/>
      <c r="H2527" s="44"/>
      <c r="L2527" s="42"/>
      <c r="M2527" s="42"/>
      <c r="N2527" s="25"/>
      <c r="O2527" s="54"/>
      <c r="P2527"/>
      <c r="Q2527" s="25"/>
      <c r="R2527" s="54"/>
      <c r="W2527" s="23"/>
      <c r="X2527" s="23"/>
      <c r="Y2527" s="23"/>
      <c r="Z2527" s="43"/>
      <c r="AA2527" s="23"/>
      <c r="AB2527" s="23"/>
      <c r="AC2527" s="23"/>
      <c r="AD2527" s="23"/>
      <c r="AE2527" s="23"/>
      <c r="AF2527" s="23"/>
      <c r="AG2527" s="23"/>
      <c r="AH2527" s="23"/>
      <c r="AI2527" s="49"/>
    </row>
    <row r="2528" spans="1:35">
      <c r="A2528" s="23"/>
      <c r="B2528" s="42"/>
      <c r="C2528" s="49"/>
      <c r="E2528" s="49"/>
      <c r="G2528" s="43"/>
      <c r="H2528" s="44"/>
      <c r="L2528" s="42"/>
      <c r="M2528" s="42"/>
      <c r="N2528" s="25"/>
      <c r="O2528" s="54"/>
      <c r="P2528"/>
      <c r="Q2528" s="25"/>
      <c r="R2528" s="54"/>
      <c r="W2528" s="23"/>
      <c r="X2528" s="23"/>
      <c r="Y2528" s="23"/>
      <c r="Z2528" s="43"/>
      <c r="AA2528" s="23"/>
      <c r="AB2528" s="23"/>
      <c r="AC2528" s="23"/>
      <c r="AD2528" s="23"/>
      <c r="AE2528" s="23"/>
      <c r="AF2528" s="23"/>
      <c r="AG2528" s="23"/>
      <c r="AH2528" s="23"/>
      <c r="AI2528" s="49"/>
    </row>
    <row r="2529" spans="1:35">
      <c r="A2529" s="23"/>
      <c r="B2529" s="42"/>
      <c r="C2529" s="49"/>
      <c r="E2529" s="49"/>
      <c r="G2529" s="43"/>
      <c r="H2529" s="44"/>
      <c r="L2529" s="42"/>
      <c r="M2529" s="42"/>
      <c r="N2529" s="25"/>
      <c r="O2529" s="54"/>
      <c r="P2529"/>
      <c r="Q2529" s="25"/>
      <c r="R2529" s="54"/>
      <c r="W2529" s="23"/>
      <c r="X2529" s="23"/>
      <c r="Y2529" s="23"/>
      <c r="Z2529" s="43"/>
      <c r="AA2529" s="23"/>
      <c r="AB2529" s="23"/>
      <c r="AC2529" s="23"/>
      <c r="AD2529" s="23"/>
      <c r="AE2529" s="23"/>
      <c r="AF2529" s="23"/>
      <c r="AG2529" s="23"/>
      <c r="AH2529" s="23"/>
      <c r="AI2529" s="49"/>
    </row>
    <row r="2530" spans="1:35">
      <c r="A2530" s="23"/>
      <c r="B2530" s="42"/>
      <c r="C2530" s="49"/>
      <c r="E2530" s="49"/>
      <c r="G2530" s="43"/>
      <c r="H2530" s="44"/>
      <c r="L2530" s="42"/>
      <c r="M2530" s="42"/>
      <c r="N2530" s="25"/>
      <c r="O2530" s="54"/>
      <c r="P2530"/>
      <c r="Q2530" s="25"/>
      <c r="R2530" s="54"/>
      <c r="W2530" s="23"/>
      <c r="X2530" s="23"/>
      <c r="Y2530" s="23"/>
      <c r="Z2530" s="43"/>
      <c r="AA2530" s="23"/>
      <c r="AB2530" s="23"/>
      <c r="AC2530" s="23"/>
      <c r="AD2530" s="23"/>
      <c r="AE2530" s="23"/>
      <c r="AF2530" s="23"/>
      <c r="AG2530" s="23"/>
      <c r="AH2530" s="23"/>
      <c r="AI2530" s="49"/>
    </row>
    <row r="2531" spans="1:35">
      <c r="A2531" s="23"/>
      <c r="B2531" s="42"/>
      <c r="C2531" s="49"/>
      <c r="E2531" s="49"/>
      <c r="G2531" s="43"/>
      <c r="H2531" s="44"/>
      <c r="L2531" s="42"/>
      <c r="M2531" s="42"/>
      <c r="N2531" s="25"/>
      <c r="O2531" s="54"/>
      <c r="P2531"/>
      <c r="Q2531" s="25"/>
      <c r="R2531" s="54"/>
      <c r="W2531" s="23"/>
      <c r="X2531" s="23"/>
      <c r="Y2531" s="23"/>
      <c r="Z2531" s="43"/>
      <c r="AA2531" s="23"/>
      <c r="AB2531" s="23"/>
      <c r="AC2531" s="23"/>
      <c r="AD2531" s="23"/>
      <c r="AE2531" s="23"/>
      <c r="AF2531" s="23"/>
      <c r="AG2531" s="23"/>
      <c r="AH2531" s="23"/>
      <c r="AI2531" s="49"/>
    </row>
    <row r="2532" spans="1:35">
      <c r="A2532" s="23"/>
      <c r="B2532" s="42"/>
      <c r="C2532" s="49"/>
      <c r="E2532" s="49"/>
      <c r="G2532" s="43"/>
      <c r="H2532" s="44"/>
      <c r="L2532" s="42"/>
      <c r="M2532" s="42"/>
      <c r="N2532" s="25"/>
      <c r="O2532" s="54"/>
      <c r="P2532"/>
      <c r="Q2532" s="25"/>
      <c r="R2532" s="54"/>
      <c r="W2532" s="23"/>
      <c r="X2532" s="23"/>
      <c r="Y2532" s="23"/>
      <c r="Z2532" s="43"/>
      <c r="AA2532" s="23"/>
      <c r="AB2532" s="23"/>
      <c r="AC2532" s="23"/>
      <c r="AD2532" s="23"/>
      <c r="AE2532" s="23"/>
      <c r="AF2532" s="23"/>
      <c r="AG2532" s="23"/>
      <c r="AH2532" s="23"/>
      <c r="AI2532" s="49"/>
    </row>
    <row r="2533" spans="1:35">
      <c r="A2533" s="23"/>
      <c r="B2533" s="42"/>
      <c r="C2533" s="49"/>
      <c r="E2533" s="49"/>
      <c r="G2533" s="43"/>
      <c r="H2533" s="44"/>
      <c r="L2533" s="42"/>
      <c r="M2533" s="42"/>
      <c r="N2533" s="25"/>
      <c r="O2533" s="54"/>
      <c r="P2533"/>
      <c r="Q2533" s="25"/>
      <c r="R2533" s="54"/>
      <c r="W2533" s="23"/>
      <c r="X2533" s="23"/>
      <c r="Y2533" s="23"/>
      <c r="Z2533" s="43"/>
      <c r="AA2533" s="23"/>
      <c r="AB2533" s="23"/>
      <c r="AC2533" s="23"/>
      <c r="AD2533" s="23"/>
      <c r="AE2533" s="23"/>
      <c r="AF2533" s="23"/>
      <c r="AG2533" s="23"/>
      <c r="AH2533" s="23"/>
      <c r="AI2533" s="49"/>
    </row>
    <row r="2534" spans="1:35">
      <c r="A2534" s="23"/>
      <c r="B2534" s="42"/>
      <c r="C2534" s="49"/>
      <c r="E2534" s="49"/>
      <c r="G2534" s="43"/>
      <c r="H2534" s="44"/>
      <c r="L2534" s="42"/>
      <c r="M2534" s="42"/>
      <c r="N2534" s="25"/>
      <c r="O2534" s="54"/>
      <c r="P2534"/>
      <c r="Q2534" s="25"/>
      <c r="R2534" s="54"/>
      <c r="W2534" s="23"/>
      <c r="X2534" s="23"/>
      <c r="Y2534" s="23"/>
      <c r="Z2534" s="43"/>
      <c r="AA2534" s="23"/>
      <c r="AB2534" s="23"/>
      <c r="AC2534" s="23"/>
      <c r="AD2534" s="23"/>
      <c r="AE2534" s="23"/>
      <c r="AF2534" s="23"/>
      <c r="AG2534" s="23"/>
      <c r="AH2534" s="23"/>
      <c r="AI2534" s="49"/>
    </row>
    <row r="2535" spans="1:35">
      <c r="A2535" s="23"/>
      <c r="B2535" s="42"/>
      <c r="C2535" s="49"/>
      <c r="E2535" s="49"/>
      <c r="G2535" s="43"/>
      <c r="H2535" s="44"/>
      <c r="L2535" s="42"/>
      <c r="M2535" s="42"/>
      <c r="N2535" s="25"/>
      <c r="O2535" s="54"/>
      <c r="P2535"/>
      <c r="Q2535" s="25"/>
      <c r="R2535" s="54"/>
      <c r="W2535" s="23"/>
      <c r="X2535" s="23"/>
      <c r="Y2535" s="23"/>
      <c r="Z2535" s="43"/>
      <c r="AA2535" s="23"/>
      <c r="AB2535" s="23"/>
      <c r="AC2535" s="23"/>
      <c r="AD2535" s="23"/>
      <c r="AE2535" s="23"/>
      <c r="AF2535" s="23"/>
      <c r="AG2535" s="23"/>
      <c r="AH2535" s="23"/>
      <c r="AI2535" s="49"/>
    </row>
    <row r="2536" spans="1:35">
      <c r="A2536" s="23"/>
      <c r="B2536" s="42"/>
      <c r="C2536" s="49"/>
      <c r="E2536" s="49"/>
      <c r="G2536" s="43"/>
      <c r="H2536" s="44"/>
      <c r="L2536" s="42"/>
      <c r="M2536" s="42"/>
      <c r="N2536" s="25"/>
      <c r="O2536" s="54"/>
      <c r="P2536"/>
      <c r="Q2536" s="25"/>
      <c r="R2536" s="54"/>
      <c r="W2536" s="23"/>
      <c r="X2536" s="23"/>
      <c r="Y2536" s="23"/>
      <c r="Z2536" s="43"/>
      <c r="AA2536" s="23"/>
      <c r="AB2536" s="23"/>
      <c r="AC2536" s="23"/>
      <c r="AD2536" s="23"/>
      <c r="AE2536" s="23"/>
      <c r="AF2536" s="23"/>
      <c r="AG2536" s="23"/>
      <c r="AH2536" s="23"/>
      <c r="AI2536" s="49"/>
    </row>
    <row r="2537" spans="1:35">
      <c r="A2537" s="23"/>
      <c r="B2537" s="42"/>
      <c r="C2537" s="49"/>
      <c r="E2537" s="49"/>
      <c r="G2537" s="43"/>
      <c r="H2537" s="44"/>
      <c r="L2537" s="42"/>
      <c r="M2537" s="42"/>
      <c r="N2537" s="25"/>
      <c r="O2537" s="54"/>
      <c r="P2537"/>
      <c r="Q2537" s="25"/>
      <c r="R2537" s="54"/>
      <c r="W2537" s="23"/>
      <c r="X2537" s="23"/>
      <c r="Y2537" s="23"/>
      <c r="Z2537" s="43"/>
      <c r="AA2537" s="23"/>
      <c r="AB2537" s="23"/>
      <c r="AC2537" s="23"/>
      <c r="AD2537" s="23"/>
      <c r="AE2537" s="23"/>
      <c r="AF2537" s="23"/>
      <c r="AG2537" s="23"/>
      <c r="AH2537" s="23"/>
      <c r="AI2537" s="49"/>
    </row>
    <row r="2538" spans="1:35">
      <c r="A2538" s="23"/>
      <c r="B2538" s="42"/>
      <c r="C2538" s="49"/>
      <c r="E2538" s="49"/>
      <c r="G2538" s="43"/>
      <c r="H2538" s="44"/>
      <c r="L2538" s="42"/>
      <c r="M2538" s="42"/>
      <c r="N2538" s="25"/>
      <c r="O2538" s="54"/>
      <c r="P2538"/>
      <c r="Q2538" s="25"/>
      <c r="R2538" s="54"/>
      <c r="W2538" s="23"/>
      <c r="X2538" s="23"/>
      <c r="Y2538" s="23"/>
      <c r="Z2538" s="43"/>
      <c r="AA2538" s="23"/>
      <c r="AB2538" s="23"/>
      <c r="AC2538" s="23"/>
      <c r="AD2538" s="23"/>
      <c r="AE2538" s="23"/>
      <c r="AF2538" s="23"/>
      <c r="AG2538" s="23"/>
      <c r="AH2538" s="23"/>
      <c r="AI2538" s="49"/>
    </row>
    <row r="2539" spans="1:35">
      <c r="A2539" s="23"/>
      <c r="B2539" s="42"/>
      <c r="C2539" s="49"/>
      <c r="E2539" s="49"/>
      <c r="G2539" s="43"/>
      <c r="H2539" s="44"/>
      <c r="L2539" s="42"/>
      <c r="M2539" s="42"/>
      <c r="N2539" s="25"/>
      <c r="O2539" s="54"/>
      <c r="P2539"/>
      <c r="Q2539" s="25"/>
      <c r="R2539" s="54"/>
      <c r="W2539" s="23"/>
      <c r="X2539" s="23"/>
      <c r="Y2539" s="23"/>
      <c r="Z2539" s="43"/>
      <c r="AA2539" s="23"/>
      <c r="AB2539" s="23"/>
      <c r="AC2539" s="23"/>
      <c r="AD2539" s="23"/>
      <c r="AE2539" s="23"/>
      <c r="AF2539" s="23"/>
      <c r="AG2539" s="23"/>
      <c r="AH2539" s="23"/>
      <c r="AI2539" s="49"/>
    </row>
    <row r="2540" spans="1:35">
      <c r="A2540" s="23"/>
      <c r="B2540" s="42"/>
      <c r="C2540" s="49"/>
      <c r="E2540" s="49"/>
      <c r="G2540" s="43"/>
      <c r="H2540" s="44"/>
      <c r="L2540" s="42"/>
      <c r="M2540" s="42"/>
      <c r="N2540" s="25"/>
      <c r="O2540" s="54"/>
      <c r="P2540"/>
      <c r="Q2540" s="25"/>
      <c r="R2540" s="54"/>
      <c r="W2540" s="23"/>
      <c r="X2540" s="23"/>
      <c r="Y2540" s="23"/>
      <c r="Z2540" s="43"/>
      <c r="AA2540" s="23"/>
      <c r="AB2540" s="23"/>
      <c r="AC2540" s="23"/>
      <c r="AD2540" s="23"/>
      <c r="AE2540" s="23"/>
      <c r="AF2540" s="23"/>
      <c r="AG2540" s="23"/>
      <c r="AH2540" s="23"/>
      <c r="AI2540" s="49"/>
    </row>
    <row r="2541" spans="1:35">
      <c r="A2541" s="23"/>
      <c r="B2541" s="42"/>
      <c r="C2541" s="49"/>
      <c r="E2541" s="49"/>
      <c r="G2541" s="43"/>
      <c r="H2541" s="44"/>
      <c r="L2541" s="42"/>
      <c r="M2541" s="42"/>
      <c r="N2541" s="25"/>
      <c r="O2541" s="54"/>
      <c r="P2541"/>
      <c r="Q2541" s="25"/>
      <c r="R2541" s="54"/>
      <c r="W2541" s="23"/>
      <c r="X2541" s="23"/>
      <c r="Y2541" s="23"/>
      <c r="Z2541" s="43"/>
      <c r="AA2541" s="23"/>
      <c r="AB2541" s="23"/>
      <c r="AC2541" s="23"/>
      <c r="AD2541" s="23"/>
      <c r="AE2541" s="23"/>
      <c r="AF2541" s="23"/>
      <c r="AG2541" s="23"/>
      <c r="AH2541" s="23"/>
      <c r="AI2541" s="49"/>
    </row>
    <row r="2542" spans="1:35">
      <c r="A2542" s="23"/>
      <c r="B2542" s="42"/>
      <c r="C2542" s="49"/>
      <c r="E2542" s="49"/>
      <c r="G2542" s="43"/>
      <c r="H2542" s="44"/>
      <c r="L2542" s="42"/>
      <c r="M2542" s="42"/>
      <c r="N2542" s="25"/>
      <c r="O2542" s="54"/>
      <c r="P2542"/>
      <c r="Q2542" s="25"/>
      <c r="R2542" s="54"/>
      <c r="W2542" s="23"/>
      <c r="X2542" s="23"/>
      <c r="Y2542" s="23"/>
      <c r="Z2542" s="43"/>
      <c r="AA2542" s="23"/>
      <c r="AB2542" s="23"/>
      <c r="AC2542" s="23"/>
      <c r="AD2542" s="23"/>
      <c r="AE2542" s="23"/>
      <c r="AF2542" s="23"/>
      <c r="AG2542" s="23"/>
      <c r="AH2542" s="23"/>
      <c r="AI2542" s="49"/>
    </row>
    <row r="2543" spans="1:35">
      <c r="A2543" s="23"/>
      <c r="B2543" s="42"/>
      <c r="C2543" s="49"/>
      <c r="E2543" s="49"/>
      <c r="G2543" s="43"/>
      <c r="H2543" s="44"/>
      <c r="L2543" s="42"/>
      <c r="M2543" s="42"/>
      <c r="N2543" s="25"/>
      <c r="O2543" s="54"/>
      <c r="P2543"/>
      <c r="Q2543" s="25"/>
      <c r="R2543" s="54"/>
      <c r="W2543" s="23"/>
      <c r="X2543" s="23"/>
      <c r="Y2543" s="23"/>
      <c r="Z2543" s="43"/>
      <c r="AA2543" s="23"/>
      <c r="AB2543" s="23"/>
      <c r="AC2543" s="23"/>
      <c r="AD2543" s="23"/>
      <c r="AE2543" s="23"/>
      <c r="AF2543" s="23"/>
      <c r="AG2543" s="23"/>
      <c r="AH2543" s="23"/>
      <c r="AI2543" s="49"/>
    </row>
    <row r="2544" spans="1:35">
      <c r="A2544" s="23"/>
      <c r="B2544" s="42"/>
      <c r="C2544" s="49"/>
      <c r="E2544" s="49"/>
      <c r="G2544" s="43"/>
      <c r="H2544" s="44"/>
      <c r="L2544" s="42"/>
      <c r="M2544" s="42"/>
      <c r="N2544" s="25"/>
      <c r="O2544" s="54"/>
      <c r="P2544"/>
      <c r="Q2544" s="25"/>
      <c r="R2544" s="54"/>
      <c r="W2544" s="23"/>
      <c r="X2544" s="23"/>
      <c r="Y2544" s="23"/>
      <c r="Z2544" s="43"/>
      <c r="AA2544" s="23"/>
      <c r="AB2544" s="23"/>
      <c r="AC2544" s="23"/>
      <c r="AD2544" s="23"/>
      <c r="AE2544" s="23"/>
      <c r="AF2544" s="23"/>
      <c r="AG2544" s="23"/>
      <c r="AH2544" s="23"/>
      <c r="AI2544" s="49"/>
    </row>
    <row r="2545" spans="1:35">
      <c r="A2545" s="23"/>
      <c r="B2545" s="42"/>
      <c r="C2545" s="49"/>
      <c r="E2545" s="49"/>
      <c r="G2545" s="43"/>
      <c r="H2545" s="44"/>
      <c r="L2545" s="42"/>
      <c r="M2545" s="42"/>
      <c r="N2545" s="25"/>
      <c r="O2545" s="54"/>
      <c r="P2545"/>
      <c r="Q2545" s="25"/>
      <c r="R2545" s="54"/>
      <c r="W2545" s="23"/>
      <c r="X2545" s="23"/>
      <c r="Y2545" s="23"/>
      <c r="Z2545" s="43"/>
      <c r="AA2545" s="23"/>
      <c r="AB2545" s="23"/>
      <c r="AC2545" s="23"/>
      <c r="AD2545" s="23"/>
      <c r="AE2545" s="23"/>
      <c r="AF2545" s="23"/>
      <c r="AG2545" s="23"/>
      <c r="AH2545" s="23"/>
      <c r="AI2545" s="49"/>
    </row>
    <row r="2546" spans="1:35">
      <c r="A2546" s="23"/>
      <c r="B2546" s="42"/>
      <c r="C2546" s="49"/>
      <c r="E2546" s="49"/>
      <c r="G2546" s="43"/>
      <c r="H2546" s="44"/>
      <c r="L2546" s="42"/>
      <c r="M2546" s="42"/>
      <c r="N2546" s="25"/>
      <c r="O2546" s="54"/>
      <c r="P2546"/>
      <c r="Q2546" s="25"/>
      <c r="R2546" s="54"/>
      <c r="W2546" s="23"/>
      <c r="X2546" s="23"/>
      <c r="Y2546" s="23"/>
      <c r="Z2546" s="43"/>
      <c r="AA2546" s="23"/>
      <c r="AB2546" s="23"/>
      <c r="AC2546" s="23"/>
      <c r="AD2546" s="23"/>
      <c r="AE2546" s="23"/>
      <c r="AF2546" s="23"/>
      <c r="AG2546" s="23"/>
      <c r="AH2546" s="23"/>
      <c r="AI2546" s="49"/>
    </row>
    <row r="2547" spans="1:35">
      <c r="A2547" s="23"/>
      <c r="B2547" s="42"/>
      <c r="C2547" s="49"/>
      <c r="E2547" s="49"/>
      <c r="G2547" s="43"/>
      <c r="H2547" s="44"/>
      <c r="L2547" s="42"/>
      <c r="M2547" s="42"/>
      <c r="N2547" s="25"/>
      <c r="O2547" s="54"/>
      <c r="P2547"/>
      <c r="Q2547" s="25"/>
      <c r="R2547" s="54"/>
      <c r="W2547" s="23"/>
      <c r="X2547" s="23"/>
      <c r="Y2547" s="23"/>
      <c r="Z2547" s="43"/>
      <c r="AA2547" s="23"/>
      <c r="AB2547" s="23"/>
      <c r="AC2547" s="23"/>
      <c r="AD2547" s="23"/>
      <c r="AE2547" s="23"/>
      <c r="AF2547" s="23"/>
      <c r="AG2547" s="23"/>
      <c r="AH2547" s="23"/>
      <c r="AI2547" s="49"/>
    </row>
    <row r="2548" spans="1:35">
      <c r="A2548" s="23"/>
      <c r="B2548" s="42"/>
      <c r="C2548" s="49"/>
      <c r="E2548" s="49"/>
      <c r="G2548" s="43"/>
      <c r="H2548" s="44"/>
      <c r="L2548" s="42"/>
      <c r="M2548" s="42"/>
      <c r="N2548" s="25"/>
      <c r="O2548" s="54"/>
      <c r="P2548"/>
      <c r="Q2548" s="25"/>
      <c r="R2548" s="54"/>
      <c r="W2548" s="23"/>
      <c r="X2548" s="23"/>
      <c r="Y2548" s="23"/>
      <c r="Z2548" s="43"/>
      <c r="AA2548" s="23"/>
      <c r="AB2548" s="23"/>
      <c r="AC2548" s="23"/>
      <c r="AD2548" s="23"/>
      <c r="AE2548" s="23"/>
      <c r="AF2548" s="23"/>
      <c r="AG2548" s="23"/>
      <c r="AH2548" s="23"/>
      <c r="AI2548" s="49"/>
    </row>
    <row r="2549" spans="1:35">
      <c r="A2549" s="23"/>
      <c r="B2549" s="42"/>
      <c r="C2549" s="49"/>
      <c r="E2549" s="49"/>
      <c r="G2549" s="43"/>
      <c r="H2549" s="44"/>
      <c r="L2549" s="42"/>
      <c r="M2549" s="42"/>
      <c r="N2549" s="25"/>
      <c r="O2549" s="54"/>
      <c r="P2549"/>
      <c r="Q2549" s="25"/>
      <c r="R2549" s="54"/>
      <c r="W2549" s="23"/>
      <c r="X2549" s="23"/>
      <c r="Y2549" s="23"/>
      <c r="Z2549" s="43"/>
      <c r="AA2549" s="23"/>
      <c r="AB2549" s="23"/>
      <c r="AC2549" s="23"/>
      <c r="AD2549" s="23"/>
      <c r="AE2549" s="23"/>
      <c r="AF2549" s="23"/>
      <c r="AG2549" s="23"/>
      <c r="AH2549" s="23"/>
      <c r="AI2549" s="49"/>
    </row>
    <row r="2550" spans="1:35">
      <c r="A2550" s="23"/>
      <c r="B2550" s="42"/>
      <c r="C2550" s="49"/>
      <c r="E2550" s="49"/>
      <c r="G2550" s="43"/>
      <c r="H2550" s="44"/>
      <c r="L2550" s="42"/>
      <c r="M2550" s="42"/>
      <c r="N2550" s="25"/>
      <c r="O2550" s="54"/>
      <c r="P2550"/>
      <c r="Q2550" s="25"/>
      <c r="R2550" s="54"/>
      <c r="W2550" s="23"/>
      <c r="X2550" s="23"/>
      <c r="Y2550" s="23"/>
      <c r="Z2550" s="43"/>
      <c r="AA2550" s="23"/>
      <c r="AB2550" s="23"/>
      <c r="AC2550" s="23"/>
      <c r="AD2550" s="23"/>
      <c r="AE2550" s="23"/>
      <c r="AF2550" s="23"/>
      <c r="AG2550" s="23"/>
      <c r="AH2550" s="23"/>
      <c r="AI2550" s="49"/>
    </row>
    <row r="2551" spans="1:35">
      <c r="A2551" s="23"/>
      <c r="B2551" s="42"/>
      <c r="C2551" s="49"/>
      <c r="E2551" s="49"/>
      <c r="G2551" s="43"/>
      <c r="H2551" s="44"/>
      <c r="L2551" s="42"/>
      <c r="M2551" s="42"/>
      <c r="N2551" s="25"/>
      <c r="O2551" s="54"/>
      <c r="P2551"/>
      <c r="Q2551" s="25"/>
      <c r="R2551" s="54"/>
      <c r="W2551" s="23"/>
      <c r="X2551" s="23"/>
      <c r="Y2551" s="23"/>
      <c r="Z2551" s="43"/>
      <c r="AA2551" s="23"/>
      <c r="AB2551" s="23"/>
      <c r="AC2551" s="23"/>
      <c r="AD2551" s="23"/>
      <c r="AE2551" s="23"/>
      <c r="AF2551" s="23"/>
      <c r="AG2551" s="23"/>
      <c r="AH2551" s="23"/>
      <c r="AI2551" s="49"/>
    </row>
    <row r="2552" spans="1:35">
      <c r="A2552" s="23"/>
      <c r="B2552" s="42"/>
      <c r="C2552" s="49"/>
      <c r="E2552" s="49"/>
      <c r="G2552" s="43"/>
      <c r="H2552" s="44"/>
      <c r="L2552" s="42"/>
      <c r="M2552" s="42"/>
      <c r="N2552" s="25"/>
      <c r="O2552" s="54"/>
      <c r="P2552"/>
      <c r="Q2552" s="25"/>
      <c r="R2552" s="54"/>
      <c r="W2552" s="23"/>
      <c r="X2552" s="23"/>
      <c r="Y2552" s="23"/>
      <c r="Z2552" s="43"/>
      <c r="AA2552" s="23"/>
      <c r="AB2552" s="23"/>
      <c r="AC2552" s="23"/>
      <c r="AD2552" s="23"/>
      <c r="AE2552" s="23"/>
      <c r="AF2552" s="23"/>
      <c r="AG2552" s="23"/>
      <c r="AH2552" s="23"/>
      <c r="AI2552" s="49"/>
    </row>
    <row r="2553" spans="1:35">
      <c r="A2553" s="23"/>
      <c r="B2553" s="42"/>
      <c r="C2553" s="49"/>
      <c r="E2553" s="49"/>
      <c r="G2553" s="43"/>
      <c r="H2553" s="44"/>
      <c r="L2553" s="42"/>
      <c r="M2553" s="42"/>
      <c r="N2553" s="25"/>
      <c r="O2553" s="54"/>
      <c r="P2553"/>
      <c r="Q2553" s="25"/>
      <c r="R2553" s="54"/>
      <c r="W2553" s="23"/>
      <c r="X2553" s="23"/>
      <c r="Y2553" s="23"/>
      <c r="Z2553" s="43"/>
      <c r="AA2553" s="23"/>
      <c r="AB2553" s="23"/>
      <c r="AC2553" s="23"/>
      <c r="AD2553" s="23"/>
      <c r="AE2553" s="23"/>
      <c r="AF2553" s="23"/>
      <c r="AG2553" s="23"/>
      <c r="AH2553" s="23"/>
      <c r="AI2553" s="49"/>
    </row>
    <row r="2554" spans="1:35">
      <c r="A2554" s="23"/>
      <c r="B2554" s="42"/>
      <c r="C2554" s="49"/>
      <c r="E2554" s="49"/>
      <c r="G2554" s="43"/>
      <c r="H2554" s="44"/>
      <c r="L2554" s="42"/>
      <c r="M2554" s="42"/>
      <c r="N2554" s="25"/>
      <c r="O2554" s="54"/>
      <c r="P2554"/>
      <c r="Q2554" s="25"/>
      <c r="R2554" s="54"/>
      <c r="W2554" s="23"/>
      <c r="X2554" s="23"/>
      <c r="Y2554" s="23"/>
      <c r="Z2554" s="43"/>
      <c r="AA2554" s="23"/>
      <c r="AB2554" s="23"/>
      <c r="AC2554" s="23"/>
      <c r="AD2554" s="23"/>
      <c r="AE2554" s="23"/>
      <c r="AF2554" s="23"/>
      <c r="AG2554" s="23"/>
      <c r="AH2554" s="23"/>
      <c r="AI2554" s="49"/>
    </row>
    <row r="2555" spans="1:35">
      <c r="A2555" s="23"/>
      <c r="B2555" s="42"/>
      <c r="C2555" s="49"/>
      <c r="E2555" s="49"/>
      <c r="G2555" s="43"/>
      <c r="H2555" s="44"/>
      <c r="L2555" s="42"/>
      <c r="M2555" s="42"/>
      <c r="N2555" s="25"/>
      <c r="O2555" s="54"/>
      <c r="P2555"/>
      <c r="Q2555" s="25"/>
      <c r="R2555" s="54"/>
      <c r="W2555" s="23"/>
      <c r="X2555" s="23"/>
      <c r="Y2555" s="23"/>
      <c r="Z2555" s="43"/>
      <c r="AA2555" s="23"/>
      <c r="AB2555" s="23"/>
      <c r="AC2555" s="23"/>
      <c r="AD2555" s="23"/>
      <c r="AE2555" s="23"/>
      <c r="AF2555" s="23"/>
      <c r="AG2555" s="23"/>
      <c r="AH2555" s="23"/>
      <c r="AI2555" s="49"/>
    </row>
    <row r="2556" spans="1:35">
      <c r="A2556" s="23"/>
      <c r="B2556" s="42"/>
      <c r="C2556" s="49"/>
      <c r="E2556" s="49"/>
      <c r="G2556" s="43"/>
      <c r="H2556" s="44"/>
      <c r="L2556" s="42"/>
      <c r="M2556" s="42"/>
      <c r="N2556" s="25"/>
      <c r="O2556" s="54"/>
      <c r="P2556"/>
      <c r="Q2556" s="25"/>
      <c r="R2556" s="54"/>
      <c r="W2556" s="23"/>
      <c r="X2556" s="23"/>
      <c r="Y2556" s="23"/>
      <c r="Z2556" s="43"/>
      <c r="AA2556" s="23"/>
      <c r="AB2556" s="23"/>
      <c r="AC2556" s="23"/>
      <c r="AD2556" s="23"/>
      <c r="AE2556" s="23"/>
      <c r="AF2556" s="23"/>
      <c r="AG2556" s="23"/>
      <c r="AH2556" s="23"/>
      <c r="AI2556" s="49"/>
    </row>
    <row r="2557" spans="1:35">
      <c r="A2557" s="23"/>
      <c r="B2557" s="42"/>
      <c r="C2557" s="49"/>
      <c r="E2557" s="49"/>
      <c r="G2557" s="43"/>
      <c r="H2557" s="44"/>
      <c r="L2557" s="42"/>
      <c r="M2557" s="42"/>
      <c r="N2557" s="25"/>
      <c r="O2557" s="54"/>
      <c r="P2557"/>
      <c r="Q2557" s="25"/>
      <c r="R2557" s="54"/>
      <c r="W2557" s="23"/>
      <c r="X2557" s="23"/>
      <c r="Y2557" s="23"/>
      <c r="Z2557" s="43"/>
      <c r="AA2557" s="23"/>
      <c r="AB2557" s="23"/>
      <c r="AC2557" s="23"/>
      <c r="AD2557" s="23"/>
      <c r="AE2557" s="23"/>
      <c r="AF2557" s="23"/>
      <c r="AG2557" s="23"/>
      <c r="AH2557" s="23"/>
      <c r="AI2557" s="49"/>
    </row>
    <row r="2558" spans="1:35">
      <c r="A2558" s="23"/>
      <c r="B2558" s="42"/>
      <c r="C2558" s="49"/>
      <c r="E2558" s="49"/>
      <c r="G2558" s="43"/>
      <c r="H2558" s="44"/>
      <c r="L2558" s="42"/>
      <c r="M2558" s="42"/>
      <c r="N2558" s="25"/>
      <c r="O2558" s="54"/>
      <c r="P2558"/>
      <c r="Q2558" s="25"/>
      <c r="R2558" s="54"/>
      <c r="W2558" s="23"/>
      <c r="X2558" s="23"/>
      <c r="Y2558" s="23"/>
      <c r="Z2558" s="43"/>
      <c r="AA2558" s="23"/>
      <c r="AB2558" s="23"/>
      <c r="AC2558" s="23"/>
      <c r="AD2558" s="23"/>
      <c r="AE2558" s="23"/>
      <c r="AF2558" s="23"/>
      <c r="AG2558" s="23"/>
      <c r="AH2558" s="23"/>
      <c r="AI2558" s="49"/>
    </row>
    <row r="2559" spans="1:35">
      <c r="A2559" s="23"/>
      <c r="B2559" s="42"/>
      <c r="C2559" s="49"/>
      <c r="E2559" s="49"/>
      <c r="G2559" s="43"/>
      <c r="H2559" s="44"/>
      <c r="L2559" s="42"/>
      <c r="M2559" s="42"/>
      <c r="N2559" s="25"/>
      <c r="O2559" s="54"/>
      <c r="P2559"/>
      <c r="Q2559" s="25"/>
      <c r="R2559" s="54"/>
      <c r="W2559" s="23"/>
      <c r="X2559" s="23"/>
      <c r="Y2559" s="23"/>
      <c r="Z2559" s="43"/>
      <c r="AA2559" s="23"/>
      <c r="AB2559" s="23"/>
      <c r="AC2559" s="23"/>
      <c r="AD2559" s="23"/>
      <c r="AE2559" s="23"/>
      <c r="AF2559" s="23"/>
      <c r="AG2559" s="23"/>
      <c r="AH2559" s="23"/>
      <c r="AI2559" s="49"/>
    </row>
    <row r="2560" spans="1:35">
      <c r="A2560" s="23"/>
      <c r="B2560" s="42"/>
      <c r="C2560" s="49"/>
      <c r="E2560" s="49"/>
      <c r="G2560" s="43"/>
      <c r="H2560" s="44"/>
      <c r="L2560" s="42"/>
      <c r="M2560" s="42"/>
      <c r="N2560" s="25"/>
      <c r="O2560" s="54"/>
      <c r="P2560"/>
      <c r="Q2560" s="25"/>
      <c r="R2560" s="54"/>
      <c r="W2560" s="23"/>
      <c r="X2560" s="23"/>
      <c r="Y2560" s="23"/>
      <c r="Z2560" s="43"/>
      <c r="AA2560" s="23"/>
      <c r="AB2560" s="23"/>
      <c r="AC2560" s="23"/>
      <c r="AD2560" s="23"/>
      <c r="AE2560" s="23"/>
      <c r="AF2560" s="23"/>
      <c r="AG2560" s="23"/>
      <c r="AH2560" s="23"/>
      <c r="AI2560" s="49"/>
    </row>
    <row r="2561" spans="1:35">
      <c r="A2561" s="23"/>
      <c r="B2561" s="42"/>
      <c r="C2561" s="49"/>
      <c r="E2561" s="49"/>
      <c r="G2561" s="43"/>
      <c r="H2561" s="44"/>
      <c r="L2561" s="42"/>
      <c r="M2561" s="42"/>
      <c r="N2561" s="25"/>
      <c r="O2561" s="54"/>
      <c r="P2561"/>
      <c r="Q2561" s="25"/>
      <c r="R2561" s="54"/>
      <c r="W2561" s="23"/>
      <c r="X2561" s="23"/>
      <c r="Y2561" s="23"/>
      <c r="Z2561" s="43"/>
      <c r="AA2561" s="23"/>
      <c r="AB2561" s="23"/>
      <c r="AC2561" s="23"/>
      <c r="AD2561" s="23"/>
      <c r="AE2561" s="23"/>
      <c r="AF2561" s="23"/>
      <c r="AG2561" s="23"/>
      <c r="AH2561" s="23"/>
      <c r="AI2561" s="49"/>
    </row>
    <row r="2562" spans="1:35">
      <c r="A2562" s="23"/>
      <c r="B2562" s="42"/>
      <c r="C2562" s="49"/>
      <c r="E2562" s="49"/>
      <c r="G2562" s="43"/>
      <c r="H2562" s="44"/>
      <c r="L2562" s="42"/>
      <c r="M2562" s="42"/>
      <c r="N2562" s="25"/>
      <c r="O2562" s="54"/>
      <c r="P2562"/>
      <c r="Q2562" s="25"/>
      <c r="R2562" s="54"/>
      <c r="W2562" s="23"/>
      <c r="X2562" s="23"/>
      <c r="Y2562" s="23"/>
      <c r="Z2562" s="43"/>
      <c r="AA2562" s="23"/>
      <c r="AB2562" s="23"/>
      <c r="AC2562" s="23"/>
      <c r="AD2562" s="23"/>
      <c r="AE2562" s="23"/>
      <c r="AF2562" s="23"/>
      <c r="AG2562" s="23"/>
      <c r="AH2562" s="23"/>
      <c r="AI2562" s="49"/>
    </row>
    <row r="2563" spans="1:35">
      <c r="A2563" s="23"/>
      <c r="B2563" s="42"/>
      <c r="C2563" s="49"/>
      <c r="E2563" s="49"/>
      <c r="G2563" s="43"/>
      <c r="H2563" s="44"/>
      <c r="L2563" s="42"/>
      <c r="M2563" s="42"/>
      <c r="N2563" s="25"/>
      <c r="O2563" s="54"/>
      <c r="P2563"/>
      <c r="Q2563" s="25"/>
      <c r="R2563" s="54"/>
      <c r="W2563" s="23"/>
      <c r="X2563" s="23"/>
      <c r="Y2563" s="23"/>
      <c r="Z2563" s="43"/>
      <c r="AA2563" s="23"/>
      <c r="AB2563" s="23"/>
      <c r="AC2563" s="23"/>
      <c r="AD2563" s="23"/>
      <c r="AE2563" s="23"/>
      <c r="AF2563" s="23"/>
      <c r="AG2563" s="23"/>
      <c r="AH2563" s="23"/>
      <c r="AI2563" s="49"/>
    </row>
    <row r="2564" spans="1:35">
      <c r="A2564" s="23"/>
      <c r="B2564" s="42"/>
      <c r="C2564" s="49"/>
      <c r="E2564" s="49"/>
      <c r="G2564" s="43"/>
      <c r="H2564" s="44"/>
      <c r="L2564" s="42"/>
      <c r="M2564" s="42"/>
      <c r="N2564" s="25"/>
      <c r="O2564" s="54"/>
      <c r="P2564"/>
      <c r="Q2564" s="25"/>
      <c r="R2564" s="54"/>
      <c r="W2564" s="23"/>
      <c r="X2564" s="23"/>
      <c r="Y2564" s="23"/>
      <c r="Z2564" s="43"/>
      <c r="AA2564" s="23"/>
      <c r="AB2564" s="23"/>
      <c r="AC2564" s="23"/>
      <c r="AD2564" s="23"/>
      <c r="AE2564" s="23"/>
      <c r="AF2564" s="23"/>
      <c r="AG2564" s="23"/>
      <c r="AH2564" s="23"/>
      <c r="AI2564" s="49"/>
    </row>
    <row r="2565" spans="1:35">
      <c r="A2565" s="23"/>
      <c r="B2565" s="42"/>
      <c r="C2565" s="49"/>
      <c r="E2565" s="49"/>
      <c r="G2565" s="43"/>
      <c r="H2565" s="44"/>
      <c r="L2565" s="42"/>
      <c r="M2565" s="42"/>
      <c r="N2565" s="25"/>
      <c r="O2565" s="54"/>
      <c r="P2565"/>
      <c r="Q2565" s="25"/>
      <c r="R2565" s="54"/>
      <c r="W2565" s="23"/>
      <c r="X2565" s="23"/>
      <c r="Y2565" s="23"/>
      <c r="Z2565" s="43"/>
      <c r="AA2565" s="23"/>
      <c r="AB2565" s="23"/>
      <c r="AC2565" s="23"/>
      <c r="AD2565" s="23"/>
      <c r="AE2565" s="23"/>
      <c r="AF2565" s="23"/>
      <c r="AG2565" s="23"/>
      <c r="AH2565" s="23"/>
      <c r="AI2565" s="49"/>
    </row>
    <row r="2566" spans="1:35">
      <c r="A2566" s="23"/>
      <c r="B2566" s="42"/>
      <c r="C2566" s="49"/>
      <c r="E2566" s="49"/>
      <c r="G2566" s="43"/>
      <c r="H2566" s="44"/>
      <c r="L2566" s="42"/>
      <c r="M2566" s="42"/>
      <c r="N2566" s="25"/>
      <c r="O2566" s="54"/>
      <c r="P2566"/>
      <c r="Q2566" s="25"/>
      <c r="R2566" s="54"/>
      <c r="W2566" s="23"/>
      <c r="X2566" s="23"/>
      <c r="Y2566" s="23"/>
      <c r="Z2566" s="43"/>
      <c r="AA2566" s="23"/>
      <c r="AB2566" s="23"/>
      <c r="AC2566" s="23"/>
      <c r="AD2566" s="23"/>
      <c r="AE2566" s="23"/>
      <c r="AF2566" s="23"/>
      <c r="AG2566" s="23"/>
      <c r="AH2566" s="23"/>
      <c r="AI2566" s="49"/>
    </row>
    <row r="2567" spans="1:35">
      <c r="A2567" s="23"/>
      <c r="B2567" s="42"/>
      <c r="C2567" s="49"/>
      <c r="E2567" s="49"/>
      <c r="G2567" s="43"/>
      <c r="H2567" s="44"/>
      <c r="L2567" s="42"/>
      <c r="M2567" s="42"/>
      <c r="N2567" s="25"/>
      <c r="O2567" s="54"/>
      <c r="P2567"/>
      <c r="Q2567" s="25"/>
      <c r="R2567" s="54"/>
      <c r="W2567" s="23"/>
      <c r="X2567" s="23"/>
      <c r="Y2567" s="23"/>
      <c r="Z2567" s="43"/>
      <c r="AA2567" s="23"/>
      <c r="AB2567" s="23"/>
      <c r="AC2567" s="23"/>
      <c r="AD2567" s="23"/>
      <c r="AE2567" s="23"/>
      <c r="AF2567" s="23"/>
      <c r="AG2567" s="23"/>
      <c r="AH2567" s="23"/>
      <c r="AI2567" s="49"/>
    </row>
    <row r="2568" spans="1:35">
      <c r="A2568" s="23"/>
      <c r="B2568" s="42"/>
      <c r="C2568" s="49"/>
      <c r="E2568" s="49"/>
      <c r="G2568" s="43"/>
      <c r="H2568" s="44"/>
      <c r="L2568" s="42"/>
      <c r="M2568" s="42"/>
      <c r="N2568" s="25"/>
      <c r="O2568" s="54"/>
      <c r="P2568"/>
      <c r="Q2568" s="25"/>
      <c r="R2568" s="54"/>
      <c r="W2568" s="23"/>
      <c r="X2568" s="23"/>
      <c r="Y2568" s="23"/>
      <c r="Z2568" s="43"/>
      <c r="AA2568" s="23"/>
      <c r="AB2568" s="23"/>
      <c r="AC2568" s="23"/>
      <c r="AD2568" s="23"/>
      <c r="AE2568" s="23"/>
      <c r="AF2568" s="23"/>
      <c r="AG2568" s="23"/>
      <c r="AH2568" s="23"/>
      <c r="AI2568" s="49"/>
    </row>
    <row r="2569" spans="1:35">
      <c r="A2569" s="23"/>
      <c r="B2569" s="42"/>
      <c r="C2569" s="49"/>
      <c r="E2569" s="49"/>
      <c r="G2569" s="43"/>
      <c r="H2569" s="44"/>
      <c r="L2569" s="42"/>
      <c r="M2569" s="42"/>
      <c r="N2569" s="25"/>
      <c r="O2569" s="54"/>
      <c r="P2569"/>
      <c r="Q2569" s="25"/>
      <c r="R2569" s="54"/>
      <c r="W2569" s="23"/>
      <c r="X2569" s="23"/>
      <c r="Y2569" s="23"/>
      <c r="Z2569" s="43"/>
      <c r="AA2569" s="23"/>
      <c r="AB2569" s="23"/>
      <c r="AC2569" s="23"/>
      <c r="AD2569" s="23"/>
      <c r="AE2569" s="23"/>
      <c r="AF2569" s="23"/>
      <c r="AG2569" s="23"/>
      <c r="AH2569" s="23"/>
      <c r="AI2569" s="49"/>
    </row>
    <row r="2570" spans="1:35">
      <c r="A2570" s="23"/>
      <c r="B2570" s="42"/>
      <c r="C2570" s="49"/>
      <c r="E2570" s="49"/>
      <c r="G2570" s="43"/>
      <c r="H2570" s="44"/>
      <c r="L2570" s="42"/>
      <c r="M2570" s="42"/>
      <c r="N2570" s="25"/>
      <c r="O2570" s="54"/>
      <c r="P2570"/>
      <c r="Q2570" s="25"/>
      <c r="R2570" s="54"/>
      <c r="W2570" s="23"/>
      <c r="X2570" s="23"/>
      <c r="Y2570" s="23"/>
      <c r="Z2570" s="43"/>
      <c r="AA2570" s="23"/>
      <c r="AB2570" s="23"/>
      <c r="AC2570" s="23"/>
      <c r="AD2570" s="23"/>
      <c r="AE2570" s="23"/>
      <c r="AF2570" s="23"/>
      <c r="AG2570" s="23"/>
      <c r="AH2570" s="23"/>
      <c r="AI2570" s="49"/>
    </row>
    <row r="2571" spans="1:35">
      <c r="A2571" s="23"/>
      <c r="B2571" s="42"/>
      <c r="C2571" s="49"/>
      <c r="E2571" s="49"/>
      <c r="G2571" s="43"/>
      <c r="H2571" s="44"/>
      <c r="L2571" s="42"/>
      <c r="M2571" s="42"/>
      <c r="N2571" s="25"/>
      <c r="O2571" s="54"/>
      <c r="P2571"/>
      <c r="Q2571" s="25"/>
      <c r="R2571" s="54"/>
      <c r="W2571" s="23"/>
      <c r="X2571" s="23"/>
      <c r="Y2571" s="23"/>
      <c r="Z2571" s="43"/>
      <c r="AA2571" s="23"/>
      <c r="AB2571" s="23"/>
      <c r="AC2571" s="23"/>
      <c r="AD2571" s="23"/>
      <c r="AE2571" s="23"/>
      <c r="AF2571" s="23"/>
      <c r="AG2571" s="23"/>
      <c r="AH2571" s="23"/>
      <c r="AI2571" s="49"/>
    </row>
    <row r="2572" spans="1:35">
      <c r="A2572" s="23"/>
      <c r="B2572" s="42"/>
      <c r="C2572" s="49"/>
      <c r="E2572" s="49"/>
      <c r="G2572" s="43"/>
      <c r="H2572" s="44"/>
      <c r="L2572" s="42"/>
      <c r="M2572" s="42"/>
      <c r="N2572" s="25"/>
      <c r="O2572" s="54"/>
      <c r="P2572"/>
      <c r="Q2572" s="25"/>
      <c r="R2572" s="54"/>
      <c r="W2572" s="23"/>
      <c r="X2572" s="23"/>
      <c r="Y2572" s="23"/>
      <c r="Z2572" s="43"/>
      <c r="AA2572" s="23"/>
      <c r="AB2572" s="23"/>
      <c r="AC2572" s="23"/>
      <c r="AD2572" s="23"/>
      <c r="AE2572" s="23"/>
      <c r="AF2572" s="23"/>
      <c r="AG2572" s="23"/>
      <c r="AH2572" s="23"/>
      <c r="AI2572" s="49"/>
    </row>
    <row r="2573" spans="1:35">
      <c r="A2573" s="23"/>
      <c r="B2573" s="42"/>
      <c r="C2573" s="49"/>
      <c r="E2573" s="49"/>
      <c r="G2573" s="43"/>
      <c r="H2573" s="44"/>
      <c r="L2573" s="42"/>
      <c r="M2573" s="42"/>
      <c r="N2573" s="25"/>
      <c r="O2573" s="54"/>
      <c r="P2573"/>
      <c r="Q2573" s="25"/>
      <c r="R2573" s="54"/>
      <c r="W2573" s="23"/>
      <c r="X2573" s="23"/>
      <c r="Y2573" s="23"/>
      <c r="Z2573" s="43"/>
      <c r="AA2573" s="23"/>
      <c r="AB2573" s="23"/>
      <c r="AC2573" s="23"/>
      <c r="AD2573" s="23"/>
      <c r="AE2573" s="23"/>
      <c r="AF2573" s="23"/>
      <c r="AG2573" s="23"/>
      <c r="AH2573" s="23"/>
      <c r="AI2573" s="49"/>
    </row>
    <row r="2574" spans="1:35">
      <c r="A2574" s="23"/>
      <c r="B2574" s="42"/>
      <c r="C2574" s="49"/>
      <c r="E2574" s="49"/>
      <c r="G2574" s="43"/>
      <c r="H2574" s="44"/>
      <c r="L2574" s="42"/>
      <c r="M2574" s="42"/>
      <c r="N2574" s="25"/>
      <c r="O2574" s="54"/>
      <c r="P2574"/>
      <c r="Q2574" s="25"/>
      <c r="R2574" s="54"/>
      <c r="W2574" s="23"/>
      <c r="X2574" s="23"/>
      <c r="Y2574" s="23"/>
      <c r="Z2574" s="43"/>
      <c r="AA2574" s="23"/>
      <c r="AB2574" s="23"/>
      <c r="AC2574" s="23"/>
      <c r="AD2574" s="23"/>
      <c r="AE2574" s="23"/>
      <c r="AF2574" s="23"/>
      <c r="AG2574" s="23"/>
      <c r="AH2574" s="23"/>
      <c r="AI2574" s="49"/>
    </row>
    <row r="2575" spans="1:35">
      <c r="A2575" s="23"/>
      <c r="B2575" s="42"/>
      <c r="C2575" s="49"/>
      <c r="E2575" s="49"/>
      <c r="G2575" s="43"/>
      <c r="H2575" s="44"/>
      <c r="L2575" s="42"/>
      <c r="M2575" s="42"/>
      <c r="N2575" s="25"/>
      <c r="O2575" s="54"/>
      <c r="P2575"/>
      <c r="Q2575" s="25"/>
      <c r="R2575" s="54"/>
      <c r="W2575" s="23"/>
      <c r="X2575" s="23"/>
      <c r="Y2575" s="23"/>
      <c r="Z2575" s="43"/>
      <c r="AA2575" s="23"/>
      <c r="AB2575" s="23"/>
      <c r="AC2575" s="23"/>
      <c r="AD2575" s="23"/>
      <c r="AE2575" s="23"/>
      <c r="AF2575" s="23"/>
      <c r="AG2575" s="23"/>
      <c r="AH2575" s="23"/>
      <c r="AI2575" s="49"/>
    </row>
    <row r="2576" spans="1:35">
      <c r="A2576" s="23"/>
      <c r="B2576" s="42"/>
      <c r="C2576" s="49"/>
      <c r="E2576" s="49"/>
      <c r="G2576" s="43"/>
      <c r="H2576" s="44"/>
      <c r="L2576" s="42"/>
      <c r="M2576" s="42"/>
      <c r="N2576" s="25"/>
      <c r="O2576" s="54"/>
      <c r="P2576"/>
      <c r="Q2576" s="25"/>
      <c r="R2576" s="54"/>
      <c r="W2576" s="23"/>
      <c r="X2576" s="23"/>
      <c r="Y2576" s="23"/>
      <c r="Z2576" s="43"/>
      <c r="AA2576" s="23"/>
      <c r="AB2576" s="23"/>
      <c r="AC2576" s="23"/>
      <c r="AD2576" s="23"/>
      <c r="AE2576" s="23"/>
      <c r="AF2576" s="23"/>
      <c r="AG2576" s="23"/>
      <c r="AH2576" s="23"/>
      <c r="AI2576" s="49"/>
    </row>
    <row r="2577" spans="1:35">
      <c r="A2577" s="23"/>
      <c r="B2577" s="42"/>
      <c r="C2577" s="49"/>
      <c r="E2577" s="49"/>
      <c r="G2577" s="43"/>
      <c r="H2577" s="44"/>
      <c r="L2577" s="42"/>
      <c r="M2577" s="42"/>
      <c r="N2577" s="25"/>
      <c r="O2577" s="54"/>
      <c r="P2577"/>
      <c r="Q2577" s="25"/>
      <c r="R2577" s="54"/>
      <c r="W2577" s="23"/>
      <c r="X2577" s="23"/>
      <c r="Y2577" s="23"/>
      <c r="Z2577" s="43"/>
      <c r="AA2577" s="23"/>
      <c r="AB2577" s="23"/>
      <c r="AC2577" s="23"/>
      <c r="AD2577" s="23"/>
      <c r="AE2577" s="23"/>
      <c r="AF2577" s="23"/>
      <c r="AG2577" s="23"/>
      <c r="AH2577" s="23"/>
      <c r="AI2577" s="49"/>
    </row>
    <row r="2578" spans="1:35">
      <c r="A2578" s="23"/>
      <c r="B2578" s="42"/>
      <c r="C2578" s="49"/>
      <c r="E2578" s="49"/>
      <c r="G2578" s="43"/>
      <c r="H2578" s="44"/>
      <c r="L2578" s="42"/>
      <c r="M2578" s="42"/>
      <c r="N2578" s="25"/>
      <c r="O2578" s="54"/>
      <c r="P2578"/>
      <c r="Q2578" s="25"/>
      <c r="R2578" s="54"/>
      <c r="W2578" s="23"/>
      <c r="X2578" s="23"/>
      <c r="Y2578" s="23"/>
      <c r="Z2578" s="43"/>
      <c r="AA2578" s="23"/>
      <c r="AB2578" s="23"/>
      <c r="AC2578" s="23"/>
      <c r="AD2578" s="23"/>
      <c r="AE2578" s="23"/>
      <c r="AF2578" s="23"/>
      <c r="AG2578" s="23"/>
      <c r="AH2578" s="23"/>
      <c r="AI2578" s="49"/>
    </row>
    <row r="2579" spans="1:35">
      <c r="A2579" s="23"/>
      <c r="B2579" s="42"/>
      <c r="C2579" s="49"/>
      <c r="E2579" s="49"/>
      <c r="G2579" s="43"/>
      <c r="H2579" s="44"/>
      <c r="L2579" s="42"/>
      <c r="M2579" s="42"/>
      <c r="N2579" s="25"/>
      <c r="O2579" s="54"/>
      <c r="P2579"/>
      <c r="Q2579" s="25"/>
      <c r="R2579" s="54"/>
      <c r="W2579" s="23"/>
      <c r="X2579" s="23"/>
      <c r="Y2579" s="23"/>
      <c r="Z2579" s="43"/>
      <c r="AA2579" s="23"/>
      <c r="AB2579" s="23"/>
      <c r="AC2579" s="23"/>
      <c r="AD2579" s="23"/>
      <c r="AE2579" s="23"/>
      <c r="AF2579" s="23"/>
      <c r="AG2579" s="23"/>
      <c r="AH2579" s="23"/>
      <c r="AI2579" s="49"/>
    </row>
    <row r="2580" spans="1:35">
      <c r="A2580" s="23"/>
      <c r="B2580" s="42"/>
      <c r="C2580" s="49"/>
      <c r="E2580" s="49"/>
      <c r="G2580" s="43"/>
      <c r="H2580" s="44"/>
      <c r="L2580" s="42"/>
      <c r="M2580" s="42"/>
      <c r="N2580" s="25"/>
      <c r="O2580" s="54"/>
      <c r="P2580"/>
      <c r="Q2580" s="25"/>
      <c r="R2580" s="54"/>
      <c r="W2580" s="23"/>
      <c r="X2580" s="23"/>
      <c r="Y2580" s="23"/>
      <c r="Z2580" s="43"/>
      <c r="AA2580" s="23"/>
      <c r="AB2580" s="23"/>
      <c r="AC2580" s="23"/>
      <c r="AD2580" s="23"/>
      <c r="AE2580" s="23"/>
      <c r="AF2580" s="23"/>
      <c r="AG2580" s="23"/>
      <c r="AH2580" s="23"/>
      <c r="AI2580" s="49"/>
    </row>
    <row r="2581" spans="1:35">
      <c r="A2581" s="23"/>
      <c r="B2581" s="42"/>
      <c r="C2581" s="49"/>
      <c r="E2581" s="49"/>
      <c r="G2581" s="43"/>
      <c r="H2581" s="44"/>
      <c r="L2581" s="42"/>
      <c r="M2581" s="42"/>
      <c r="N2581" s="25"/>
      <c r="O2581" s="54"/>
      <c r="P2581"/>
      <c r="Q2581" s="25"/>
      <c r="R2581" s="54"/>
      <c r="W2581" s="23"/>
      <c r="X2581" s="23"/>
      <c r="Y2581" s="23"/>
      <c r="Z2581" s="43"/>
      <c r="AA2581" s="23"/>
      <c r="AB2581" s="23"/>
      <c r="AC2581" s="23"/>
      <c r="AD2581" s="23"/>
      <c r="AE2581" s="23"/>
      <c r="AF2581" s="23"/>
      <c r="AG2581" s="23"/>
      <c r="AH2581" s="23"/>
      <c r="AI2581" s="49"/>
    </row>
    <row r="2582" spans="1:35">
      <c r="A2582" s="23"/>
      <c r="B2582" s="42"/>
      <c r="C2582" s="49"/>
      <c r="E2582" s="49"/>
      <c r="G2582" s="43"/>
      <c r="H2582" s="44"/>
      <c r="L2582" s="42"/>
      <c r="M2582" s="42"/>
      <c r="N2582" s="25"/>
      <c r="O2582" s="54"/>
      <c r="P2582"/>
      <c r="Q2582" s="25"/>
      <c r="R2582" s="54"/>
      <c r="W2582" s="23"/>
      <c r="X2582" s="23"/>
      <c r="Y2582" s="23"/>
      <c r="Z2582" s="43"/>
      <c r="AA2582" s="23"/>
      <c r="AB2582" s="23"/>
      <c r="AC2582" s="23"/>
      <c r="AD2582" s="23"/>
      <c r="AE2582" s="23"/>
      <c r="AF2582" s="23"/>
      <c r="AG2582" s="23"/>
      <c r="AH2582" s="23"/>
      <c r="AI2582" s="49"/>
    </row>
    <row r="2583" spans="1:35">
      <c r="A2583" s="23"/>
      <c r="B2583" s="42"/>
      <c r="C2583" s="49"/>
      <c r="E2583" s="49"/>
      <c r="G2583" s="43"/>
      <c r="H2583" s="44"/>
      <c r="L2583" s="42"/>
      <c r="M2583" s="42"/>
      <c r="N2583" s="25"/>
      <c r="O2583" s="54"/>
      <c r="P2583"/>
      <c r="Q2583" s="25"/>
      <c r="R2583" s="54"/>
      <c r="W2583" s="23"/>
      <c r="X2583" s="23"/>
      <c r="Y2583" s="23"/>
      <c r="Z2583" s="43"/>
      <c r="AA2583" s="23"/>
      <c r="AB2583" s="23"/>
      <c r="AC2583" s="23"/>
      <c r="AD2583" s="23"/>
      <c r="AE2583" s="23"/>
      <c r="AF2583" s="23"/>
      <c r="AG2583" s="23"/>
      <c r="AH2583" s="23"/>
      <c r="AI2583" s="49"/>
    </row>
    <row r="2584" spans="1:35">
      <c r="A2584" s="23"/>
      <c r="B2584" s="42"/>
      <c r="C2584" s="49"/>
      <c r="E2584" s="49"/>
      <c r="G2584" s="43"/>
      <c r="H2584" s="44"/>
      <c r="L2584" s="42"/>
      <c r="M2584" s="42"/>
      <c r="N2584" s="25"/>
      <c r="O2584" s="54"/>
      <c r="P2584"/>
      <c r="Q2584" s="25"/>
      <c r="R2584" s="54"/>
      <c r="W2584" s="23"/>
      <c r="X2584" s="23"/>
      <c r="Y2584" s="23"/>
      <c r="Z2584" s="43"/>
      <c r="AA2584" s="23"/>
      <c r="AB2584" s="23"/>
      <c r="AC2584" s="23"/>
      <c r="AD2584" s="23"/>
      <c r="AE2584" s="23"/>
      <c r="AF2584" s="23"/>
      <c r="AG2584" s="23"/>
      <c r="AH2584" s="23"/>
      <c r="AI2584" s="49"/>
    </row>
    <row r="2585" spans="1:35">
      <c r="A2585" s="23"/>
      <c r="B2585" s="42"/>
      <c r="C2585" s="49"/>
      <c r="E2585" s="49"/>
      <c r="G2585" s="43"/>
      <c r="H2585" s="44"/>
      <c r="L2585" s="42"/>
      <c r="M2585" s="42"/>
      <c r="N2585" s="25"/>
      <c r="O2585" s="54"/>
      <c r="P2585"/>
      <c r="Q2585" s="25"/>
      <c r="R2585" s="54"/>
      <c r="W2585" s="23"/>
      <c r="X2585" s="23"/>
      <c r="Y2585" s="23"/>
      <c r="Z2585" s="43"/>
      <c r="AA2585" s="23"/>
      <c r="AB2585" s="23"/>
      <c r="AC2585" s="23"/>
      <c r="AD2585" s="23"/>
      <c r="AE2585" s="23"/>
      <c r="AF2585" s="23"/>
      <c r="AG2585" s="23"/>
      <c r="AH2585" s="23"/>
      <c r="AI2585" s="49"/>
    </row>
    <row r="2586" spans="1:35">
      <c r="A2586" s="23"/>
      <c r="B2586" s="42"/>
      <c r="C2586" s="49"/>
      <c r="E2586" s="49"/>
      <c r="G2586" s="43"/>
      <c r="H2586" s="44"/>
      <c r="L2586" s="42"/>
      <c r="M2586" s="42"/>
      <c r="N2586" s="25"/>
      <c r="O2586" s="54"/>
      <c r="P2586"/>
      <c r="Q2586" s="25"/>
      <c r="R2586" s="54"/>
      <c r="W2586" s="23"/>
      <c r="X2586" s="23"/>
      <c r="Y2586" s="23"/>
      <c r="Z2586" s="43"/>
      <c r="AA2586" s="23"/>
      <c r="AB2586" s="23"/>
      <c r="AC2586" s="23"/>
      <c r="AD2586" s="23"/>
      <c r="AE2586" s="23"/>
      <c r="AF2586" s="23"/>
      <c r="AG2586" s="23"/>
      <c r="AH2586" s="23"/>
      <c r="AI2586" s="49"/>
    </row>
    <row r="2587" spans="1:35">
      <c r="A2587" s="23"/>
      <c r="B2587" s="42"/>
      <c r="C2587" s="49"/>
      <c r="E2587" s="49"/>
      <c r="G2587" s="43"/>
      <c r="H2587" s="44"/>
      <c r="L2587" s="42"/>
      <c r="M2587" s="42"/>
      <c r="N2587" s="25"/>
      <c r="O2587" s="54"/>
      <c r="P2587"/>
      <c r="Q2587" s="25"/>
      <c r="R2587" s="54"/>
      <c r="W2587" s="23"/>
      <c r="X2587" s="23"/>
      <c r="Y2587" s="23"/>
      <c r="Z2587" s="43"/>
      <c r="AA2587" s="23"/>
      <c r="AB2587" s="23"/>
      <c r="AC2587" s="23"/>
      <c r="AD2587" s="23"/>
      <c r="AE2587" s="23"/>
      <c r="AF2587" s="23"/>
      <c r="AG2587" s="23"/>
      <c r="AH2587" s="23"/>
      <c r="AI2587" s="49"/>
    </row>
    <row r="2588" spans="1:35">
      <c r="A2588" s="23"/>
      <c r="B2588" s="42"/>
      <c r="C2588" s="49"/>
      <c r="E2588" s="49"/>
      <c r="G2588" s="43"/>
      <c r="H2588" s="44"/>
      <c r="L2588" s="42"/>
      <c r="M2588" s="42"/>
      <c r="N2588" s="25"/>
      <c r="O2588" s="54"/>
      <c r="P2588"/>
      <c r="Q2588" s="25"/>
      <c r="R2588" s="54"/>
      <c r="W2588" s="23"/>
      <c r="X2588" s="23"/>
      <c r="Y2588" s="23"/>
      <c r="Z2588" s="43"/>
      <c r="AA2588" s="23"/>
      <c r="AB2588" s="23"/>
      <c r="AC2588" s="23"/>
      <c r="AD2588" s="23"/>
      <c r="AE2588" s="23"/>
      <c r="AF2588" s="23"/>
      <c r="AG2588" s="23"/>
      <c r="AH2588" s="23"/>
      <c r="AI2588" s="49"/>
    </row>
    <row r="2589" spans="1:35">
      <c r="A2589" s="23"/>
      <c r="B2589" s="42"/>
      <c r="C2589" s="49"/>
      <c r="E2589" s="49"/>
      <c r="G2589" s="43"/>
      <c r="H2589" s="44"/>
      <c r="L2589" s="42"/>
      <c r="M2589" s="42"/>
      <c r="N2589" s="25"/>
      <c r="O2589" s="54"/>
      <c r="P2589"/>
      <c r="Q2589" s="25"/>
      <c r="R2589" s="54"/>
      <c r="W2589" s="23"/>
      <c r="X2589" s="23"/>
      <c r="Y2589" s="23"/>
      <c r="Z2589" s="43"/>
      <c r="AA2589" s="23"/>
      <c r="AB2589" s="23"/>
      <c r="AC2589" s="23"/>
      <c r="AD2589" s="23"/>
      <c r="AE2589" s="23"/>
      <c r="AF2589" s="23"/>
      <c r="AG2589" s="23"/>
      <c r="AH2589" s="23"/>
      <c r="AI2589" s="49"/>
    </row>
    <row r="2590" spans="1:35">
      <c r="A2590" s="23"/>
      <c r="B2590" s="42"/>
      <c r="C2590" s="49"/>
      <c r="E2590" s="49"/>
      <c r="G2590" s="43"/>
      <c r="H2590" s="44"/>
      <c r="L2590" s="42"/>
      <c r="M2590" s="42"/>
      <c r="N2590" s="25"/>
      <c r="O2590" s="54"/>
      <c r="P2590"/>
      <c r="Q2590" s="25"/>
      <c r="R2590" s="54"/>
      <c r="W2590" s="23"/>
      <c r="X2590" s="23"/>
      <c r="Y2590" s="23"/>
      <c r="Z2590" s="43"/>
      <c r="AA2590" s="23"/>
      <c r="AB2590" s="23"/>
      <c r="AC2590" s="23"/>
      <c r="AD2590" s="23"/>
      <c r="AE2590" s="23"/>
      <c r="AF2590" s="23"/>
      <c r="AG2590" s="23"/>
      <c r="AH2590" s="23"/>
      <c r="AI2590" s="49"/>
    </row>
    <row r="2591" spans="1:35">
      <c r="A2591" s="23"/>
      <c r="B2591" s="42"/>
      <c r="C2591" s="49"/>
      <c r="E2591" s="49"/>
      <c r="G2591" s="43"/>
      <c r="H2591" s="44"/>
      <c r="L2591" s="42"/>
      <c r="M2591" s="42"/>
      <c r="N2591" s="25"/>
      <c r="O2591" s="54"/>
      <c r="P2591"/>
      <c r="Q2591" s="25"/>
      <c r="R2591" s="54"/>
      <c r="W2591" s="23"/>
      <c r="X2591" s="23"/>
      <c r="Y2591" s="23"/>
      <c r="Z2591" s="43"/>
      <c r="AA2591" s="23"/>
      <c r="AB2591" s="23"/>
      <c r="AC2591" s="23"/>
      <c r="AD2591" s="23"/>
      <c r="AE2591" s="23"/>
      <c r="AF2591" s="23"/>
      <c r="AG2591" s="23"/>
      <c r="AH2591" s="23"/>
      <c r="AI2591" s="49"/>
    </row>
    <row r="2592" spans="1:35">
      <c r="A2592" s="23"/>
      <c r="B2592" s="42"/>
      <c r="C2592" s="49"/>
      <c r="E2592" s="49"/>
      <c r="G2592" s="43"/>
      <c r="H2592" s="44"/>
      <c r="L2592" s="42"/>
      <c r="M2592" s="42"/>
      <c r="N2592" s="25"/>
      <c r="O2592" s="54"/>
      <c r="P2592"/>
      <c r="Q2592" s="25"/>
      <c r="R2592" s="54"/>
      <c r="W2592" s="23"/>
      <c r="X2592" s="23"/>
      <c r="Y2592" s="23"/>
      <c r="Z2592" s="43"/>
      <c r="AA2592" s="23"/>
      <c r="AB2592" s="23"/>
      <c r="AC2592" s="23"/>
      <c r="AD2592" s="23"/>
      <c r="AE2592" s="23"/>
      <c r="AF2592" s="23"/>
      <c r="AG2592" s="23"/>
      <c r="AH2592" s="23"/>
      <c r="AI2592" s="49"/>
    </row>
    <row r="2593" spans="1:35">
      <c r="A2593" s="23"/>
      <c r="B2593" s="42"/>
      <c r="C2593" s="49"/>
      <c r="E2593" s="49"/>
      <c r="G2593" s="43"/>
      <c r="H2593" s="44"/>
      <c r="L2593" s="42"/>
      <c r="M2593" s="42"/>
      <c r="N2593" s="25"/>
      <c r="O2593" s="54"/>
      <c r="P2593"/>
      <c r="Q2593" s="25"/>
      <c r="R2593" s="54"/>
      <c r="W2593" s="23"/>
      <c r="X2593" s="23"/>
      <c r="Y2593" s="23"/>
      <c r="Z2593" s="43"/>
      <c r="AA2593" s="23"/>
      <c r="AB2593" s="23"/>
      <c r="AC2593" s="23"/>
      <c r="AD2593" s="23"/>
      <c r="AE2593" s="23"/>
      <c r="AF2593" s="23"/>
      <c r="AG2593" s="23"/>
      <c r="AH2593" s="23"/>
      <c r="AI2593" s="49"/>
    </row>
    <row r="2594" spans="1:35">
      <c r="A2594" s="23"/>
      <c r="B2594" s="42"/>
      <c r="C2594" s="49"/>
      <c r="E2594" s="49"/>
      <c r="G2594" s="43"/>
      <c r="H2594" s="44"/>
      <c r="L2594" s="42"/>
      <c r="M2594" s="42"/>
      <c r="N2594" s="25"/>
      <c r="O2594" s="54"/>
      <c r="P2594"/>
      <c r="Q2594" s="25"/>
      <c r="R2594" s="54"/>
      <c r="W2594" s="23"/>
      <c r="X2594" s="23"/>
      <c r="Y2594" s="23"/>
      <c r="Z2594" s="43"/>
      <c r="AA2594" s="23"/>
      <c r="AB2594" s="23"/>
      <c r="AC2594" s="23"/>
      <c r="AD2594" s="23"/>
      <c r="AE2594" s="23"/>
      <c r="AF2594" s="23"/>
      <c r="AG2594" s="23"/>
      <c r="AH2594" s="23"/>
      <c r="AI2594" s="49"/>
    </row>
    <row r="2595" spans="1:35">
      <c r="A2595" s="23"/>
      <c r="B2595" s="42"/>
      <c r="C2595" s="49"/>
      <c r="E2595" s="49"/>
      <c r="G2595" s="43"/>
      <c r="H2595" s="44"/>
      <c r="L2595" s="42"/>
      <c r="M2595" s="42"/>
      <c r="N2595" s="25"/>
      <c r="O2595" s="54"/>
      <c r="P2595"/>
      <c r="Q2595" s="25"/>
      <c r="R2595" s="54"/>
      <c r="W2595" s="23"/>
      <c r="X2595" s="23"/>
      <c r="Y2595" s="23"/>
      <c r="Z2595" s="43"/>
      <c r="AA2595" s="23"/>
      <c r="AB2595" s="23"/>
      <c r="AC2595" s="23"/>
      <c r="AD2595" s="23"/>
      <c r="AE2595" s="23"/>
      <c r="AF2595" s="23"/>
      <c r="AG2595" s="23"/>
      <c r="AH2595" s="23"/>
      <c r="AI2595" s="49"/>
    </row>
    <row r="2596" spans="1:35">
      <c r="A2596" s="23"/>
      <c r="B2596" s="42"/>
      <c r="C2596" s="49"/>
      <c r="E2596" s="49"/>
      <c r="G2596" s="43"/>
      <c r="H2596" s="44"/>
      <c r="L2596" s="42"/>
      <c r="M2596" s="42"/>
      <c r="N2596" s="25"/>
      <c r="O2596" s="54"/>
      <c r="P2596"/>
      <c r="Q2596" s="25"/>
      <c r="R2596" s="54"/>
      <c r="W2596" s="23"/>
      <c r="X2596" s="23"/>
      <c r="Y2596" s="23"/>
      <c r="Z2596" s="43"/>
      <c r="AA2596" s="23"/>
      <c r="AB2596" s="23"/>
      <c r="AC2596" s="23"/>
      <c r="AD2596" s="23"/>
      <c r="AE2596" s="23"/>
      <c r="AF2596" s="23"/>
      <c r="AG2596" s="23"/>
      <c r="AH2596" s="23"/>
      <c r="AI2596" s="49"/>
    </row>
    <row r="2597" spans="1:35">
      <c r="A2597" s="23"/>
      <c r="B2597" s="42"/>
      <c r="C2597" s="49"/>
      <c r="E2597" s="49"/>
      <c r="G2597" s="43"/>
      <c r="H2597" s="44"/>
      <c r="L2597" s="42"/>
      <c r="M2597" s="42"/>
      <c r="N2597" s="25"/>
      <c r="O2597" s="54"/>
      <c r="P2597"/>
      <c r="Q2597" s="25"/>
      <c r="R2597" s="54"/>
      <c r="W2597" s="23"/>
      <c r="X2597" s="23"/>
      <c r="Y2597" s="23"/>
      <c r="Z2597" s="43"/>
      <c r="AA2597" s="23"/>
      <c r="AB2597" s="23"/>
      <c r="AC2597" s="23"/>
      <c r="AD2597" s="23"/>
      <c r="AE2597" s="23"/>
      <c r="AF2597" s="23"/>
      <c r="AG2597" s="23"/>
      <c r="AH2597" s="23"/>
      <c r="AI2597" s="49"/>
    </row>
    <row r="2598" spans="1:35">
      <c r="A2598" s="23"/>
      <c r="B2598" s="42"/>
      <c r="C2598" s="49"/>
      <c r="E2598" s="49"/>
      <c r="G2598" s="43"/>
      <c r="H2598" s="44"/>
      <c r="L2598" s="42"/>
      <c r="M2598" s="42"/>
      <c r="N2598" s="25"/>
      <c r="O2598" s="54"/>
      <c r="P2598"/>
      <c r="Q2598" s="25"/>
      <c r="R2598" s="54"/>
      <c r="W2598" s="23"/>
      <c r="X2598" s="23"/>
      <c r="Y2598" s="23"/>
      <c r="Z2598" s="43"/>
      <c r="AA2598" s="23"/>
      <c r="AB2598" s="23"/>
      <c r="AC2598" s="23"/>
      <c r="AD2598" s="23"/>
      <c r="AE2598" s="23"/>
      <c r="AF2598" s="23"/>
      <c r="AG2598" s="23"/>
      <c r="AH2598" s="23"/>
      <c r="AI2598" s="49"/>
    </row>
    <row r="2599" spans="1:35">
      <c r="A2599" s="23"/>
      <c r="B2599" s="42"/>
      <c r="C2599" s="49"/>
      <c r="E2599" s="49"/>
      <c r="G2599" s="43"/>
      <c r="H2599" s="44"/>
      <c r="L2599" s="42"/>
      <c r="M2599" s="42"/>
      <c r="N2599" s="25"/>
      <c r="O2599" s="54"/>
      <c r="P2599"/>
      <c r="Q2599" s="25"/>
      <c r="R2599" s="54"/>
      <c r="W2599" s="23"/>
      <c r="X2599" s="23"/>
      <c r="Y2599" s="23"/>
      <c r="Z2599" s="43"/>
      <c r="AA2599" s="23"/>
      <c r="AB2599" s="23"/>
      <c r="AC2599" s="23"/>
      <c r="AD2599" s="23"/>
      <c r="AE2599" s="23"/>
      <c r="AF2599" s="23"/>
      <c r="AG2599" s="23"/>
      <c r="AH2599" s="23"/>
      <c r="AI2599" s="49"/>
    </row>
    <row r="2600" spans="1:35">
      <c r="A2600" s="23"/>
      <c r="B2600" s="42"/>
      <c r="C2600" s="49"/>
      <c r="E2600" s="49"/>
      <c r="G2600" s="43"/>
      <c r="H2600" s="44"/>
      <c r="L2600" s="42"/>
      <c r="M2600" s="42"/>
      <c r="N2600" s="25"/>
      <c r="O2600" s="54"/>
      <c r="P2600"/>
      <c r="Q2600" s="25"/>
      <c r="R2600" s="54"/>
      <c r="W2600" s="23"/>
      <c r="X2600" s="23"/>
      <c r="Y2600" s="23"/>
      <c r="Z2600" s="43"/>
      <c r="AA2600" s="23"/>
      <c r="AB2600" s="23"/>
      <c r="AC2600" s="23"/>
      <c r="AD2600" s="23"/>
      <c r="AE2600" s="23"/>
      <c r="AF2600" s="23"/>
      <c r="AG2600" s="23"/>
      <c r="AH2600" s="23"/>
      <c r="AI2600" s="49"/>
    </row>
    <row r="2601" spans="1:35">
      <c r="A2601" s="23"/>
      <c r="B2601" s="42"/>
      <c r="C2601" s="49"/>
      <c r="E2601" s="49"/>
      <c r="G2601" s="43"/>
      <c r="H2601" s="44"/>
      <c r="L2601" s="42"/>
      <c r="M2601" s="42"/>
      <c r="N2601" s="25"/>
      <c r="O2601" s="54"/>
      <c r="P2601"/>
      <c r="Q2601" s="25"/>
      <c r="R2601" s="54"/>
      <c r="W2601" s="23"/>
      <c r="X2601" s="23"/>
      <c r="Y2601" s="23"/>
      <c r="Z2601" s="43"/>
      <c r="AA2601" s="23"/>
      <c r="AB2601" s="23"/>
      <c r="AC2601" s="23"/>
      <c r="AD2601" s="23"/>
      <c r="AE2601" s="23"/>
      <c r="AF2601" s="23"/>
      <c r="AG2601" s="23"/>
      <c r="AH2601" s="23"/>
      <c r="AI2601" s="49"/>
    </row>
    <row r="2602" spans="1:35">
      <c r="A2602" s="23"/>
      <c r="B2602" s="42"/>
      <c r="C2602" s="49"/>
      <c r="E2602" s="49"/>
      <c r="G2602" s="43"/>
      <c r="H2602" s="44"/>
      <c r="L2602" s="42"/>
      <c r="M2602" s="42"/>
      <c r="N2602" s="25"/>
      <c r="O2602" s="54"/>
      <c r="P2602"/>
      <c r="Q2602" s="25"/>
      <c r="R2602" s="54"/>
      <c r="W2602" s="23"/>
      <c r="X2602" s="23"/>
      <c r="Y2602" s="23"/>
      <c r="Z2602" s="43"/>
      <c r="AA2602" s="23"/>
      <c r="AB2602" s="23"/>
      <c r="AC2602" s="23"/>
      <c r="AD2602" s="23"/>
      <c r="AE2602" s="23"/>
      <c r="AF2602" s="23"/>
      <c r="AG2602" s="23"/>
      <c r="AH2602" s="23"/>
      <c r="AI2602" s="49"/>
    </row>
    <row r="2603" spans="1:35">
      <c r="A2603" s="23"/>
      <c r="B2603" s="42"/>
      <c r="C2603" s="49"/>
      <c r="E2603" s="49"/>
      <c r="G2603" s="43"/>
      <c r="H2603" s="44"/>
      <c r="L2603" s="42"/>
      <c r="M2603" s="42"/>
      <c r="N2603" s="25"/>
      <c r="O2603" s="54"/>
      <c r="P2603"/>
      <c r="Q2603" s="25"/>
      <c r="R2603" s="54"/>
      <c r="W2603" s="23"/>
      <c r="X2603" s="23"/>
      <c r="Y2603" s="23"/>
      <c r="Z2603" s="43"/>
      <c r="AA2603" s="23"/>
      <c r="AB2603" s="23"/>
      <c r="AC2603" s="23"/>
      <c r="AD2603" s="23"/>
      <c r="AE2603" s="23"/>
      <c r="AF2603" s="23"/>
      <c r="AG2603" s="23"/>
      <c r="AH2603" s="23"/>
      <c r="AI2603" s="49"/>
    </row>
    <row r="2604" spans="1:35">
      <c r="A2604" s="23"/>
      <c r="B2604" s="42"/>
      <c r="C2604" s="49"/>
      <c r="E2604" s="49"/>
      <c r="G2604" s="43"/>
      <c r="H2604" s="44"/>
      <c r="L2604" s="42"/>
      <c r="M2604" s="42"/>
      <c r="N2604" s="25"/>
      <c r="O2604" s="54"/>
      <c r="P2604"/>
      <c r="Q2604" s="25"/>
      <c r="R2604" s="54"/>
      <c r="W2604" s="23"/>
      <c r="X2604" s="23"/>
      <c r="Y2604" s="23"/>
      <c r="Z2604" s="43"/>
      <c r="AA2604" s="23"/>
      <c r="AB2604" s="23"/>
      <c r="AC2604" s="23"/>
      <c r="AD2604" s="23"/>
      <c r="AE2604" s="23"/>
      <c r="AF2604" s="23"/>
      <c r="AG2604" s="23"/>
      <c r="AH2604" s="23"/>
      <c r="AI2604" s="49"/>
    </row>
    <row r="2605" spans="1:35">
      <c r="A2605" s="23"/>
      <c r="B2605" s="42"/>
      <c r="C2605" s="49"/>
      <c r="E2605" s="49"/>
      <c r="G2605" s="43"/>
      <c r="H2605" s="44"/>
      <c r="L2605" s="42"/>
      <c r="M2605" s="42"/>
      <c r="N2605" s="25"/>
      <c r="O2605" s="54"/>
      <c r="P2605"/>
      <c r="Q2605" s="25"/>
      <c r="R2605" s="54"/>
      <c r="W2605" s="23"/>
      <c r="X2605" s="23"/>
      <c r="Y2605" s="23"/>
      <c r="Z2605" s="43"/>
      <c r="AA2605" s="23"/>
      <c r="AB2605" s="23"/>
      <c r="AC2605" s="23"/>
      <c r="AD2605" s="23"/>
      <c r="AE2605" s="23"/>
      <c r="AF2605" s="23"/>
      <c r="AG2605" s="23"/>
      <c r="AH2605" s="23"/>
      <c r="AI2605" s="49"/>
    </row>
    <row r="2606" spans="1:35">
      <c r="A2606" s="23"/>
      <c r="B2606" s="42"/>
      <c r="C2606" s="49"/>
      <c r="E2606" s="49"/>
      <c r="G2606" s="43"/>
      <c r="H2606" s="44"/>
      <c r="L2606" s="42"/>
      <c r="M2606" s="42"/>
      <c r="N2606" s="25"/>
      <c r="O2606" s="54"/>
      <c r="P2606"/>
      <c r="Q2606" s="25"/>
      <c r="R2606" s="54"/>
      <c r="W2606" s="23"/>
      <c r="X2606" s="23"/>
      <c r="Y2606" s="23"/>
      <c r="Z2606" s="43"/>
      <c r="AA2606" s="23"/>
      <c r="AB2606" s="23"/>
      <c r="AC2606" s="23"/>
      <c r="AD2606" s="23"/>
      <c r="AE2606" s="23"/>
      <c r="AF2606" s="23"/>
      <c r="AG2606" s="23"/>
      <c r="AH2606" s="23"/>
      <c r="AI2606" s="49"/>
    </row>
    <row r="2607" spans="1:35">
      <c r="A2607" s="23"/>
      <c r="B2607" s="42"/>
      <c r="C2607" s="49"/>
      <c r="E2607" s="49"/>
      <c r="G2607" s="43"/>
      <c r="H2607" s="44"/>
      <c r="L2607" s="42"/>
      <c r="M2607" s="42"/>
      <c r="N2607" s="25"/>
      <c r="O2607" s="54"/>
      <c r="P2607"/>
      <c r="Q2607" s="25"/>
      <c r="R2607" s="54"/>
      <c r="W2607" s="23"/>
      <c r="X2607" s="23"/>
      <c r="Y2607" s="23"/>
      <c r="Z2607" s="43"/>
      <c r="AA2607" s="23"/>
      <c r="AB2607" s="23"/>
      <c r="AC2607" s="23"/>
      <c r="AD2607" s="23"/>
      <c r="AE2607" s="23"/>
      <c r="AF2607" s="23"/>
      <c r="AG2607" s="23"/>
      <c r="AH2607" s="23"/>
      <c r="AI2607" s="49"/>
    </row>
    <row r="2608" spans="1:35">
      <c r="A2608" s="23"/>
      <c r="B2608" s="42"/>
      <c r="C2608" s="49"/>
      <c r="E2608" s="49"/>
      <c r="G2608" s="43"/>
      <c r="H2608" s="44"/>
      <c r="L2608" s="42"/>
      <c r="M2608" s="42"/>
      <c r="N2608" s="25"/>
      <c r="O2608" s="54"/>
      <c r="P2608"/>
      <c r="Q2608" s="25"/>
      <c r="R2608" s="54"/>
      <c r="W2608" s="23"/>
      <c r="X2608" s="23"/>
      <c r="Y2608" s="23"/>
      <c r="Z2608" s="43"/>
      <c r="AA2608" s="23"/>
      <c r="AB2608" s="23"/>
      <c r="AC2608" s="23"/>
      <c r="AD2608" s="23"/>
      <c r="AE2608" s="23"/>
      <c r="AF2608" s="23"/>
      <c r="AG2608" s="23"/>
      <c r="AH2608" s="23"/>
      <c r="AI2608" s="49"/>
    </row>
    <row r="2609" spans="1:35">
      <c r="A2609" s="23"/>
      <c r="B2609" s="42"/>
      <c r="C2609" s="49"/>
      <c r="E2609" s="49"/>
      <c r="G2609" s="43"/>
      <c r="H2609" s="44"/>
      <c r="L2609" s="42"/>
      <c r="M2609" s="42"/>
      <c r="N2609" s="25"/>
      <c r="O2609" s="54"/>
      <c r="P2609"/>
      <c r="Q2609" s="25"/>
      <c r="R2609" s="54"/>
      <c r="W2609" s="23"/>
      <c r="X2609" s="23"/>
      <c r="Y2609" s="23"/>
      <c r="Z2609" s="43"/>
      <c r="AA2609" s="23"/>
      <c r="AB2609" s="23"/>
      <c r="AC2609" s="23"/>
      <c r="AD2609" s="23"/>
      <c r="AE2609" s="23"/>
      <c r="AF2609" s="23"/>
      <c r="AG2609" s="23"/>
      <c r="AH2609" s="23"/>
      <c r="AI2609" s="49"/>
    </row>
    <row r="2610" spans="1:35">
      <c r="A2610" s="23"/>
      <c r="B2610" s="42"/>
      <c r="C2610" s="49"/>
      <c r="E2610" s="49"/>
      <c r="G2610" s="43"/>
      <c r="H2610" s="44"/>
      <c r="L2610" s="42"/>
      <c r="M2610" s="42"/>
      <c r="N2610" s="25"/>
      <c r="O2610" s="54"/>
      <c r="P2610"/>
      <c r="Q2610" s="25"/>
      <c r="R2610" s="54"/>
      <c r="W2610" s="23"/>
      <c r="X2610" s="23"/>
      <c r="Y2610" s="23"/>
      <c r="Z2610" s="43"/>
      <c r="AA2610" s="23"/>
      <c r="AB2610" s="23"/>
      <c r="AC2610" s="23"/>
      <c r="AD2610" s="23"/>
      <c r="AE2610" s="23"/>
      <c r="AF2610" s="23"/>
      <c r="AG2610" s="23"/>
      <c r="AH2610" s="23"/>
      <c r="AI2610" s="49"/>
    </row>
    <row r="2611" spans="1:35">
      <c r="A2611" s="23"/>
      <c r="B2611" s="42"/>
      <c r="C2611" s="49"/>
      <c r="E2611" s="49"/>
      <c r="G2611" s="43"/>
      <c r="H2611" s="44"/>
      <c r="L2611" s="42"/>
      <c r="M2611" s="42"/>
      <c r="N2611" s="25"/>
      <c r="O2611" s="54"/>
      <c r="P2611"/>
      <c r="Q2611" s="25"/>
      <c r="R2611" s="54"/>
      <c r="W2611" s="23"/>
      <c r="X2611" s="23"/>
      <c r="Y2611" s="23"/>
      <c r="Z2611" s="43"/>
      <c r="AA2611" s="23"/>
      <c r="AB2611" s="23"/>
      <c r="AC2611" s="23"/>
      <c r="AD2611" s="23"/>
      <c r="AE2611" s="23"/>
      <c r="AF2611" s="23"/>
      <c r="AG2611" s="23"/>
      <c r="AH2611" s="23"/>
      <c r="AI2611" s="49"/>
    </row>
    <row r="2612" spans="1:35">
      <c r="A2612" s="23"/>
      <c r="B2612" s="42"/>
      <c r="C2612" s="49"/>
      <c r="E2612" s="49"/>
      <c r="G2612" s="43"/>
      <c r="H2612" s="44"/>
      <c r="L2612" s="42"/>
      <c r="M2612" s="42"/>
      <c r="N2612" s="25"/>
      <c r="O2612" s="54"/>
      <c r="P2612"/>
      <c r="Q2612" s="25"/>
      <c r="R2612" s="54"/>
      <c r="W2612" s="23"/>
      <c r="X2612" s="23"/>
      <c r="Y2612" s="23"/>
      <c r="Z2612" s="43"/>
      <c r="AA2612" s="23"/>
      <c r="AB2612" s="23"/>
      <c r="AC2612" s="23"/>
      <c r="AD2612" s="23"/>
      <c r="AE2612" s="23"/>
      <c r="AF2612" s="23"/>
      <c r="AG2612" s="23"/>
      <c r="AH2612" s="23"/>
      <c r="AI2612" s="49"/>
    </row>
    <row r="2613" spans="1:35">
      <c r="A2613" s="23"/>
      <c r="B2613" s="42"/>
      <c r="C2613" s="49"/>
      <c r="E2613" s="49"/>
      <c r="G2613" s="43"/>
      <c r="H2613" s="44"/>
      <c r="L2613" s="42"/>
      <c r="M2613" s="42"/>
      <c r="N2613" s="25"/>
      <c r="O2613" s="54"/>
      <c r="P2613"/>
      <c r="Q2613" s="25"/>
      <c r="R2613" s="54"/>
      <c r="W2613" s="23"/>
      <c r="X2613" s="23"/>
      <c r="Y2613" s="23"/>
      <c r="Z2613" s="43"/>
      <c r="AA2613" s="23"/>
      <c r="AB2613" s="23"/>
      <c r="AC2613" s="23"/>
      <c r="AD2613" s="23"/>
      <c r="AE2613" s="23"/>
      <c r="AF2613" s="23"/>
      <c r="AG2613" s="23"/>
      <c r="AH2613" s="23"/>
      <c r="AI2613" s="49"/>
    </row>
    <row r="2614" spans="1:35">
      <c r="A2614" s="23"/>
      <c r="B2614" s="42"/>
      <c r="C2614" s="49"/>
      <c r="E2614" s="49"/>
      <c r="G2614" s="43"/>
      <c r="H2614" s="44"/>
      <c r="L2614" s="42"/>
      <c r="M2614" s="42"/>
      <c r="N2614" s="25"/>
      <c r="O2614" s="54"/>
      <c r="P2614"/>
      <c r="Q2614" s="25"/>
      <c r="R2614" s="54"/>
      <c r="W2614" s="23"/>
      <c r="X2614" s="23"/>
      <c r="Y2614" s="23"/>
      <c r="Z2614" s="43"/>
      <c r="AA2614" s="23"/>
      <c r="AB2614" s="23"/>
      <c r="AC2614" s="23"/>
      <c r="AD2614" s="23"/>
      <c r="AE2614" s="23"/>
      <c r="AF2614" s="23"/>
      <c r="AG2614" s="23"/>
      <c r="AH2614" s="23"/>
      <c r="AI2614" s="49"/>
    </row>
    <row r="2615" spans="1:35">
      <c r="A2615" s="23"/>
      <c r="B2615" s="42"/>
      <c r="C2615" s="49"/>
      <c r="E2615" s="49"/>
      <c r="G2615" s="43"/>
      <c r="H2615" s="44"/>
      <c r="L2615" s="42"/>
      <c r="M2615" s="42"/>
      <c r="N2615" s="25"/>
      <c r="O2615" s="54"/>
      <c r="P2615"/>
      <c r="Q2615" s="25"/>
      <c r="R2615" s="54"/>
      <c r="W2615" s="23"/>
      <c r="X2615" s="23"/>
      <c r="Y2615" s="23"/>
      <c r="Z2615" s="43"/>
      <c r="AA2615" s="23"/>
      <c r="AB2615" s="23"/>
      <c r="AC2615" s="23"/>
      <c r="AD2615" s="23"/>
      <c r="AE2615" s="23"/>
      <c r="AF2615" s="23"/>
      <c r="AG2615" s="23"/>
      <c r="AH2615" s="23"/>
      <c r="AI2615" s="49"/>
    </row>
    <row r="2616" spans="1:35">
      <c r="A2616" s="23"/>
      <c r="B2616" s="42"/>
      <c r="C2616" s="49"/>
      <c r="E2616" s="49"/>
      <c r="G2616" s="43"/>
      <c r="H2616" s="44"/>
      <c r="L2616" s="42"/>
      <c r="M2616" s="42"/>
      <c r="N2616" s="25"/>
      <c r="O2616" s="54"/>
      <c r="P2616"/>
      <c r="Q2616" s="25"/>
      <c r="R2616" s="54"/>
      <c r="W2616" s="23"/>
      <c r="X2616" s="23"/>
      <c r="Y2616" s="23"/>
      <c r="Z2616" s="43"/>
      <c r="AA2616" s="23"/>
      <c r="AB2616" s="23"/>
      <c r="AC2616" s="23"/>
      <c r="AD2616" s="23"/>
      <c r="AE2616" s="23"/>
      <c r="AF2616" s="23"/>
      <c r="AG2616" s="23"/>
      <c r="AH2616" s="23"/>
      <c r="AI2616" s="49"/>
    </row>
    <row r="2617" spans="1:35">
      <c r="A2617" s="23"/>
      <c r="B2617" s="42"/>
      <c r="C2617" s="49"/>
      <c r="E2617" s="49"/>
      <c r="G2617" s="43"/>
      <c r="H2617" s="44"/>
      <c r="L2617" s="42"/>
      <c r="M2617" s="42"/>
      <c r="N2617" s="25"/>
      <c r="O2617" s="54"/>
      <c r="P2617"/>
      <c r="Q2617" s="25"/>
      <c r="R2617" s="54"/>
      <c r="W2617" s="23"/>
      <c r="X2617" s="23"/>
      <c r="Y2617" s="23"/>
      <c r="Z2617" s="43"/>
      <c r="AA2617" s="23"/>
      <c r="AB2617" s="23"/>
      <c r="AC2617" s="23"/>
      <c r="AD2617" s="23"/>
      <c r="AE2617" s="23"/>
      <c r="AF2617" s="23"/>
      <c r="AG2617" s="23"/>
      <c r="AH2617" s="23"/>
      <c r="AI2617" s="49"/>
    </row>
    <row r="2618" spans="1:35">
      <c r="A2618" s="23"/>
      <c r="B2618" s="42"/>
      <c r="C2618" s="49"/>
      <c r="E2618" s="49"/>
      <c r="G2618" s="43"/>
      <c r="H2618" s="44"/>
      <c r="L2618" s="42"/>
      <c r="M2618" s="42"/>
      <c r="N2618" s="25"/>
      <c r="O2618" s="54"/>
      <c r="P2618"/>
      <c r="Q2618" s="25"/>
      <c r="R2618" s="54"/>
      <c r="W2618" s="23"/>
      <c r="X2618" s="23"/>
      <c r="Y2618" s="23"/>
      <c r="Z2618" s="43"/>
      <c r="AA2618" s="23"/>
      <c r="AB2618" s="23"/>
      <c r="AC2618" s="23"/>
      <c r="AD2618" s="23"/>
      <c r="AE2618" s="23"/>
      <c r="AF2618" s="23"/>
      <c r="AG2618" s="23"/>
      <c r="AH2618" s="23"/>
      <c r="AI2618" s="49"/>
    </row>
    <row r="2619" spans="1:35">
      <c r="A2619" s="23"/>
      <c r="B2619" s="42"/>
      <c r="C2619" s="49"/>
      <c r="E2619" s="49"/>
      <c r="G2619" s="43"/>
      <c r="H2619" s="44"/>
      <c r="L2619" s="42"/>
      <c r="M2619" s="42"/>
      <c r="N2619" s="25"/>
      <c r="O2619" s="54"/>
      <c r="P2619"/>
      <c r="Q2619" s="25"/>
      <c r="R2619" s="54"/>
      <c r="W2619" s="23"/>
      <c r="X2619" s="23"/>
      <c r="Y2619" s="23"/>
      <c r="Z2619" s="43"/>
      <c r="AA2619" s="23"/>
      <c r="AB2619" s="23"/>
      <c r="AC2619" s="23"/>
      <c r="AD2619" s="23"/>
      <c r="AE2619" s="23"/>
      <c r="AF2619" s="23"/>
      <c r="AG2619" s="23"/>
      <c r="AH2619" s="23"/>
      <c r="AI2619" s="49"/>
    </row>
    <row r="2620" spans="1:35">
      <c r="A2620" s="23"/>
      <c r="B2620" s="42"/>
      <c r="C2620" s="49"/>
      <c r="E2620" s="49"/>
      <c r="G2620" s="43"/>
      <c r="H2620" s="44"/>
      <c r="L2620" s="42"/>
      <c r="M2620" s="42"/>
      <c r="N2620" s="25"/>
      <c r="O2620" s="54"/>
      <c r="P2620"/>
      <c r="Q2620" s="25"/>
      <c r="R2620" s="54"/>
      <c r="W2620" s="23"/>
      <c r="X2620" s="23"/>
      <c r="Y2620" s="23"/>
      <c r="Z2620" s="43"/>
      <c r="AA2620" s="23"/>
      <c r="AB2620" s="23"/>
      <c r="AC2620" s="23"/>
      <c r="AD2620" s="23"/>
      <c r="AE2620" s="23"/>
      <c r="AF2620" s="23"/>
      <c r="AG2620" s="23"/>
      <c r="AH2620" s="23"/>
      <c r="AI2620" s="49"/>
    </row>
    <row r="2621" spans="1:35">
      <c r="A2621" s="23"/>
      <c r="B2621" s="42"/>
      <c r="C2621" s="49"/>
      <c r="E2621" s="49"/>
      <c r="G2621" s="43"/>
      <c r="H2621" s="44"/>
      <c r="L2621" s="42"/>
      <c r="M2621" s="42"/>
      <c r="N2621" s="25"/>
      <c r="O2621" s="54"/>
      <c r="P2621"/>
      <c r="Q2621" s="25"/>
      <c r="R2621" s="54"/>
      <c r="W2621" s="23"/>
      <c r="X2621" s="23"/>
      <c r="Y2621" s="23"/>
      <c r="Z2621" s="43"/>
      <c r="AA2621" s="23"/>
      <c r="AB2621" s="23"/>
      <c r="AC2621" s="23"/>
      <c r="AD2621" s="23"/>
      <c r="AE2621" s="23"/>
      <c r="AF2621" s="23"/>
      <c r="AG2621" s="23"/>
      <c r="AH2621" s="23"/>
      <c r="AI2621" s="49"/>
    </row>
    <row r="2622" spans="1:35">
      <c r="A2622" s="23"/>
      <c r="B2622" s="42"/>
      <c r="C2622" s="49"/>
      <c r="E2622" s="49"/>
      <c r="G2622" s="43"/>
      <c r="H2622" s="44"/>
      <c r="L2622" s="42"/>
      <c r="M2622" s="42"/>
      <c r="N2622" s="25"/>
      <c r="O2622" s="54"/>
      <c r="P2622"/>
      <c r="Q2622" s="25"/>
      <c r="R2622" s="54"/>
      <c r="W2622" s="23"/>
      <c r="X2622" s="23"/>
      <c r="Y2622" s="23"/>
      <c r="Z2622" s="43"/>
      <c r="AA2622" s="23"/>
      <c r="AB2622" s="23"/>
      <c r="AC2622" s="23"/>
      <c r="AD2622" s="23"/>
      <c r="AE2622" s="23"/>
      <c r="AF2622" s="23"/>
      <c r="AG2622" s="23"/>
      <c r="AH2622" s="23"/>
      <c r="AI2622" s="49"/>
    </row>
    <row r="2623" spans="1:35">
      <c r="A2623" s="23"/>
      <c r="B2623" s="42"/>
      <c r="C2623" s="49"/>
      <c r="E2623" s="49"/>
      <c r="G2623" s="43"/>
      <c r="H2623" s="44"/>
      <c r="L2623" s="42"/>
      <c r="M2623" s="42"/>
      <c r="N2623" s="25"/>
      <c r="O2623" s="54"/>
      <c r="P2623"/>
      <c r="Q2623" s="25"/>
      <c r="R2623" s="54"/>
      <c r="W2623" s="23"/>
      <c r="X2623" s="23"/>
      <c r="Y2623" s="23"/>
      <c r="Z2623" s="43"/>
      <c r="AA2623" s="23"/>
      <c r="AB2623" s="23"/>
      <c r="AC2623" s="23"/>
      <c r="AD2623" s="23"/>
      <c r="AE2623" s="23"/>
      <c r="AF2623" s="23"/>
      <c r="AG2623" s="23"/>
      <c r="AH2623" s="23"/>
      <c r="AI2623" s="49"/>
    </row>
    <row r="2624" spans="1:35">
      <c r="A2624" s="23"/>
      <c r="B2624" s="42"/>
      <c r="C2624" s="49"/>
      <c r="E2624" s="49"/>
      <c r="G2624" s="43"/>
      <c r="H2624" s="44"/>
      <c r="L2624" s="42"/>
      <c r="M2624" s="42"/>
      <c r="N2624" s="25"/>
      <c r="O2624" s="54"/>
      <c r="P2624"/>
      <c r="Q2624" s="25"/>
      <c r="R2624" s="54"/>
      <c r="W2624" s="23"/>
      <c r="X2624" s="23"/>
      <c r="Y2624" s="23"/>
      <c r="Z2624" s="43"/>
      <c r="AA2624" s="23"/>
      <c r="AB2624" s="23"/>
      <c r="AC2624" s="23"/>
      <c r="AD2624" s="23"/>
      <c r="AE2624" s="23"/>
      <c r="AF2624" s="23"/>
      <c r="AG2624" s="23"/>
      <c r="AH2624" s="23"/>
      <c r="AI2624" s="49"/>
    </row>
    <row r="2625" spans="1:35">
      <c r="A2625" s="23"/>
      <c r="B2625" s="42"/>
      <c r="C2625" s="49"/>
      <c r="E2625" s="49"/>
      <c r="G2625" s="43"/>
      <c r="H2625" s="44"/>
      <c r="L2625" s="42"/>
      <c r="M2625" s="42"/>
      <c r="N2625" s="25"/>
      <c r="O2625" s="54"/>
      <c r="P2625"/>
      <c r="Q2625" s="25"/>
      <c r="R2625" s="54"/>
      <c r="W2625" s="23"/>
      <c r="X2625" s="23"/>
      <c r="Y2625" s="23"/>
      <c r="Z2625" s="43"/>
      <c r="AA2625" s="23"/>
      <c r="AB2625" s="23"/>
      <c r="AC2625" s="23"/>
      <c r="AD2625" s="23"/>
      <c r="AE2625" s="23"/>
      <c r="AF2625" s="23"/>
      <c r="AG2625" s="23"/>
      <c r="AH2625" s="23"/>
      <c r="AI2625" s="49"/>
    </row>
    <row r="2626" spans="1:35">
      <c r="A2626" s="23"/>
      <c r="B2626" s="42"/>
      <c r="C2626" s="49"/>
      <c r="E2626" s="49"/>
      <c r="G2626" s="43"/>
      <c r="H2626" s="44"/>
      <c r="L2626" s="42"/>
      <c r="M2626" s="42"/>
      <c r="N2626" s="25"/>
      <c r="O2626" s="54"/>
      <c r="P2626"/>
      <c r="Q2626" s="25"/>
      <c r="R2626" s="54"/>
      <c r="W2626" s="23"/>
      <c r="X2626" s="23"/>
      <c r="Y2626" s="23"/>
      <c r="Z2626" s="43"/>
      <c r="AA2626" s="23"/>
      <c r="AB2626" s="23"/>
      <c r="AC2626" s="23"/>
      <c r="AD2626" s="23"/>
      <c r="AE2626" s="23"/>
      <c r="AF2626" s="23"/>
      <c r="AG2626" s="23"/>
      <c r="AH2626" s="23"/>
      <c r="AI2626" s="49"/>
    </row>
    <row r="2627" spans="1:35">
      <c r="A2627" s="23"/>
      <c r="B2627" s="42"/>
      <c r="C2627" s="49"/>
      <c r="E2627" s="49"/>
      <c r="G2627" s="43"/>
      <c r="H2627" s="44"/>
      <c r="L2627" s="42"/>
      <c r="M2627" s="42"/>
      <c r="N2627" s="25"/>
      <c r="O2627" s="54"/>
      <c r="P2627"/>
      <c r="Q2627" s="25"/>
      <c r="R2627" s="54"/>
      <c r="W2627" s="23"/>
      <c r="X2627" s="23"/>
      <c r="Y2627" s="23"/>
      <c r="Z2627" s="43"/>
      <c r="AA2627" s="23"/>
      <c r="AB2627" s="23"/>
      <c r="AC2627" s="23"/>
      <c r="AD2627" s="23"/>
      <c r="AE2627" s="23"/>
      <c r="AF2627" s="23"/>
      <c r="AG2627" s="23"/>
      <c r="AH2627" s="23"/>
      <c r="AI2627" s="49"/>
    </row>
    <row r="2628" spans="1:35">
      <c r="A2628" s="23"/>
      <c r="B2628" s="42"/>
      <c r="C2628" s="49"/>
      <c r="E2628" s="49"/>
      <c r="G2628" s="43"/>
      <c r="H2628" s="44"/>
      <c r="L2628" s="42"/>
      <c r="M2628" s="42"/>
      <c r="N2628" s="25"/>
      <c r="O2628" s="54"/>
      <c r="P2628"/>
      <c r="Q2628" s="25"/>
      <c r="R2628" s="54"/>
      <c r="W2628" s="23"/>
      <c r="X2628" s="23"/>
      <c r="Y2628" s="23"/>
      <c r="Z2628" s="43"/>
      <c r="AA2628" s="23"/>
      <c r="AB2628" s="23"/>
      <c r="AC2628" s="23"/>
      <c r="AD2628" s="23"/>
      <c r="AE2628" s="23"/>
      <c r="AF2628" s="23"/>
      <c r="AG2628" s="23"/>
      <c r="AH2628" s="23"/>
      <c r="AI2628" s="49"/>
    </row>
    <row r="2629" spans="1:35">
      <c r="A2629" s="23"/>
      <c r="B2629" s="42"/>
      <c r="C2629" s="49"/>
      <c r="E2629" s="49"/>
      <c r="G2629" s="43"/>
      <c r="H2629" s="44"/>
      <c r="L2629" s="42"/>
      <c r="M2629" s="42"/>
      <c r="N2629" s="25"/>
      <c r="O2629" s="54"/>
      <c r="P2629"/>
      <c r="Q2629" s="25"/>
      <c r="R2629" s="54"/>
      <c r="W2629" s="23"/>
      <c r="X2629" s="23"/>
      <c r="Y2629" s="23"/>
      <c r="Z2629" s="43"/>
      <c r="AA2629" s="23"/>
      <c r="AB2629" s="23"/>
      <c r="AC2629" s="23"/>
      <c r="AD2629" s="23"/>
      <c r="AE2629" s="23"/>
      <c r="AF2629" s="23"/>
      <c r="AG2629" s="23"/>
      <c r="AH2629" s="23"/>
      <c r="AI2629" s="49"/>
    </row>
    <row r="2630" spans="1:35">
      <c r="A2630" s="23"/>
      <c r="B2630" s="42"/>
      <c r="C2630" s="49"/>
      <c r="E2630" s="49"/>
      <c r="G2630" s="43"/>
      <c r="H2630" s="44"/>
      <c r="L2630" s="42"/>
      <c r="M2630" s="42"/>
      <c r="N2630" s="25"/>
      <c r="O2630" s="54"/>
      <c r="P2630"/>
      <c r="Q2630" s="25"/>
      <c r="R2630" s="54"/>
      <c r="W2630" s="23"/>
      <c r="X2630" s="23"/>
      <c r="Y2630" s="23"/>
      <c r="Z2630" s="43"/>
      <c r="AA2630" s="23"/>
      <c r="AB2630" s="23"/>
      <c r="AC2630" s="23"/>
      <c r="AD2630" s="23"/>
      <c r="AE2630" s="23"/>
      <c r="AF2630" s="23"/>
      <c r="AG2630" s="23"/>
      <c r="AH2630" s="23"/>
      <c r="AI2630" s="49"/>
    </row>
    <row r="2631" spans="1:35">
      <c r="A2631" s="23"/>
      <c r="B2631" s="42"/>
      <c r="C2631" s="49"/>
      <c r="E2631" s="49"/>
      <c r="G2631" s="43"/>
      <c r="H2631" s="44"/>
      <c r="L2631" s="42"/>
      <c r="M2631" s="42"/>
      <c r="N2631" s="25"/>
      <c r="O2631" s="54"/>
      <c r="P2631"/>
      <c r="Q2631" s="25"/>
      <c r="R2631" s="54"/>
      <c r="W2631" s="23"/>
      <c r="X2631" s="23"/>
      <c r="Y2631" s="23"/>
      <c r="Z2631" s="43"/>
      <c r="AA2631" s="23"/>
      <c r="AB2631" s="23"/>
      <c r="AC2631" s="23"/>
      <c r="AD2631" s="23"/>
      <c r="AE2631" s="23"/>
      <c r="AF2631" s="23"/>
      <c r="AG2631" s="23"/>
      <c r="AH2631" s="23"/>
      <c r="AI2631" s="49"/>
    </row>
    <row r="2632" spans="1:35">
      <c r="A2632" s="23"/>
      <c r="B2632" s="42"/>
      <c r="C2632" s="49"/>
      <c r="E2632" s="49"/>
      <c r="G2632" s="43"/>
      <c r="H2632" s="44"/>
      <c r="L2632" s="42"/>
      <c r="M2632" s="42"/>
      <c r="N2632" s="25"/>
      <c r="O2632" s="54"/>
      <c r="P2632"/>
      <c r="Q2632" s="25"/>
      <c r="R2632" s="54"/>
      <c r="W2632" s="23"/>
      <c r="X2632" s="23"/>
      <c r="Y2632" s="23"/>
      <c r="Z2632" s="43"/>
      <c r="AA2632" s="23"/>
      <c r="AB2632" s="23"/>
      <c r="AC2632" s="23"/>
      <c r="AD2632" s="23"/>
      <c r="AE2632" s="23"/>
      <c r="AF2632" s="23"/>
      <c r="AG2632" s="23"/>
      <c r="AH2632" s="23"/>
      <c r="AI2632" s="49"/>
    </row>
    <row r="2633" spans="1:35">
      <c r="A2633" s="23"/>
      <c r="B2633" s="42"/>
      <c r="C2633" s="49"/>
      <c r="E2633" s="49"/>
      <c r="G2633" s="43"/>
      <c r="H2633" s="44"/>
      <c r="L2633" s="42"/>
      <c r="M2633" s="42"/>
      <c r="N2633" s="25"/>
      <c r="O2633" s="54"/>
      <c r="P2633"/>
      <c r="Q2633" s="25"/>
      <c r="R2633" s="54"/>
      <c r="W2633" s="23"/>
      <c r="X2633" s="23"/>
      <c r="Y2633" s="23"/>
      <c r="Z2633" s="43"/>
      <c r="AA2633" s="23"/>
      <c r="AB2633" s="23"/>
      <c r="AC2633" s="23"/>
      <c r="AD2633" s="23"/>
      <c r="AE2633" s="23"/>
      <c r="AF2633" s="23"/>
      <c r="AG2633" s="23"/>
      <c r="AH2633" s="23"/>
      <c r="AI2633" s="49"/>
    </row>
    <row r="2634" spans="1:35">
      <c r="A2634" s="23"/>
      <c r="B2634" s="42"/>
      <c r="C2634" s="49"/>
      <c r="E2634" s="49"/>
      <c r="G2634" s="43"/>
      <c r="H2634" s="44"/>
      <c r="L2634" s="42"/>
      <c r="M2634" s="42"/>
      <c r="N2634" s="25"/>
      <c r="O2634" s="54"/>
      <c r="P2634"/>
      <c r="Q2634" s="25"/>
      <c r="R2634" s="54"/>
      <c r="W2634" s="23"/>
      <c r="X2634" s="23"/>
      <c r="Y2634" s="23"/>
      <c r="Z2634" s="43"/>
      <c r="AA2634" s="23"/>
      <c r="AB2634" s="23"/>
      <c r="AC2634" s="23"/>
      <c r="AD2634" s="23"/>
      <c r="AE2634" s="23"/>
      <c r="AF2634" s="23"/>
      <c r="AG2634" s="23"/>
      <c r="AH2634" s="23"/>
      <c r="AI2634" s="49"/>
    </row>
    <row r="2635" spans="1:35">
      <c r="A2635" s="23"/>
      <c r="B2635" s="42"/>
      <c r="C2635" s="49"/>
      <c r="E2635" s="49"/>
      <c r="G2635" s="43"/>
      <c r="H2635" s="44"/>
      <c r="L2635" s="42"/>
      <c r="M2635" s="42"/>
      <c r="N2635" s="25"/>
      <c r="O2635" s="54"/>
      <c r="P2635"/>
      <c r="Q2635" s="25"/>
      <c r="R2635" s="54"/>
      <c r="W2635" s="23"/>
      <c r="X2635" s="23"/>
      <c r="Y2635" s="23"/>
      <c r="Z2635" s="43"/>
      <c r="AA2635" s="23"/>
      <c r="AB2635" s="23"/>
      <c r="AC2635" s="23"/>
      <c r="AD2635" s="23"/>
      <c r="AE2635" s="23"/>
      <c r="AF2635" s="23"/>
      <c r="AG2635" s="23"/>
      <c r="AH2635" s="23"/>
      <c r="AI2635" s="49"/>
    </row>
    <row r="2636" spans="1:35">
      <c r="A2636" s="23"/>
      <c r="B2636" s="42"/>
      <c r="C2636" s="49"/>
      <c r="E2636" s="49"/>
      <c r="G2636" s="43"/>
      <c r="H2636" s="44"/>
      <c r="L2636" s="42"/>
      <c r="M2636" s="42"/>
      <c r="N2636" s="25"/>
      <c r="O2636" s="54"/>
      <c r="P2636"/>
      <c r="Q2636" s="25"/>
      <c r="R2636" s="54"/>
      <c r="W2636" s="23"/>
      <c r="X2636" s="23"/>
      <c r="Y2636" s="23"/>
      <c r="Z2636" s="43"/>
      <c r="AA2636" s="23"/>
      <c r="AB2636" s="23"/>
      <c r="AC2636" s="23"/>
      <c r="AD2636" s="23"/>
      <c r="AE2636" s="23"/>
      <c r="AF2636" s="23"/>
      <c r="AG2636" s="23"/>
      <c r="AH2636" s="23"/>
      <c r="AI2636" s="49"/>
    </row>
    <row r="2637" spans="1:35">
      <c r="A2637" s="23"/>
      <c r="B2637" s="42"/>
      <c r="C2637" s="49"/>
      <c r="E2637" s="49"/>
      <c r="G2637" s="43"/>
      <c r="H2637" s="44"/>
      <c r="L2637" s="42"/>
      <c r="M2637" s="42"/>
      <c r="N2637" s="25"/>
      <c r="O2637" s="54"/>
      <c r="P2637"/>
      <c r="Q2637" s="25"/>
      <c r="R2637" s="54"/>
      <c r="W2637" s="23"/>
      <c r="X2637" s="23"/>
      <c r="Y2637" s="23"/>
      <c r="Z2637" s="43"/>
      <c r="AA2637" s="23"/>
      <c r="AB2637" s="23"/>
      <c r="AC2637" s="23"/>
      <c r="AD2637" s="23"/>
      <c r="AE2637" s="23"/>
      <c r="AF2637" s="23"/>
      <c r="AG2637" s="23"/>
      <c r="AH2637" s="23"/>
      <c r="AI2637" s="49"/>
    </row>
    <row r="2638" spans="1:35">
      <c r="A2638" s="23"/>
      <c r="B2638" s="42"/>
      <c r="C2638" s="49"/>
      <c r="E2638" s="49"/>
      <c r="G2638" s="43"/>
      <c r="H2638" s="44"/>
      <c r="L2638" s="42"/>
      <c r="M2638" s="42"/>
      <c r="N2638" s="25"/>
      <c r="O2638" s="54"/>
      <c r="P2638"/>
      <c r="Q2638" s="25"/>
      <c r="R2638" s="54"/>
      <c r="W2638" s="23"/>
      <c r="X2638" s="23"/>
      <c r="Y2638" s="23"/>
      <c r="Z2638" s="43"/>
      <c r="AA2638" s="23"/>
      <c r="AB2638" s="23"/>
      <c r="AC2638" s="23"/>
      <c r="AD2638" s="23"/>
      <c r="AE2638" s="23"/>
      <c r="AF2638" s="23"/>
      <c r="AG2638" s="23"/>
      <c r="AH2638" s="23"/>
      <c r="AI2638" s="49"/>
    </row>
    <row r="2639" spans="1:35">
      <c r="A2639" s="23"/>
      <c r="B2639" s="42"/>
      <c r="C2639" s="49"/>
      <c r="E2639" s="49"/>
      <c r="G2639" s="43"/>
      <c r="H2639" s="44"/>
      <c r="L2639" s="42"/>
      <c r="M2639" s="42"/>
      <c r="N2639" s="25"/>
      <c r="O2639" s="54"/>
      <c r="P2639"/>
      <c r="Q2639" s="25"/>
      <c r="R2639" s="54"/>
      <c r="W2639" s="23"/>
      <c r="X2639" s="23"/>
      <c r="Y2639" s="23"/>
      <c r="Z2639" s="43"/>
      <c r="AA2639" s="23"/>
      <c r="AB2639" s="23"/>
      <c r="AC2639" s="23"/>
      <c r="AD2639" s="23"/>
      <c r="AE2639" s="23"/>
      <c r="AF2639" s="23"/>
      <c r="AG2639" s="23"/>
      <c r="AH2639" s="23"/>
      <c r="AI2639" s="49"/>
    </row>
    <row r="2640" spans="1:35">
      <c r="B2640" s="42"/>
      <c r="G2640" s="43"/>
      <c r="H2640" s="44"/>
      <c r="L2640" s="42"/>
      <c r="M2640" s="42"/>
      <c r="N2640" s="25"/>
      <c r="O2640" s="54"/>
      <c r="P2640"/>
      <c r="Q2640" s="25"/>
      <c r="R2640" s="54"/>
      <c r="W2640" s="23"/>
      <c r="X2640" s="23"/>
      <c r="Y2640" s="23"/>
      <c r="Z2640" s="43"/>
      <c r="AA2640" s="23"/>
      <c r="AB2640" s="23"/>
      <c r="AC2640" s="23"/>
      <c r="AD2640" s="23"/>
      <c r="AE2640" s="23"/>
      <c r="AF2640" s="23"/>
      <c r="AG2640" s="23"/>
      <c r="AH2640" s="23"/>
      <c r="AI2640" s="48"/>
    </row>
    <row r="2641" spans="1:35">
      <c r="B2641" s="42"/>
      <c r="G2641" s="43"/>
      <c r="H2641" s="44"/>
      <c r="L2641" s="42"/>
      <c r="M2641" s="42"/>
      <c r="N2641" s="25"/>
      <c r="O2641" s="54"/>
      <c r="P2641"/>
      <c r="Q2641" s="25"/>
      <c r="R2641" s="54"/>
      <c r="W2641" s="23"/>
      <c r="X2641" s="23"/>
      <c r="Y2641" s="23"/>
      <c r="Z2641" s="43"/>
      <c r="AA2641" s="23"/>
      <c r="AB2641" s="23"/>
      <c r="AC2641" s="23"/>
      <c r="AD2641" s="23"/>
      <c r="AE2641" s="23"/>
      <c r="AF2641" s="23"/>
      <c r="AG2641" s="23"/>
      <c r="AH2641" s="23"/>
      <c r="AI2641" s="48"/>
    </row>
    <row r="2642" spans="1:35">
      <c r="B2642" s="42"/>
      <c r="G2642" s="43"/>
      <c r="H2642" s="44"/>
      <c r="L2642" s="42"/>
      <c r="M2642" s="42"/>
      <c r="N2642" s="25"/>
      <c r="O2642" s="54"/>
      <c r="P2642"/>
      <c r="Q2642" s="25"/>
      <c r="R2642" s="54"/>
      <c r="W2642" s="23"/>
      <c r="X2642" s="23"/>
      <c r="Y2642" s="23"/>
      <c r="Z2642" s="43"/>
      <c r="AA2642" s="23"/>
      <c r="AB2642" s="23"/>
      <c r="AC2642" s="23"/>
      <c r="AD2642" s="23"/>
      <c r="AE2642" s="23"/>
      <c r="AF2642" s="23"/>
      <c r="AG2642" s="23"/>
      <c r="AH2642" s="23"/>
      <c r="AI2642" s="48"/>
    </row>
    <row r="2643" spans="1:35">
      <c r="B2643" s="42"/>
      <c r="G2643" s="43"/>
      <c r="H2643" s="44"/>
      <c r="L2643" s="42"/>
      <c r="M2643" s="42"/>
      <c r="N2643" s="25"/>
      <c r="O2643" s="54"/>
      <c r="P2643"/>
      <c r="Q2643" s="25"/>
      <c r="R2643" s="54"/>
      <c r="W2643" s="23"/>
      <c r="X2643" s="23"/>
      <c r="Y2643" s="23"/>
      <c r="Z2643" s="43"/>
      <c r="AA2643" s="23"/>
      <c r="AB2643" s="23"/>
      <c r="AC2643" s="23"/>
      <c r="AD2643" s="23"/>
      <c r="AE2643" s="23"/>
      <c r="AF2643" s="23"/>
      <c r="AG2643" s="23"/>
      <c r="AH2643" s="23"/>
      <c r="AI2643" s="48"/>
    </row>
    <row r="2644" spans="1:35">
      <c r="B2644" s="42"/>
      <c r="G2644" s="43"/>
      <c r="H2644" s="44"/>
      <c r="L2644" s="42"/>
      <c r="M2644" s="42"/>
      <c r="N2644" s="25"/>
      <c r="O2644" s="54"/>
      <c r="P2644"/>
      <c r="Q2644" s="25"/>
      <c r="R2644" s="54"/>
      <c r="W2644" s="23"/>
      <c r="X2644" s="23"/>
      <c r="Y2644" s="23"/>
      <c r="Z2644" s="43"/>
      <c r="AA2644" s="23"/>
      <c r="AB2644" s="23"/>
      <c r="AC2644" s="23"/>
      <c r="AD2644" s="23"/>
      <c r="AE2644" s="23"/>
      <c r="AF2644" s="23"/>
      <c r="AG2644" s="23"/>
      <c r="AH2644" s="23"/>
      <c r="AI2644" s="48"/>
    </row>
    <row r="2645" spans="1:35">
      <c r="A2645" s="45"/>
      <c r="B2645" s="42"/>
      <c r="C2645" s="45"/>
      <c r="E2645" s="45"/>
      <c r="G2645" s="43"/>
      <c r="H2645" s="44"/>
      <c r="L2645" s="42"/>
      <c r="M2645" s="42"/>
      <c r="N2645" s="25"/>
      <c r="O2645" s="54"/>
      <c r="P2645"/>
      <c r="Q2645" s="25"/>
      <c r="R2645" s="54"/>
      <c r="W2645" s="23"/>
      <c r="X2645" s="23"/>
      <c r="Y2645" s="23"/>
      <c r="Z2645" s="43"/>
      <c r="AA2645" s="23"/>
      <c r="AB2645" s="23"/>
      <c r="AC2645" s="23"/>
      <c r="AD2645" s="23"/>
      <c r="AE2645" s="23"/>
      <c r="AF2645" s="23"/>
      <c r="AG2645" s="23"/>
      <c r="AH2645" s="23"/>
      <c r="AI2645" s="48"/>
    </row>
    <row r="2646" spans="1:35">
      <c r="A2646" s="45"/>
      <c r="B2646" s="42"/>
      <c r="C2646" s="45"/>
      <c r="E2646" s="45"/>
      <c r="G2646" s="43"/>
      <c r="H2646" s="44"/>
      <c r="L2646" s="42"/>
      <c r="M2646" s="42"/>
      <c r="N2646" s="25"/>
      <c r="O2646" s="54"/>
      <c r="P2646"/>
      <c r="Q2646" s="25"/>
      <c r="R2646" s="54"/>
      <c r="W2646" s="23"/>
      <c r="X2646" s="23"/>
      <c r="Y2646" s="23"/>
      <c r="Z2646" s="43"/>
      <c r="AA2646" s="23"/>
      <c r="AB2646" s="23"/>
      <c r="AC2646" s="23"/>
      <c r="AD2646" s="23"/>
      <c r="AE2646" s="23"/>
      <c r="AF2646" s="23"/>
      <c r="AG2646" s="23"/>
      <c r="AH2646" s="23"/>
      <c r="AI2646" s="48"/>
    </row>
    <row r="2647" spans="1:35">
      <c r="A2647" s="45"/>
      <c r="B2647" s="42"/>
      <c r="C2647" s="45"/>
      <c r="E2647" s="45"/>
      <c r="G2647" s="43"/>
      <c r="H2647" s="44"/>
      <c r="L2647" s="42"/>
      <c r="M2647" s="42"/>
      <c r="N2647" s="25"/>
      <c r="O2647" s="54"/>
      <c r="P2647"/>
      <c r="Q2647" s="25"/>
      <c r="R2647" s="54"/>
      <c r="W2647" s="23"/>
      <c r="X2647" s="23"/>
      <c r="Y2647" s="23"/>
      <c r="Z2647" s="43"/>
      <c r="AA2647" s="23"/>
      <c r="AB2647" s="23"/>
      <c r="AC2647" s="23"/>
      <c r="AD2647" s="23"/>
      <c r="AE2647" s="23"/>
      <c r="AF2647" s="23"/>
      <c r="AG2647" s="23"/>
      <c r="AH2647" s="23"/>
      <c r="AI2647" s="48"/>
    </row>
    <row r="2648" spans="1:35">
      <c r="A2648" s="45"/>
      <c r="B2648" s="42"/>
      <c r="C2648" s="45"/>
      <c r="E2648" s="45"/>
      <c r="G2648" s="43"/>
      <c r="H2648" s="44"/>
      <c r="L2648" s="42"/>
      <c r="M2648" s="42"/>
      <c r="N2648" s="25"/>
      <c r="O2648" s="54"/>
      <c r="P2648"/>
      <c r="Q2648" s="25"/>
      <c r="R2648" s="54"/>
      <c r="W2648" s="23"/>
      <c r="X2648" s="23"/>
      <c r="Y2648" s="23"/>
      <c r="Z2648" s="43"/>
      <c r="AA2648" s="23"/>
      <c r="AB2648" s="23"/>
      <c r="AC2648" s="23"/>
      <c r="AD2648" s="23"/>
      <c r="AE2648" s="23"/>
      <c r="AF2648" s="23"/>
      <c r="AG2648" s="23"/>
      <c r="AH2648" s="23"/>
      <c r="AI2648" s="48"/>
    </row>
    <row r="2649" spans="1:35">
      <c r="A2649" s="45"/>
      <c r="B2649" s="42"/>
      <c r="C2649" s="45"/>
      <c r="E2649" s="45"/>
      <c r="G2649" s="43"/>
      <c r="H2649" s="44"/>
      <c r="L2649" s="42"/>
      <c r="M2649" s="42"/>
      <c r="N2649" s="25"/>
      <c r="O2649" s="54"/>
      <c r="P2649"/>
      <c r="Q2649" s="25"/>
      <c r="R2649" s="54"/>
      <c r="W2649" s="23"/>
      <c r="X2649" s="23"/>
      <c r="Y2649" s="23"/>
      <c r="Z2649" s="43"/>
      <c r="AA2649" s="23"/>
      <c r="AB2649" s="23"/>
      <c r="AC2649" s="23"/>
      <c r="AD2649" s="23"/>
      <c r="AE2649" s="23"/>
      <c r="AF2649" s="23"/>
      <c r="AG2649" s="23"/>
      <c r="AH2649" s="23"/>
      <c r="AI2649" s="48"/>
    </row>
    <row r="2650" spans="1:35">
      <c r="A2650" s="45"/>
      <c r="B2650" s="42"/>
      <c r="C2650" s="45"/>
      <c r="E2650" s="45"/>
      <c r="G2650" s="43"/>
      <c r="H2650" s="44"/>
      <c r="L2650" s="42"/>
      <c r="M2650" s="42"/>
      <c r="N2650" s="25"/>
      <c r="O2650" s="54"/>
      <c r="P2650"/>
      <c r="Q2650" s="25"/>
      <c r="R2650" s="54"/>
      <c r="W2650" s="23"/>
      <c r="X2650" s="23"/>
      <c r="Y2650" s="23"/>
      <c r="Z2650" s="43"/>
      <c r="AA2650" s="23"/>
      <c r="AB2650" s="23"/>
      <c r="AC2650" s="23"/>
      <c r="AD2650" s="23"/>
      <c r="AE2650" s="23"/>
      <c r="AF2650" s="23"/>
      <c r="AG2650" s="23"/>
      <c r="AH2650" s="23"/>
      <c r="AI2650" s="48"/>
    </row>
    <row r="2651" spans="1:35">
      <c r="A2651" s="45"/>
      <c r="B2651" s="42"/>
      <c r="C2651" s="45"/>
      <c r="E2651" s="45"/>
      <c r="G2651" s="43"/>
      <c r="H2651" s="44"/>
      <c r="L2651" s="42"/>
      <c r="M2651" s="42"/>
      <c r="N2651" s="25"/>
      <c r="O2651" s="54"/>
      <c r="P2651"/>
      <c r="Q2651" s="25"/>
      <c r="R2651" s="54"/>
      <c r="W2651" s="23"/>
      <c r="X2651" s="23"/>
      <c r="Y2651" s="23"/>
      <c r="Z2651" s="43"/>
      <c r="AA2651" s="23"/>
      <c r="AB2651" s="23"/>
      <c r="AC2651" s="23"/>
      <c r="AD2651" s="23"/>
      <c r="AE2651" s="23"/>
      <c r="AF2651" s="23"/>
      <c r="AG2651" s="23"/>
      <c r="AH2651" s="23"/>
      <c r="AI2651" s="48"/>
    </row>
    <row r="2652" spans="1:35">
      <c r="A2652" s="45"/>
      <c r="B2652" s="42"/>
      <c r="C2652" s="45"/>
      <c r="E2652" s="45"/>
      <c r="G2652" s="43"/>
      <c r="H2652" s="44"/>
      <c r="L2652" s="42"/>
      <c r="M2652" s="42"/>
      <c r="N2652" s="25"/>
      <c r="O2652" s="54"/>
      <c r="P2652"/>
      <c r="Q2652" s="25"/>
      <c r="R2652" s="54"/>
      <c r="W2652" s="23"/>
      <c r="X2652" s="23"/>
      <c r="Y2652" s="23"/>
      <c r="Z2652" s="43"/>
      <c r="AA2652" s="23"/>
      <c r="AB2652" s="23"/>
      <c r="AC2652" s="23"/>
      <c r="AD2652" s="23"/>
      <c r="AE2652" s="23"/>
      <c r="AF2652" s="23"/>
      <c r="AG2652" s="23"/>
      <c r="AH2652" s="23"/>
      <c r="AI2652" s="48"/>
    </row>
    <row r="2653" spans="1:35">
      <c r="A2653" s="45"/>
      <c r="B2653" s="42"/>
      <c r="C2653" s="45"/>
      <c r="E2653" s="45"/>
      <c r="G2653" s="43"/>
      <c r="H2653" s="44"/>
      <c r="L2653" s="42"/>
      <c r="M2653" s="42"/>
      <c r="N2653" s="25"/>
      <c r="O2653" s="54"/>
      <c r="P2653"/>
      <c r="Q2653" s="25"/>
      <c r="R2653" s="54"/>
      <c r="W2653" s="23"/>
      <c r="X2653" s="23"/>
      <c r="Y2653" s="23"/>
      <c r="Z2653" s="43"/>
      <c r="AA2653" s="23"/>
      <c r="AB2653" s="23"/>
      <c r="AC2653" s="23"/>
      <c r="AD2653" s="23"/>
      <c r="AE2653" s="23"/>
      <c r="AF2653" s="23"/>
      <c r="AG2653" s="23"/>
      <c r="AH2653" s="23"/>
      <c r="AI2653" s="48"/>
    </row>
    <row r="2654" spans="1:35">
      <c r="A2654" s="45"/>
      <c r="B2654" s="42"/>
      <c r="C2654" s="45"/>
      <c r="E2654" s="45"/>
      <c r="G2654" s="43"/>
      <c r="H2654" s="44"/>
      <c r="L2654" s="42"/>
      <c r="M2654" s="42"/>
      <c r="N2654" s="25"/>
      <c r="O2654" s="54"/>
      <c r="P2654"/>
      <c r="Q2654" s="25"/>
      <c r="R2654" s="54"/>
      <c r="W2654" s="23"/>
      <c r="X2654" s="23"/>
      <c r="Y2654" s="23"/>
      <c r="Z2654" s="43"/>
      <c r="AA2654" s="23"/>
      <c r="AB2654" s="23"/>
      <c r="AC2654" s="23"/>
      <c r="AD2654" s="23"/>
      <c r="AE2654" s="23"/>
      <c r="AF2654" s="23"/>
      <c r="AG2654" s="23"/>
      <c r="AH2654" s="23"/>
      <c r="AI2654" s="48"/>
    </row>
    <row r="2655" spans="1:35">
      <c r="A2655" s="45"/>
      <c r="B2655" s="42"/>
      <c r="C2655" s="45"/>
      <c r="E2655" s="45"/>
      <c r="G2655" s="43"/>
      <c r="H2655" s="44"/>
      <c r="L2655" s="42"/>
      <c r="M2655" s="42"/>
      <c r="N2655" s="25"/>
      <c r="O2655" s="54"/>
      <c r="P2655"/>
      <c r="Q2655" s="25"/>
      <c r="R2655" s="54"/>
      <c r="W2655" s="23"/>
      <c r="X2655" s="23"/>
      <c r="Y2655" s="23"/>
      <c r="Z2655" s="43"/>
      <c r="AA2655" s="23"/>
      <c r="AB2655" s="23"/>
      <c r="AC2655" s="23"/>
      <c r="AD2655" s="23"/>
      <c r="AE2655" s="23"/>
      <c r="AF2655" s="23"/>
      <c r="AG2655" s="23"/>
      <c r="AH2655" s="23"/>
      <c r="AI2655" s="48"/>
    </row>
    <row r="2656" spans="1:35">
      <c r="A2656" s="45"/>
      <c r="B2656" s="42"/>
      <c r="C2656" s="45"/>
      <c r="E2656" s="45"/>
      <c r="G2656" s="43"/>
      <c r="H2656" s="44"/>
      <c r="L2656" s="42"/>
      <c r="M2656" s="42"/>
      <c r="N2656" s="25"/>
      <c r="O2656" s="54"/>
      <c r="P2656"/>
      <c r="Q2656" s="25"/>
      <c r="R2656" s="54"/>
      <c r="W2656" s="23"/>
      <c r="X2656" s="23"/>
      <c r="Y2656" s="23"/>
      <c r="Z2656" s="43"/>
      <c r="AA2656" s="23"/>
      <c r="AB2656" s="23"/>
      <c r="AC2656" s="23"/>
      <c r="AD2656" s="23"/>
      <c r="AE2656" s="23"/>
      <c r="AF2656" s="23"/>
      <c r="AG2656" s="23"/>
      <c r="AH2656" s="23"/>
      <c r="AI2656" s="48"/>
    </row>
    <row r="2657" spans="1:35">
      <c r="A2657" s="45"/>
      <c r="B2657" s="42"/>
      <c r="C2657" s="45"/>
      <c r="E2657" s="45"/>
      <c r="G2657" s="43"/>
      <c r="H2657" s="44"/>
      <c r="L2657" s="42"/>
      <c r="M2657" s="42"/>
      <c r="N2657" s="25"/>
      <c r="O2657" s="54"/>
      <c r="P2657"/>
      <c r="Q2657" s="25"/>
      <c r="R2657" s="54"/>
      <c r="W2657" s="23"/>
      <c r="X2657" s="23"/>
      <c r="Y2657" s="23"/>
      <c r="Z2657" s="43"/>
      <c r="AA2657" s="23"/>
      <c r="AB2657" s="23"/>
      <c r="AC2657" s="23"/>
      <c r="AD2657" s="23"/>
      <c r="AE2657" s="23"/>
      <c r="AF2657" s="23"/>
      <c r="AG2657" s="23"/>
      <c r="AH2657" s="23"/>
      <c r="AI2657" s="48"/>
    </row>
    <row r="2658" spans="1:35">
      <c r="A2658" s="45"/>
      <c r="B2658" s="42"/>
      <c r="C2658" s="45"/>
      <c r="E2658" s="45"/>
      <c r="G2658" s="43"/>
      <c r="H2658" s="44"/>
      <c r="L2658" s="42"/>
      <c r="M2658" s="42"/>
      <c r="N2658" s="25"/>
      <c r="O2658" s="54"/>
      <c r="P2658"/>
      <c r="Q2658" s="25"/>
      <c r="R2658" s="54"/>
      <c r="W2658" s="23"/>
      <c r="X2658" s="23"/>
      <c r="Y2658" s="23"/>
      <c r="Z2658" s="43"/>
      <c r="AA2658" s="23"/>
      <c r="AB2658" s="23"/>
      <c r="AC2658" s="23"/>
      <c r="AD2658" s="23"/>
      <c r="AE2658" s="23"/>
      <c r="AF2658" s="23"/>
      <c r="AG2658" s="23"/>
      <c r="AH2658" s="23"/>
      <c r="AI2658" s="48"/>
    </row>
    <row r="2659" spans="1:35">
      <c r="A2659" s="45"/>
      <c r="B2659" s="42"/>
      <c r="C2659" s="45"/>
      <c r="E2659" s="45"/>
      <c r="G2659" s="43"/>
      <c r="H2659" s="44"/>
      <c r="L2659" s="42"/>
      <c r="M2659" s="42"/>
      <c r="N2659" s="25"/>
      <c r="O2659" s="54"/>
      <c r="P2659"/>
      <c r="Q2659" s="25"/>
      <c r="R2659" s="54"/>
      <c r="W2659" s="23"/>
      <c r="X2659" s="23"/>
      <c r="Y2659" s="23"/>
      <c r="Z2659" s="43"/>
      <c r="AA2659" s="23"/>
      <c r="AB2659" s="23"/>
      <c r="AC2659" s="23"/>
      <c r="AD2659" s="23"/>
      <c r="AE2659" s="23"/>
      <c r="AF2659" s="23"/>
      <c r="AG2659" s="23"/>
      <c r="AH2659" s="23"/>
      <c r="AI2659" s="48"/>
    </row>
    <row r="2660" spans="1:35">
      <c r="B2660" s="42"/>
      <c r="G2660" s="43"/>
      <c r="H2660" s="44"/>
      <c r="L2660" s="42"/>
      <c r="M2660" s="42"/>
      <c r="N2660" s="25"/>
      <c r="O2660" s="54"/>
      <c r="P2660"/>
      <c r="Q2660" s="25"/>
      <c r="R2660" s="54"/>
      <c r="W2660" s="23"/>
      <c r="X2660" s="23"/>
      <c r="Y2660" s="23"/>
      <c r="Z2660" s="43"/>
      <c r="AA2660" s="23"/>
      <c r="AB2660" s="23"/>
      <c r="AC2660" s="23"/>
      <c r="AD2660" s="23"/>
      <c r="AE2660" s="23"/>
      <c r="AF2660" s="23"/>
      <c r="AG2660" s="23"/>
      <c r="AH2660" s="23"/>
      <c r="AI2660" s="48"/>
    </row>
    <row r="2661" spans="1:35">
      <c r="B2661" s="42"/>
      <c r="G2661" s="43"/>
      <c r="H2661" s="44"/>
      <c r="L2661" s="42"/>
      <c r="M2661" s="42"/>
      <c r="N2661" s="25"/>
      <c r="O2661" s="54"/>
      <c r="P2661"/>
      <c r="Q2661" s="25"/>
      <c r="R2661" s="54"/>
      <c r="W2661" s="23"/>
      <c r="X2661" s="23"/>
      <c r="Y2661" s="23"/>
      <c r="Z2661" s="43"/>
      <c r="AA2661" s="23"/>
      <c r="AB2661" s="23"/>
      <c r="AC2661" s="23"/>
      <c r="AD2661" s="23"/>
      <c r="AE2661" s="23"/>
      <c r="AF2661" s="23"/>
      <c r="AG2661" s="23"/>
      <c r="AH2661" s="23"/>
      <c r="AI2661" s="48"/>
    </row>
    <row r="2662" spans="1:35">
      <c r="B2662" s="42"/>
      <c r="G2662" s="43"/>
      <c r="H2662" s="44"/>
      <c r="L2662" s="42"/>
      <c r="M2662" s="42"/>
      <c r="N2662" s="25"/>
      <c r="O2662" s="54"/>
      <c r="P2662"/>
      <c r="Q2662" s="25"/>
      <c r="R2662" s="54"/>
      <c r="W2662" s="23"/>
      <c r="X2662" s="23"/>
      <c r="Y2662" s="23"/>
      <c r="Z2662" s="43"/>
      <c r="AA2662" s="23"/>
      <c r="AB2662" s="23"/>
      <c r="AC2662" s="23"/>
      <c r="AD2662" s="23"/>
      <c r="AE2662" s="23"/>
      <c r="AF2662" s="23"/>
      <c r="AG2662" s="23"/>
      <c r="AH2662" s="23"/>
      <c r="AI2662" s="48"/>
    </row>
    <row r="2663" spans="1:35">
      <c r="B2663" s="42"/>
      <c r="G2663" s="43"/>
      <c r="H2663" s="44"/>
      <c r="L2663" s="42"/>
      <c r="M2663" s="42"/>
      <c r="N2663" s="25"/>
      <c r="O2663" s="54"/>
      <c r="P2663"/>
      <c r="Q2663" s="25"/>
      <c r="R2663" s="54"/>
      <c r="W2663" s="23"/>
      <c r="X2663" s="23"/>
      <c r="Y2663" s="23"/>
      <c r="Z2663" s="43"/>
      <c r="AA2663" s="23"/>
      <c r="AB2663" s="23"/>
      <c r="AC2663" s="23"/>
      <c r="AD2663" s="23"/>
      <c r="AE2663" s="23"/>
      <c r="AF2663" s="23"/>
      <c r="AG2663" s="23"/>
      <c r="AH2663" s="23"/>
      <c r="AI2663" s="48"/>
    </row>
    <row r="2664" spans="1:35">
      <c r="B2664" s="42"/>
      <c r="G2664" s="43"/>
      <c r="H2664" s="44"/>
      <c r="L2664" s="42"/>
      <c r="M2664" s="42"/>
      <c r="N2664" s="25"/>
      <c r="O2664" s="54"/>
      <c r="P2664"/>
      <c r="Q2664" s="25"/>
      <c r="R2664" s="54"/>
      <c r="W2664" s="23"/>
      <c r="X2664" s="23"/>
      <c r="Y2664" s="23"/>
      <c r="Z2664" s="43"/>
      <c r="AA2664" s="23"/>
      <c r="AB2664" s="23"/>
      <c r="AC2664" s="23"/>
      <c r="AD2664" s="23"/>
      <c r="AE2664" s="23"/>
      <c r="AF2664" s="23"/>
      <c r="AG2664" s="23"/>
      <c r="AH2664" s="23"/>
      <c r="AI2664" s="48"/>
    </row>
    <row r="2665" spans="1:35">
      <c r="B2665" s="42"/>
      <c r="G2665" s="43"/>
      <c r="H2665" s="44"/>
      <c r="L2665" s="42"/>
      <c r="M2665" s="42"/>
      <c r="N2665" s="25"/>
      <c r="O2665" s="54"/>
      <c r="P2665"/>
      <c r="Q2665" s="25"/>
      <c r="R2665" s="54"/>
      <c r="W2665" s="23"/>
      <c r="X2665" s="23"/>
      <c r="Y2665" s="23"/>
      <c r="Z2665" s="43"/>
      <c r="AA2665" s="23"/>
      <c r="AB2665" s="23"/>
      <c r="AC2665" s="23"/>
      <c r="AD2665" s="23"/>
      <c r="AE2665" s="23"/>
      <c r="AF2665" s="23"/>
      <c r="AG2665" s="23"/>
      <c r="AH2665" s="23"/>
      <c r="AI2665" s="48"/>
    </row>
    <row r="2666" spans="1:35">
      <c r="B2666" s="42"/>
      <c r="G2666" s="43"/>
      <c r="H2666" s="44"/>
      <c r="L2666" s="42"/>
      <c r="M2666" s="42"/>
      <c r="N2666" s="25"/>
      <c r="O2666" s="54"/>
      <c r="P2666"/>
      <c r="Q2666" s="25"/>
      <c r="R2666" s="54"/>
      <c r="W2666" s="23"/>
      <c r="X2666" s="23"/>
      <c r="Y2666" s="23"/>
      <c r="Z2666" s="43"/>
      <c r="AA2666" s="23"/>
      <c r="AB2666" s="23"/>
      <c r="AC2666" s="23"/>
      <c r="AD2666" s="23"/>
      <c r="AE2666" s="23"/>
      <c r="AF2666" s="23"/>
      <c r="AG2666" s="23"/>
      <c r="AH2666" s="23"/>
      <c r="AI2666" s="48"/>
    </row>
    <row r="2667" spans="1:35">
      <c r="B2667" s="42"/>
      <c r="G2667" s="43"/>
      <c r="H2667" s="44"/>
      <c r="L2667" s="42"/>
      <c r="M2667" s="42"/>
      <c r="N2667" s="25"/>
      <c r="O2667" s="54"/>
      <c r="P2667"/>
      <c r="Q2667" s="25"/>
      <c r="R2667" s="54"/>
      <c r="W2667" s="23"/>
      <c r="X2667" s="23"/>
      <c r="Y2667" s="23"/>
      <c r="Z2667" s="43"/>
      <c r="AA2667" s="23"/>
      <c r="AB2667" s="23"/>
      <c r="AC2667" s="23"/>
      <c r="AD2667" s="23"/>
      <c r="AE2667" s="23"/>
      <c r="AF2667" s="23"/>
      <c r="AG2667" s="23"/>
      <c r="AH2667" s="23"/>
      <c r="AI2667" s="48"/>
    </row>
    <row r="2668" spans="1:35">
      <c r="B2668" s="42"/>
      <c r="G2668" s="43"/>
      <c r="H2668" s="44"/>
      <c r="L2668" s="42"/>
      <c r="M2668" s="42"/>
      <c r="N2668" s="25"/>
      <c r="O2668" s="54"/>
      <c r="P2668"/>
      <c r="Q2668" s="25"/>
      <c r="R2668" s="54"/>
      <c r="W2668" s="23"/>
      <c r="X2668" s="23"/>
      <c r="Y2668" s="23"/>
      <c r="Z2668" s="43"/>
      <c r="AA2668" s="23"/>
      <c r="AB2668" s="23"/>
      <c r="AC2668" s="23"/>
      <c r="AD2668" s="23"/>
      <c r="AE2668" s="23"/>
      <c r="AF2668" s="23"/>
      <c r="AG2668" s="23"/>
      <c r="AH2668" s="23"/>
      <c r="AI2668" s="48"/>
    </row>
    <row r="2669" spans="1:35">
      <c r="B2669" s="42"/>
      <c r="G2669" s="43"/>
      <c r="H2669" s="44"/>
      <c r="L2669" s="42"/>
      <c r="M2669" s="42"/>
      <c r="N2669" s="25"/>
      <c r="O2669" s="54"/>
      <c r="P2669"/>
      <c r="Q2669" s="25"/>
      <c r="R2669" s="54"/>
      <c r="W2669" s="23"/>
      <c r="X2669" s="23"/>
      <c r="Y2669" s="23"/>
      <c r="Z2669" s="43"/>
      <c r="AA2669" s="23"/>
      <c r="AB2669" s="23"/>
      <c r="AC2669" s="23"/>
      <c r="AD2669" s="23"/>
      <c r="AE2669" s="23"/>
      <c r="AF2669" s="23"/>
      <c r="AG2669" s="23"/>
      <c r="AH2669" s="23"/>
      <c r="AI2669" s="48"/>
    </row>
    <row r="2670" spans="1:35">
      <c r="B2670" s="42"/>
      <c r="G2670" s="43"/>
      <c r="H2670" s="44"/>
      <c r="L2670" s="42"/>
      <c r="M2670" s="42"/>
      <c r="N2670" s="25"/>
      <c r="O2670" s="54"/>
      <c r="P2670"/>
      <c r="Q2670" s="25"/>
      <c r="R2670" s="54"/>
      <c r="W2670" s="23"/>
      <c r="X2670" s="23"/>
      <c r="Y2670" s="23"/>
      <c r="Z2670" s="43"/>
      <c r="AA2670" s="23"/>
      <c r="AB2670" s="23"/>
      <c r="AC2670" s="23"/>
      <c r="AD2670" s="23"/>
      <c r="AE2670" s="23"/>
      <c r="AF2670" s="23"/>
      <c r="AG2670" s="23"/>
      <c r="AH2670" s="23"/>
      <c r="AI2670" s="48"/>
    </row>
    <row r="2671" spans="1:35">
      <c r="B2671" s="42"/>
      <c r="G2671" s="43"/>
      <c r="H2671" s="44"/>
      <c r="L2671" s="42"/>
      <c r="M2671" s="42"/>
      <c r="N2671" s="25"/>
      <c r="O2671" s="54"/>
      <c r="P2671"/>
      <c r="Q2671" s="25"/>
      <c r="R2671" s="54"/>
      <c r="W2671" s="23"/>
      <c r="X2671" s="23"/>
      <c r="Y2671" s="23"/>
      <c r="Z2671" s="43"/>
      <c r="AA2671" s="23"/>
      <c r="AB2671" s="23"/>
      <c r="AC2671" s="23"/>
      <c r="AD2671" s="23"/>
      <c r="AE2671" s="23"/>
      <c r="AF2671" s="23"/>
      <c r="AG2671" s="23"/>
      <c r="AH2671" s="23"/>
      <c r="AI2671" s="48"/>
    </row>
    <row r="2672" spans="1:35">
      <c r="B2672" s="42"/>
      <c r="G2672" s="43"/>
      <c r="H2672" s="44"/>
      <c r="L2672" s="42"/>
      <c r="M2672" s="42"/>
      <c r="N2672" s="25"/>
      <c r="O2672" s="54"/>
      <c r="P2672"/>
      <c r="Q2672" s="25"/>
      <c r="R2672" s="54"/>
      <c r="W2672" s="23"/>
      <c r="X2672" s="23"/>
      <c r="Y2672" s="23"/>
      <c r="Z2672" s="43"/>
      <c r="AA2672" s="23"/>
      <c r="AB2672" s="23"/>
      <c r="AC2672" s="23"/>
      <c r="AD2672" s="23"/>
      <c r="AE2672" s="23"/>
      <c r="AF2672" s="23"/>
      <c r="AG2672" s="23"/>
      <c r="AH2672" s="23"/>
      <c r="AI2672" s="48"/>
    </row>
    <row r="2673" spans="1:35">
      <c r="A2673" s="23"/>
      <c r="B2673" s="42"/>
      <c r="C2673" s="49"/>
      <c r="E2673" s="49"/>
      <c r="G2673" s="43"/>
      <c r="H2673" s="44"/>
      <c r="L2673" s="42"/>
      <c r="M2673" s="42"/>
      <c r="N2673" s="25"/>
      <c r="O2673" s="54"/>
      <c r="P2673"/>
      <c r="Q2673" s="25"/>
      <c r="R2673" s="54"/>
      <c r="W2673" s="23"/>
      <c r="X2673" s="23"/>
      <c r="Y2673" s="23"/>
      <c r="Z2673" s="43"/>
      <c r="AA2673" s="23"/>
      <c r="AB2673" s="23"/>
      <c r="AC2673" s="23"/>
      <c r="AD2673" s="23"/>
      <c r="AE2673" s="23"/>
      <c r="AF2673" s="23"/>
      <c r="AG2673" s="23"/>
      <c r="AH2673" s="23"/>
      <c r="AI2673" s="49"/>
    </row>
    <row r="2674" spans="1:35">
      <c r="A2674" s="23"/>
      <c r="B2674" s="42"/>
      <c r="C2674" s="49"/>
      <c r="E2674" s="49"/>
      <c r="G2674" s="43"/>
      <c r="H2674" s="44"/>
      <c r="L2674" s="42"/>
      <c r="M2674" s="42"/>
      <c r="N2674" s="25"/>
      <c r="O2674" s="54"/>
      <c r="P2674"/>
      <c r="Q2674" s="25"/>
      <c r="R2674" s="54"/>
      <c r="W2674" s="23"/>
      <c r="X2674" s="23"/>
      <c r="Y2674" s="23"/>
      <c r="Z2674" s="43"/>
      <c r="AA2674" s="23"/>
      <c r="AB2674" s="23"/>
      <c r="AC2674" s="23"/>
      <c r="AD2674" s="23"/>
      <c r="AE2674" s="23"/>
      <c r="AF2674" s="23"/>
      <c r="AG2674" s="23"/>
      <c r="AH2674" s="23"/>
      <c r="AI2674" s="49"/>
    </row>
    <row r="2675" spans="1:35">
      <c r="A2675" s="23"/>
      <c r="B2675" s="42"/>
      <c r="C2675" s="49"/>
      <c r="E2675" s="49"/>
      <c r="G2675" s="43"/>
      <c r="H2675" s="44"/>
      <c r="L2675" s="42"/>
      <c r="M2675" s="42"/>
      <c r="N2675" s="25"/>
      <c r="O2675" s="54"/>
      <c r="P2675"/>
      <c r="Q2675" s="25"/>
      <c r="R2675" s="54"/>
      <c r="W2675" s="23"/>
      <c r="X2675" s="23"/>
      <c r="Y2675" s="23"/>
      <c r="Z2675" s="43"/>
      <c r="AA2675" s="23"/>
      <c r="AB2675" s="23"/>
      <c r="AC2675" s="23"/>
      <c r="AD2675" s="23"/>
      <c r="AE2675" s="23"/>
      <c r="AF2675" s="23"/>
      <c r="AG2675" s="23"/>
      <c r="AH2675" s="23"/>
      <c r="AI2675" s="49"/>
    </row>
    <row r="2676" spans="1:35">
      <c r="A2676" s="23"/>
      <c r="B2676" s="42"/>
      <c r="C2676" s="49"/>
      <c r="E2676" s="49"/>
      <c r="G2676" s="43"/>
      <c r="H2676" s="44"/>
      <c r="L2676" s="42"/>
      <c r="M2676" s="42"/>
      <c r="N2676" s="25"/>
      <c r="O2676" s="54"/>
      <c r="P2676"/>
      <c r="Q2676" s="25"/>
      <c r="R2676" s="54"/>
      <c r="W2676" s="23"/>
      <c r="X2676" s="23"/>
      <c r="Y2676" s="23"/>
      <c r="Z2676" s="43"/>
      <c r="AA2676" s="23"/>
      <c r="AB2676" s="23"/>
      <c r="AC2676" s="23"/>
      <c r="AD2676" s="23"/>
      <c r="AE2676" s="23"/>
      <c r="AF2676" s="23"/>
      <c r="AG2676" s="23"/>
      <c r="AH2676" s="23"/>
      <c r="AI2676" s="49"/>
    </row>
    <row r="2677" spans="1:35">
      <c r="A2677" s="23"/>
      <c r="B2677" s="42"/>
      <c r="C2677" s="49"/>
      <c r="E2677" s="49"/>
      <c r="G2677" s="43"/>
      <c r="H2677" s="44"/>
      <c r="L2677" s="42"/>
      <c r="M2677" s="42"/>
      <c r="N2677" s="25"/>
      <c r="O2677" s="54"/>
      <c r="P2677"/>
      <c r="Q2677" s="25"/>
      <c r="R2677" s="54"/>
      <c r="W2677" s="23"/>
      <c r="X2677" s="23"/>
      <c r="Y2677" s="23"/>
      <c r="Z2677" s="43"/>
      <c r="AA2677" s="23"/>
      <c r="AB2677" s="23"/>
      <c r="AC2677" s="23"/>
      <c r="AD2677" s="23"/>
      <c r="AE2677" s="23"/>
      <c r="AF2677" s="23"/>
      <c r="AG2677" s="23"/>
      <c r="AH2677" s="23"/>
      <c r="AI2677" s="49"/>
    </row>
    <row r="2678" spans="1:35">
      <c r="A2678" s="23"/>
      <c r="B2678" s="42"/>
      <c r="C2678" s="49"/>
      <c r="E2678" s="49"/>
      <c r="G2678" s="43"/>
      <c r="H2678" s="44"/>
      <c r="L2678" s="42"/>
      <c r="M2678" s="42"/>
      <c r="N2678" s="25"/>
      <c r="O2678" s="54"/>
      <c r="P2678"/>
      <c r="Q2678" s="25"/>
      <c r="R2678" s="54"/>
      <c r="W2678" s="23"/>
      <c r="X2678" s="23"/>
      <c r="Y2678" s="23"/>
      <c r="Z2678" s="43"/>
      <c r="AA2678" s="23"/>
      <c r="AB2678" s="23"/>
      <c r="AC2678" s="23"/>
      <c r="AD2678" s="23"/>
      <c r="AE2678" s="23"/>
      <c r="AF2678" s="23"/>
      <c r="AG2678" s="23"/>
      <c r="AH2678" s="23"/>
      <c r="AI2678" s="49"/>
    </row>
    <row r="2679" spans="1:35">
      <c r="A2679" s="23"/>
      <c r="B2679" s="42"/>
      <c r="C2679" s="49"/>
      <c r="E2679" s="49"/>
      <c r="G2679" s="43"/>
      <c r="H2679" s="44"/>
      <c r="L2679" s="42"/>
      <c r="M2679" s="42"/>
      <c r="N2679" s="25"/>
      <c r="O2679" s="54"/>
      <c r="P2679"/>
      <c r="Q2679" s="25"/>
      <c r="R2679" s="54"/>
      <c r="W2679" s="23"/>
      <c r="X2679" s="23"/>
      <c r="Y2679" s="23"/>
      <c r="Z2679" s="43"/>
      <c r="AA2679" s="23"/>
      <c r="AB2679" s="23"/>
      <c r="AC2679" s="23"/>
      <c r="AD2679" s="23"/>
      <c r="AE2679" s="23"/>
      <c r="AF2679" s="23"/>
      <c r="AG2679" s="23"/>
      <c r="AH2679" s="23"/>
      <c r="AI2679" s="49"/>
    </row>
    <row r="2680" spans="1:35">
      <c r="A2680" s="23"/>
      <c r="B2680" s="42"/>
      <c r="C2680" s="49"/>
      <c r="E2680" s="49"/>
      <c r="G2680" s="43"/>
      <c r="H2680" s="44"/>
      <c r="L2680" s="42"/>
      <c r="M2680" s="42"/>
      <c r="N2680" s="25"/>
      <c r="O2680" s="54"/>
      <c r="P2680"/>
      <c r="Q2680" s="25"/>
      <c r="R2680" s="54"/>
      <c r="W2680" s="23"/>
      <c r="X2680" s="23"/>
      <c r="Y2680" s="23"/>
      <c r="Z2680" s="43"/>
      <c r="AA2680" s="23"/>
      <c r="AB2680" s="23"/>
      <c r="AC2680" s="23"/>
      <c r="AD2680" s="23"/>
      <c r="AE2680" s="23"/>
      <c r="AF2680" s="23"/>
      <c r="AG2680" s="23"/>
      <c r="AH2680" s="23"/>
      <c r="AI2680" s="49"/>
    </row>
    <row r="2681" spans="1:35">
      <c r="A2681" s="23"/>
      <c r="B2681" s="42"/>
      <c r="C2681" s="49"/>
      <c r="E2681" s="49"/>
      <c r="G2681" s="43"/>
      <c r="H2681" s="44"/>
      <c r="L2681" s="42"/>
      <c r="M2681" s="42"/>
      <c r="N2681" s="25"/>
      <c r="O2681" s="54"/>
      <c r="P2681"/>
      <c r="Q2681" s="25"/>
      <c r="R2681" s="54"/>
      <c r="W2681" s="23"/>
      <c r="X2681" s="23"/>
      <c r="Y2681" s="23"/>
      <c r="Z2681" s="43"/>
      <c r="AA2681" s="23"/>
      <c r="AB2681" s="23"/>
      <c r="AC2681" s="23"/>
      <c r="AD2681" s="23"/>
      <c r="AE2681" s="23"/>
      <c r="AF2681" s="23"/>
      <c r="AG2681" s="23"/>
      <c r="AH2681" s="23"/>
      <c r="AI2681" s="49"/>
    </row>
    <row r="2682" spans="1:35">
      <c r="B2682" s="42"/>
      <c r="C2682" s="49"/>
      <c r="E2682" s="49"/>
      <c r="G2682" s="43"/>
      <c r="H2682" s="44"/>
      <c r="L2682" s="42"/>
      <c r="M2682" s="42"/>
      <c r="N2682" s="25"/>
      <c r="O2682" s="54"/>
      <c r="P2682"/>
      <c r="Q2682" s="25"/>
      <c r="R2682" s="54"/>
      <c r="W2682" s="23"/>
      <c r="X2682" s="23"/>
      <c r="Y2682" s="23"/>
      <c r="Z2682" s="43"/>
      <c r="AA2682" s="23"/>
      <c r="AB2682" s="23"/>
      <c r="AC2682" s="23"/>
      <c r="AD2682" s="23"/>
      <c r="AE2682" s="23"/>
      <c r="AF2682" s="23"/>
      <c r="AG2682" s="23"/>
      <c r="AH2682" s="23"/>
      <c r="AI2682" s="23"/>
    </row>
    <row r="2683" spans="1:35">
      <c r="B2683" s="42"/>
      <c r="C2683" s="49"/>
      <c r="E2683" s="49"/>
      <c r="G2683" s="43"/>
      <c r="H2683" s="44"/>
      <c r="L2683" s="42"/>
      <c r="M2683" s="42"/>
      <c r="N2683" s="25"/>
      <c r="O2683" s="54"/>
      <c r="P2683"/>
      <c r="Q2683" s="25"/>
      <c r="R2683" s="54"/>
      <c r="W2683" s="23"/>
      <c r="X2683" s="23"/>
      <c r="Y2683" s="23"/>
      <c r="Z2683" s="43"/>
      <c r="AA2683" s="23"/>
      <c r="AB2683" s="23"/>
      <c r="AC2683" s="23"/>
      <c r="AD2683" s="23"/>
      <c r="AE2683" s="23"/>
      <c r="AF2683" s="23"/>
      <c r="AG2683" s="23"/>
      <c r="AH2683" s="23"/>
      <c r="AI2683" s="23"/>
    </row>
    <row r="2684" spans="1:35">
      <c r="B2684" s="42"/>
      <c r="C2684" s="49"/>
      <c r="E2684" s="49"/>
      <c r="G2684" s="43"/>
      <c r="H2684" s="44"/>
      <c r="L2684" s="42"/>
      <c r="M2684" s="42"/>
      <c r="N2684" s="25"/>
      <c r="O2684" s="54"/>
      <c r="P2684"/>
      <c r="Q2684" s="25"/>
      <c r="R2684" s="54"/>
      <c r="W2684" s="23"/>
      <c r="X2684" s="23"/>
      <c r="Y2684" s="23"/>
      <c r="Z2684" s="43"/>
      <c r="AA2684" s="23"/>
      <c r="AB2684" s="23"/>
      <c r="AC2684" s="23"/>
      <c r="AD2684" s="23"/>
      <c r="AE2684" s="23"/>
      <c r="AF2684" s="23"/>
      <c r="AG2684" s="23"/>
      <c r="AH2684" s="23"/>
      <c r="AI2684" s="23"/>
    </row>
    <row r="2685" spans="1:35">
      <c r="B2685" s="42"/>
      <c r="C2685" s="49"/>
      <c r="E2685" s="49"/>
      <c r="G2685" s="43"/>
      <c r="H2685" s="44"/>
      <c r="L2685" s="42"/>
      <c r="M2685" s="42"/>
      <c r="N2685" s="25"/>
      <c r="O2685" s="54"/>
      <c r="P2685"/>
      <c r="Q2685" s="25"/>
      <c r="R2685" s="54"/>
      <c r="W2685" s="23"/>
      <c r="X2685" s="23"/>
      <c r="Y2685" s="23"/>
      <c r="Z2685" s="43"/>
      <c r="AA2685" s="23"/>
      <c r="AB2685" s="23"/>
      <c r="AC2685" s="23"/>
      <c r="AD2685" s="23"/>
      <c r="AE2685" s="23"/>
      <c r="AF2685" s="23"/>
      <c r="AG2685" s="23"/>
      <c r="AH2685" s="23"/>
      <c r="AI2685" s="23"/>
    </row>
    <row r="2686" spans="1:35">
      <c r="B2686" s="42"/>
      <c r="C2686" s="49"/>
      <c r="E2686" s="49"/>
      <c r="G2686" s="43"/>
      <c r="H2686" s="44"/>
      <c r="L2686" s="42"/>
      <c r="M2686" s="42"/>
      <c r="N2686" s="25"/>
      <c r="O2686" s="54"/>
      <c r="P2686"/>
      <c r="Q2686" s="25"/>
      <c r="R2686" s="54"/>
      <c r="W2686" s="23"/>
      <c r="X2686" s="23"/>
      <c r="Y2686" s="23"/>
      <c r="Z2686" s="43"/>
      <c r="AA2686" s="23"/>
      <c r="AB2686" s="23"/>
      <c r="AC2686" s="23"/>
      <c r="AD2686" s="23"/>
      <c r="AE2686" s="23"/>
      <c r="AF2686" s="23"/>
      <c r="AG2686" s="23"/>
      <c r="AH2686" s="23"/>
      <c r="AI2686" s="23"/>
    </row>
    <row r="2687" spans="1:35">
      <c r="B2687" s="42"/>
      <c r="C2687" s="49"/>
      <c r="E2687" s="49"/>
      <c r="G2687" s="43"/>
      <c r="H2687" s="44"/>
      <c r="L2687" s="42"/>
      <c r="M2687" s="42"/>
      <c r="N2687" s="25"/>
      <c r="O2687" s="54"/>
      <c r="P2687"/>
      <c r="Q2687" s="25"/>
      <c r="R2687" s="54"/>
      <c r="W2687" s="23"/>
      <c r="X2687" s="23"/>
      <c r="Y2687" s="23"/>
      <c r="Z2687" s="43"/>
      <c r="AA2687" s="23"/>
      <c r="AB2687" s="23"/>
      <c r="AC2687" s="23"/>
      <c r="AD2687" s="23"/>
      <c r="AE2687" s="23"/>
      <c r="AF2687" s="23"/>
      <c r="AG2687" s="23"/>
      <c r="AH2687" s="23"/>
      <c r="AI2687" s="23"/>
    </row>
    <row r="2688" spans="1:35">
      <c r="B2688" s="42"/>
      <c r="C2688" s="49"/>
      <c r="E2688" s="49"/>
      <c r="G2688" s="43"/>
      <c r="H2688" s="44"/>
      <c r="L2688" s="42"/>
      <c r="M2688" s="42"/>
      <c r="N2688" s="25"/>
      <c r="O2688" s="54"/>
      <c r="P2688"/>
      <c r="Q2688" s="25"/>
      <c r="R2688" s="54"/>
      <c r="W2688" s="23"/>
      <c r="X2688" s="23"/>
      <c r="Y2688" s="23"/>
      <c r="Z2688" s="43"/>
      <c r="AA2688" s="23"/>
      <c r="AB2688" s="23"/>
      <c r="AC2688" s="23"/>
      <c r="AD2688" s="23"/>
      <c r="AE2688" s="23"/>
      <c r="AF2688" s="23"/>
      <c r="AG2688" s="23"/>
      <c r="AH2688" s="23"/>
      <c r="AI2688" s="23"/>
    </row>
    <row r="2689" spans="1:35">
      <c r="B2689" s="42"/>
      <c r="C2689" s="49"/>
      <c r="E2689" s="49"/>
      <c r="G2689" s="43"/>
      <c r="H2689" s="44"/>
      <c r="L2689" s="42"/>
      <c r="M2689" s="42"/>
      <c r="N2689" s="25"/>
      <c r="O2689" s="54"/>
      <c r="P2689"/>
      <c r="Q2689" s="25"/>
      <c r="R2689" s="54"/>
      <c r="W2689" s="23"/>
      <c r="X2689" s="23"/>
      <c r="Y2689" s="23"/>
      <c r="Z2689" s="43"/>
      <c r="AA2689" s="23"/>
      <c r="AB2689" s="23"/>
      <c r="AC2689" s="23"/>
      <c r="AD2689" s="23"/>
      <c r="AE2689" s="23"/>
      <c r="AF2689" s="23"/>
      <c r="AG2689" s="23"/>
      <c r="AH2689" s="23"/>
      <c r="AI2689" s="23"/>
    </row>
    <row r="2690" spans="1:35">
      <c r="B2690" s="42"/>
      <c r="C2690" s="49"/>
      <c r="E2690" s="49"/>
      <c r="G2690" s="43"/>
      <c r="H2690" s="44"/>
      <c r="L2690" s="42"/>
      <c r="M2690" s="42"/>
      <c r="N2690" s="25"/>
      <c r="O2690" s="54"/>
      <c r="P2690"/>
      <c r="Q2690" s="25"/>
      <c r="R2690" s="54"/>
      <c r="W2690" s="23"/>
      <c r="X2690" s="23"/>
      <c r="Y2690" s="23"/>
      <c r="Z2690" s="43"/>
      <c r="AA2690" s="23"/>
      <c r="AB2690" s="23"/>
      <c r="AC2690" s="23"/>
      <c r="AD2690" s="23"/>
      <c r="AE2690" s="23"/>
      <c r="AF2690" s="23"/>
      <c r="AG2690" s="23"/>
      <c r="AH2690" s="23"/>
      <c r="AI2690" s="23"/>
    </row>
    <row r="2691" spans="1:35">
      <c r="B2691" s="42"/>
      <c r="C2691" s="49"/>
      <c r="E2691" s="49"/>
      <c r="G2691" s="43"/>
      <c r="H2691" s="44"/>
      <c r="L2691" s="42"/>
      <c r="M2691" s="42"/>
      <c r="N2691" s="25"/>
      <c r="O2691" s="54"/>
      <c r="P2691"/>
      <c r="Q2691" s="25"/>
      <c r="R2691" s="54"/>
      <c r="W2691" s="23"/>
      <c r="X2691" s="23"/>
      <c r="Y2691" s="23"/>
      <c r="Z2691" s="43"/>
      <c r="AA2691" s="23"/>
      <c r="AB2691" s="23"/>
      <c r="AC2691" s="23"/>
      <c r="AD2691" s="23"/>
      <c r="AE2691" s="23"/>
      <c r="AF2691" s="23"/>
      <c r="AG2691" s="23"/>
      <c r="AH2691" s="23"/>
      <c r="AI2691" s="23"/>
    </row>
    <row r="2692" spans="1:35">
      <c r="B2692" s="42"/>
      <c r="C2692" s="49"/>
      <c r="E2692" s="49"/>
      <c r="G2692" s="43"/>
      <c r="H2692" s="44"/>
      <c r="L2692" s="42"/>
      <c r="M2692" s="42"/>
      <c r="N2692" s="25"/>
      <c r="O2692" s="54"/>
      <c r="P2692"/>
      <c r="Q2692" s="25"/>
      <c r="R2692" s="54"/>
      <c r="W2692" s="23"/>
      <c r="X2692" s="23"/>
      <c r="Y2692" s="23"/>
      <c r="Z2692" s="43"/>
      <c r="AA2692" s="23"/>
      <c r="AB2692" s="23"/>
      <c r="AC2692" s="23"/>
      <c r="AD2692" s="23"/>
      <c r="AE2692" s="23"/>
      <c r="AF2692" s="23"/>
      <c r="AG2692" s="23"/>
      <c r="AH2692" s="23"/>
      <c r="AI2692" s="23"/>
    </row>
    <row r="2693" spans="1:35">
      <c r="B2693" s="42"/>
      <c r="C2693" s="49"/>
      <c r="E2693" s="49"/>
      <c r="G2693" s="43"/>
      <c r="H2693" s="44"/>
      <c r="L2693" s="42"/>
      <c r="M2693" s="42"/>
      <c r="N2693" s="25"/>
      <c r="O2693" s="54"/>
      <c r="P2693"/>
      <c r="Q2693" s="25"/>
      <c r="R2693" s="54"/>
      <c r="W2693" s="23"/>
      <c r="X2693" s="23"/>
      <c r="Y2693" s="23"/>
      <c r="Z2693" s="43"/>
      <c r="AA2693" s="23"/>
      <c r="AB2693" s="23"/>
      <c r="AC2693" s="23"/>
      <c r="AD2693" s="23"/>
      <c r="AE2693" s="23"/>
      <c r="AF2693" s="23"/>
      <c r="AG2693" s="23"/>
      <c r="AH2693" s="23"/>
      <c r="AI2693" s="23"/>
    </row>
    <row r="2694" spans="1:35">
      <c r="B2694" s="42"/>
      <c r="C2694" s="49"/>
      <c r="E2694" s="49"/>
      <c r="G2694" s="43"/>
      <c r="H2694" s="44"/>
      <c r="L2694" s="42"/>
      <c r="M2694" s="42"/>
      <c r="N2694" s="25"/>
      <c r="O2694" s="54"/>
      <c r="P2694"/>
      <c r="Q2694" s="25"/>
      <c r="R2694" s="54"/>
      <c r="W2694" s="23"/>
      <c r="X2694" s="23"/>
      <c r="Y2694" s="23"/>
      <c r="Z2694" s="43"/>
      <c r="AA2694" s="23"/>
      <c r="AB2694" s="23"/>
      <c r="AC2694" s="23"/>
      <c r="AD2694" s="23"/>
      <c r="AE2694" s="23"/>
      <c r="AF2694" s="23"/>
      <c r="AG2694" s="23"/>
      <c r="AH2694" s="23"/>
      <c r="AI2694" s="23"/>
    </row>
    <row r="2695" spans="1:35">
      <c r="B2695" s="42"/>
      <c r="C2695" s="49"/>
      <c r="E2695" s="49"/>
      <c r="G2695" s="43"/>
      <c r="H2695" s="44"/>
      <c r="L2695" s="42"/>
      <c r="M2695" s="42"/>
      <c r="N2695" s="25"/>
      <c r="O2695" s="54"/>
      <c r="P2695"/>
      <c r="Q2695" s="25"/>
      <c r="R2695" s="54"/>
      <c r="W2695" s="23"/>
      <c r="X2695" s="23"/>
      <c r="Y2695" s="23"/>
      <c r="Z2695" s="43"/>
      <c r="AA2695" s="23"/>
      <c r="AB2695" s="23"/>
      <c r="AC2695" s="23"/>
      <c r="AD2695" s="23"/>
      <c r="AE2695" s="23"/>
      <c r="AF2695" s="23"/>
      <c r="AG2695" s="23"/>
      <c r="AH2695" s="23"/>
      <c r="AI2695" s="23"/>
    </row>
    <row r="2696" spans="1:35">
      <c r="B2696" s="42"/>
      <c r="C2696" s="49"/>
      <c r="E2696" s="49"/>
      <c r="G2696" s="43"/>
      <c r="H2696" s="44"/>
      <c r="L2696" s="42"/>
      <c r="M2696" s="42"/>
      <c r="N2696" s="25"/>
      <c r="O2696" s="54"/>
      <c r="P2696"/>
      <c r="Q2696" s="25"/>
      <c r="R2696" s="54"/>
      <c r="W2696" s="23"/>
      <c r="X2696" s="23"/>
      <c r="Y2696" s="23"/>
      <c r="Z2696" s="43"/>
      <c r="AA2696" s="23"/>
      <c r="AB2696" s="23"/>
      <c r="AC2696" s="23"/>
      <c r="AD2696" s="23"/>
      <c r="AE2696" s="23"/>
      <c r="AF2696" s="23"/>
      <c r="AG2696" s="23"/>
      <c r="AH2696" s="23"/>
      <c r="AI2696" s="23"/>
    </row>
    <row r="2697" spans="1:35">
      <c r="B2697" s="42"/>
      <c r="C2697" s="49"/>
      <c r="E2697" s="49"/>
      <c r="G2697" s="43"/>
      <c r="H2697" s="44"/>
      <c r="L2697" s="42"/>
      <c r="M2697" s="42"/>
      <c r="N2697" s="25"/>
      <c r="O2697" s="54"/>
      <c r="P2697"/>
      <c r="Q2697" s="25"/>
      <c r="R2697" s="54"/>
      <c r="W2697" s="23"/>
      <c r="X2697" s="23"/>
      <c r="Y2697" s="23"/>
      <c r="Z2697" s="43"/>
      <c r="AA2697" s="23"/>
      <c r="AB2697" s="23"/>
      <c r="AC2697" s="23"/>
      <c r="AD2697" s="23"/>
      <c r="AE2697" s="23"/>
      <c r="AF2697" s="23"/>
      <c r="AG2697" s="23"/>
      <c r="AH2697" s="23"/>
      <c r="AI2697" s="23"/>
    </row>
    <row r="2698" spans="1:35">
      <c r="B2698" s="42"/>
      <c r="C2698" s="49"/>
      <c r="E2698" s="49"/>
      <c r="G2698" s="43"/>
      <c r="H2698" s="44"/>
      <c r="L2698" s="42"/>
      <c r="M2698" s="42"/>
      <c r="N2698" s="25"/>
      <c r="O2698" s="54"/>
      <c r="P2698"/>
      <c r="Q2698" s="25"/>
      <c r="R2698" s="54"/>
      <c r="W2698" s="23"/>
      <c r="X2698" s="23"/>
      <c r="Y2698" s="23"/>
      <c r="Z2698" s="43"/>
      <c r="AA2698" s="23"/>
      <c r="AB2698" s="23"/>
      <c r="AC2698" s="23"/>
      <c r="AD2698" s="23"/>
      <c r="AE2698" s="23"/>
      <c r="AF2698" s="23"/>
      <c r="AG2698" s="23"/>
      <c r="AH2698" s="23"/>
      <c r="AI2698" s="23"/>
    </row>
    <row r="2699" spans="1:35">
      <c r="B2699" s="42"/>
      <c r="C2699" s="49"/>
      <c r="E2699" s="49"/>
      <c r="G2699" s="43"/>
      <c r="H2699" s="44"/>
      <c r="L2699" s="42"/>
      <c r="M2699" s="42"/>
      <c r="N2699" s="25"/>
      <c r="O2699" s="54"/>
      <c r="P2699"/>
      <c r="Q2699" s="25"/>
      <c r="R2699" s="54"/>
      <c r="W2699" s="23"/>
      <c r="X2699" s="23"/>
      <c r="Y2699" s="23"/>
      <c r="Z2699" s="43"/>
      <c r="AA2699" s="23"/>
      <c r="AB2699" s="23"/>
      <c r="AC2699" s="23"/>
      <c r="AD2699" s="23"/>
      <c r="AE2699" s="23"/>
      <c r="AF2699" s="23"/>
      <c r="AG2699" s="23"/>
      <c r="AH2699" s="23"/>
      <c r="AI2699" s="23"/>
    </row>
    <row r="2700" spans="1:35">
      <c r="B2700" s="42"/>
      <c r="C2700" s="49"/>
      <c r="E2700" s="49"/>
      <c r="G2700" s="43"/>
      <c r="H2700" s="44"/>
      <c r="L2700" s="42"/>
      <c r="M2700" s="42"/>
      <c r="N2700" s="25"/>
      <c r="O2700" s="54"/>
      <c r="P2700"/>
      <c r="Q2700" s="25"/>
      <c r="R2700" s="54"/>
      <c r="W2700" s="23"/>
      <c r="X2700" s="23"/>
      <c r="Y2700" s="23"/>
      <c r="Z2700" s="43"/>
      <c r="AA2700" s="23"/>
      <c r="AB2700" s="23"/>
      <c r="AC2700" s="23"/>
      <c r="AD2700" s="23"/>
      <c r="AE2700" s="23"/>
      <c r="AF2700" s="23"/>
      <c r="AG2700" s="23"/>
      <c r="AH2700" s="23"/>
      <c r="AI2700" s="23"/>
    </row>
    <row r="2701" spans="1:35">
      <c r="B2701" s="42"/>
      <c r="C2701" s="49"/>
      <c r="E2701" s="49"/>
      <c r="G2701" s="43"/>
      <c r="H2701" s="44"/>
      <c r="L2701" s="42"/>
      <c r="M2701" s="42"/>
      <c r="N2701" s="25"/>
      <c r="O2701" s="54"/>
      <c r="P2701"/>
      <c r="Q2701" s="25"/>
      <c r="R2701" s="54"/>
      <c r="W2701" s="23"/>
      <c r="X2701" s="23"/>
      <c r="Y2701" s="23"/>
      <c r="Z2701" s="43"/>
      <c r="AA2701" s="23"/>
      <c r="AB2701" s="23"/>
      <c r="AC2701" s="23"/>
      <c r="AD2701" s="23"/>
      <c r="AE2701" s="23"/>
      <c r="AF2701" s="23"/>
      <c r="AG2701" s="23"/>
      <c r="AH2701" s="23"/>
      <c r="AI2701" s="23"/>
    </row>
    <row r="2702" spans="1:35">
      <c r="B2702" s="42"/>
      <c r="C2702" s="49"/>
      <c r="E2702" s="49"/>
      <c r="G2702" s="43"/>
      <c r="H2702" s="44"/>
      <c r="L2702" s="42"/>
      <c r="M2702" s="42"/>
      <c r="N2702" s="25"/>
      <c r="O2702" s="54"/>
      <c r="P2702"/>
      <c r="Q2702" s="25"/>
      <c r="R2702" s="54"/>
      <c r="W2702" s="23"/>
      <c r="X2702" s="23"/>
      <c r="Y2702" s="23"/>
      <c r="Z2702" s="43"/>
      <c r="AA2702" s="23"/>
      <c r="AB2702" s="23"/>
      <c r="AC2702" s="23"/>
      <c r="AD2702" s="23"/>
      <c r="AE2702" s="23"/>
      <c r="AF2702" s="23"/>
      <c r="AG2702" s="23"/>
      <c r="AH2702" s="23"/>
      <c r="AI2702" s="23"/>
    </row>
    <row r="2703" spans="1:35">
      <c r="A2703" s="23"/>
      <c r="B2703" s="42"/>
      <c r="C2703" s="49"/>
      <c r="E2703" s="49"/>
      <c r="G2703" s="43"/>
      <c r="H2703" s="44"/>
      <c r="L2703" s="42"/>
      <c r="M2703" s="42"/>
      <c r="N2703" s="25"/>
      <c r="O2703" s="54"/>
      <c r="P2703"/>
      <c r="Q2703" s="25"/>
      <c r="R2703" s="54"/>
      <c r="W2703" s="23"/>
      <c r="X2703" s="23"/>
      <c r="Y2703" s="23"/>
      <c r="Z2703" s="43"/>
      <c r="AA2703" s="23"/>
      <c r="AB2703" s="23"/>
      <c r="AC2703" s="23"/>
      <c r="AD2703" s="23"/>
      <c r="AE2703" s="23"/>
      <c r="AF2703" s="23"/>
      <c r="AG2703" s="23"/>
      <c r="AH2703" s="23"/>
      <c r="AI2703" s="49"/>
    </row>
    <row r="2704" spans="1:35">
      <c r="A2704" s="23"/>
      <c r="B2704" s="42"/>
      <c r="C2704" s="49"/>
      <c r="E2704" s="49"/>
      <c r="G2704" s="43"/>
      <c r="H2704" s="44"/>
      <c r="L2704" s="42"/>
      <c r="M2704" s="42"/>
      <c r="N2704" s="25"/>
      <c r="O2704" s="54"/>
      <c r="P2704"/>
      <c r="Q2704" s="25"/>
      <c r="R2704" s="54"/>
      <c r="W2704" s="23"/>
      <c r="X2704" s="23"/>
      <c r="Y2704" s="23"/>
      <c r="Z2704" s="43"/>
      <c r="AA2704" s="23"/>
      <c r="AB2704" s="23"/>
      <c r="AC2704" s="23"/>
      <c r="AD2704" s="23"/>
      <c r="AE2704" s="23"/>
      <c r="AF2704" s="23"/>
      <c r="AG2704" s="23"/>
      <c r="AH2704" s="23"/>
      <c r="AI2704" s="49"/>
    </row>
    <row r="2705" spans="1:35">
      <c r="A2705" s="23"/>
      <c r="B2705" s="42"/>
      <c r="C2705" s="49"/>
      <c r="E2705" s="49"/>
      <c r="G2705" s="43"/>
      <c r="H2705" s="44"/>
      <c r="L2705" s="42"/>
      <c r="M2705" s="42"/>
      <c r="N2705" s="25"/>
      <c r="O2705" s="54"/>
      <c r="P2705"/>
      <c r="Q2705" s="25"/>
      <c r="R2705" s="54"/>
      <c r="W2705" s="23"/>
      <c r="X2705" s="23"/>
      <c r="Y2705" s="23"/>
      <c r="Z2705" s="43"/>
      <c r="AA2705" s="23"/>
      <c r="AB2705" s="23"/>
      <c r="AC2705" s="23"/>
      <c r="AD2705" s="23"/>
      <c r="AE2705" s="23"/>
      <c r="AF2705" s="23"/>
      <c r="AG2705" s="23"/>
      <c r="AH2705" s="23"/>
      <c r="AI2705" s="49"/>
    </row>
    <row r="2706" spans="1:35">
      <c r="A2706" s="23"/>
      <c r="B2706" s="42"/>
      <c r="C2706" s="49"/>
      <c r="E2706" s="49"/>
      <c r="G2706" s="43"/>
      <c r="H2706" s="44"/>
      <c r="L2706" s="42"/>
      <c r="M2706" s="42"/>
      <c r="N2706" s="25"/>
      <c r="O2706" s="54"/>
      <c r="P2706"/>
      <c r="Q2706" s="25"/>
      <c r="R2706" s="54"/>
      <c r="W2706" s="23"/>
      <c r="X2706" s="23"/>
      <c r="Y2706" s="23"/>
      <c r="Z2706" s="43"/>
      <c r="AA2706" s="23"/>
      <c r="AB2706" s="23"/>
      <c r="AC2706" s="23"/>
      <c r="AD2706" s="23"/>
      <c r="AE2706" s="23"/>
      <c r="AF2706" s="23"/>
      <c r="AG2706" s="23"/>
      <c r="AH2706" s="23"/>
      <c r="AI2706" s="49"/>
    </row>
    <row r="2707" spans="1:35">
      <c r="A2707" s="23"/>
      <c r="B2707" s="42"/>
      <c r="C2707" s="49"/>
      <c r="E2707" s="49"/>
      <c r="G2707" s="43"/>
      <c r="H2707" s="44"/>
      <c r="L2707" s="42"/>
      <c r="M2707" s="42"/>
      <c r="N2707" s="25"/>
      <c r="O2707" s="54"/>
      <c r="P2707"/>
      <c r="Q2707" s="25"/>
      <c r="R2707" s="54"/>
      <c r="W2707" s="23"/>
      <c r="X2707" s="23"/>
      <c r="Y2707" s="23"/>
      <c r="Z2707" s="43"/>
      <c r="AA2707" s="23"/>
      <c r="AB2707" s="23"/>
      <c r="AC2707" s="23"/>
      <c r="AD2707" s="23"/>
      <c r="AE2707" s="23"/>
      <c r="AF2707" s="23"/>
      <c r="AG2707" s="23"/>
      <c r="AH2707" s="23"/>
      <c r="AI2707" s="49"/>
    </row>
    <row r="2708" spans="1:35">
      <c r="A2708" s="23"/>
      <c r="B2708" s="42"/>
      <c r="C2708" s="49"/>
      <c r="E2708" s="49"/>
      <c r="G2708" s="43"/>
      <c r="H2708" s="44"/>
      <c r="L2708" s="42"/>
      <c r="M2708" s="42"/>
      <c r="N2708" s="25"/>
      <c r="O2708" s="54"/>
      <c r="P2708"/>
      <c r="Q2708" s="25"/>
      <c r="R2708" s="54"/>
      <c r="W2708" s="23"/>
      <c r="X2708" s="23"/>
      <c r="Y2708" s="23"/>
      <c r="Z2708" s="43"/>
      <c r="AA2708" s="23"/>
      <c r="AB2708" s="23"/>
      <c r="AC2708" s="23"/>
      <c r="AD2708" s="23"/>
      <c r="AE2708" s="23"/>
      <c r="AF2708" s="23"/>
      <c r="AG2708" s="23"/>
      <c r="AH2708" s="23"/>
      <c r="AI2708" s="49"/>
    </row>
    <row r="2709" spans="1:35">
      <c r="A2709" s="23"/>
      <c r="B2709" s="42"/>
      <c r="C2709" s="49"/>
      <c r="E2709" s="49"/>
      <c r="G2709" s="43"/>
      <c r="H2709" s="44"/>
      <c r="L2709" s="42"/>
      <c r="M2709" s="42"/>
      <c r="N2709" s="25"/>
      <c r="O2709" s="54"/>
      <c r="P2709"/>
      <c r="Q2709" s="25"/>
      <c r="R2709" s="54"/>
      <c r="W2709" s="23"/>
      <c r="X2709" s="23"/>
      <c r="Y2709" s="23"/>
      <c r="Z2709" s="43"/>
      <c r="AA2709" s="23"/>
      <c r="AB2709" s="23"/>
      <c r="AC2709" s="23"/>
      <c r="AD2709" s="23"/>
      <c r="AE2709" s="23"/>
      <c r="AF2709" s="23"/>
      <c r="AG2709" s="23"/>
      <c r="AH2709" s="23"/>
      <c r="AI2709" s="49"/>
    </row>
    <row r="2710" spans="1:35">
      <c r="A2710" s="23"/>
      <c r="B2710" s="42"/>
      <c r="C2710" s="49"/>
      <c r="E2710" s="49"/>
      <c r="G2710" s="43"/>
      <c r="H2710" s="44"/>
      <c r="L2710" s="42"/>
      <c r="M2710" s="42"/>
      <c r="N2710" s="25"/>
      <c r="O2710" s="54"/>
      <c r="P2710"/>
      <c r="Q2710" s="25"/>
      <c r="R2710" s="54"/>
      <c r="W2710" s="23"/>
      <c r="X2710" s="23"/>
      <c r="Y2710" s="23"/>
      <c r="Z2710" s="43"/>
      <c r="AA2710" s="23"/>
      <c r="AB2710" s="23"/>
      <c r="AC2710" s="23"/>
      <c r="AD2710" s="23"/>
      <c r="AE2710" s="23"/>
      <c r="AF2710" s="23"/>
      <c r="AG2710" s="23"/>
      <c r="AH2710" s="23"/>
      <c r="AI2710" s="49"/>
    </row>
    <row r="2711" spans="1:35">
      <c r="A2711" s="23"/>
      <c r="B2711" s="42"/>
      <c r="C2711" s="49"/>
      <c r="E2711" s="49"/>
      <c r="G2711" s="43"/>
      <c r="H2711" s="44"/>
      <c r="L2711" s="42"/>
      <c r="M2711" s="42"/>
      <c r="N2711" s="25"/>
      <c r="O2711" s="54"/>
      <c r="P2711"/>
      <c r="Q2711" s="25"/>
      <c r="R2711" s="54"/>
      <c r="W2711" s="23"/>
      <c r="X2711" s="23"/>
      <c r="Y2711" s="23"/>
      <c r="Z2711" s="43"/>
      <c r="AA2711" s="23"/>
      <c r="AB2711" s="23"/>
      <c r="AC2711" s="23"/>
      <c r="AD2711" s="23"/>
      <c r="AE2711" s="23"/>
      <c r="AF2711" s="23"/>
      <c r="AG2711" s="23"/>
      <c r="AH2711" s="23"/>
      <c r="AI2711" s="49"/>
    </row>
    <row r="2712" spans="1:35">
      <c r="A2712" s="23"/>
      <c r="B2712" s="42"/>
      <c r="C2712" s="49"/>
      <c r="E2712" s="49"/>
      <c r="G2712" s="43"/>
      <c r="H2712" s="44"/>
      <c r="L2712" s="42"/>
      <c r="M2712" s="42"/>
      <c r="N2712" s="25"/>
      <c r="O2712" s="54"/>
      <c r="P2712"/>
      <c r="Q2712" s="25"/>
      <c r="R2712" s="54"/>
      <c r="W2712" s="23"/>
      <c r="X2712" s="23"/>
      <c r="Y2712" s="23"/>
      <c r="Z2712" s="43"/>
      <c r="AA2712" s="23"/>
      <c r="AB2712" s="23"/>
      <c r="AC2712" s="23"/>
      <c r="AD2712" s="23"/>
      <c r="AE2712" s="23"/>
      <c r="AF2712" s="23"/>
      <c r="AG2712" s="23"/>
      <c r="AH2712" s="23"/>
      <c r="AI2712" s="49"/>
    </row>
    <row r="2713" spans="1:35">
      <c r="A2713" s="23"/>
      <c r="B2713" s="42"/>
      <c r="C2713" s="49"/>
      <c r="E2713" s="49"/>
      <c r="G2713" s="43"/>
      <c r="H2713" s="44"/>
      <c r="L2713" s="42"/>
      <c r="M2713" s="42"/>
      <c r="N2713" s="25"/>
      <c r="O2713" s="54"/>
      <c r="P2713"/>
      <c r="Q2713" s="25"/>
      <c r="R2713" s="54"/>
      <c r="W2713" s="23"/>
      <c r="X2713" s="23"/>
      <c r="Y2713" s="23"/>
      <c r="Z2713" s="43"/>
      <c r="AA2713" s="23"/>
      <c r="AB2713" s="23"/>
      <c r="AC2713" s="23"/>
      <c r="AD2713" s="23"/>
      <c r="AE2713" s="23"/>
      <c r="AF2713" s="23"/>
      <c r="AG2713" s="23"/>
      <c r="AH2713" s="23"/>
      <c r="AI2713" s="49"/>
    </row>
    <row r="2714" spans="1:35">
      <c r="A2714" s="23"/>
      <c r="B2714" s="42"/>
      <c r="C2714" s="49"/>
      <c r="E2714" s="49"/>
      <c r="G2714" s="43"/>
      <c r="H2714" s="44"/>
      <c r="L2714" s="42"/>
      <c r="M2714" s="42"/>
      <c r="N2714" s="25"/>
      <c r="O2714" s="54"/>
      <c r="P2714"/>
      <c r="Q2714" s="25"/>
      <c r="R2714" s="54"/>
      <c r="W2714" s="23"/>
      <c r="X2714" s="23"/>
      <c r="Y2714" s="23"/>
      <c r="Z2714" s="43"/>
      <c r="AA2714" s="23"/>
      <c r="AB2714" s="23"/>
      <c r="AC2714" s="23"/>
      <c r="AD2714" s="23"/>
      <c r="AE2714" s="23"/>
      <c r="AF2714" s="23"/>
      <c r="AG2714" s="23"/>
      <c r="AH2714" s="23"/>
      <c r="AI2714" s="49"/>
    </row>
    <row r="2715" spans="1:35">
      <c r="A2715" s="23"/>
      <c r="B2715" s="42"/>
      <c r="C2715" s="49"/>
      <c r="E2715" s="49"/>
      <c r="G2715" s="43"/>
      <c r="H2715" s="44"/>
      <c r="L2715" s="42"/>
      <c r="M2715" s="42"/>
      <c r="N2715" s="25"/>
      <c r="O2715" s="54"/>
      <c r="P2715"/>
      <c r="Q2715" s="25"/>
      <c r="R2715" s="54"/>
      <c r="W2715" s="23"/>
      <c r="X2715" s="23"/>
      <c r="Y2715" s="23"/>
      <c r="Z2715" s="43"/>
      <c r="AA2715" s="23"/>
      <c r="AB2715" s="23"/>
      <c r="AC2715" s="23"/>
      <c r="AD2715" s="23"/>
      <c r="AE2715" s="23"/>
      <c r="AF2715" s="23"/>
      <c r="AG2715" s="23"/>
      <c r="AH2715" s="23"/>
      <c r="AI2715" s="49"/>
    </row>
    <row r="2716" spans="1:35">
      <c r="A2716" s="23"/>
      <c r="B2716" s="42"/>
      <c r="C2716" s="49"/>
      <c r="E2716" s="49"/>
      <c r="G2716" s="43"/>
      <c r="H2716" s="44"/>
      <c r="L2716" s="42"/>
      <c r="M2716" s="42"/>
      <c r="N2716" s="25"/>
      <c r="O2716" s="54"/>
      <c r="P2716"/>
      <c r="Q2716" s="25"/>
      <c r="R2716" s="54"/>
      <c r="W2716" s="23"/>
      <c r="X2716" s="23"/>
      <c r="Y2716" s="23"/>
      <c r="Z2716" s="43"/>
      <c r="AA2716" s="23"/>
      <c r="AB2716" s="23"/>
      <c r="AC2716" s="23"/>
      <c r="AD2716" s="23"/>
      <c r="AE2716" s="23"/>
      <c r="AF2716" s="23"/>
      <c r="AG2716" s="23"/>
      <c r="AH2716" s="23"/>
      <c r="AI2716" s="49"/>
    </row>
    <row r="2717" spans="1:35">
      <c r="A2717" s="23"/>
      <c r="B2717" s="42"/>
      <c r="C2717" s="49"/>
      <c r="E2717" s="49"/>
      <c r="G2717" s="43"/>
      <c r="H2717" s="44"/>
      <c r="L2717" s="42"/>
      <c r="M2717" s="42"/>
      <c r="N2717" s="25"/>
      <c r="O2717" s="54"/>
      <c r="P2717"/>
      <c r="Q2717" s="25"/>
      <c r="R2717" s="54"/>
      <c r="W2717" s="23"/>
      <c r="X2717" s="23"/>
      <c r="Y2717" s="23"/>
      <c r="Z2717" s="43"/>
      <c r="AA2717" s="23"/>
      <c r="AB2717" s="23"/>
      <c r="AC2717" s="23"/>
      <c r="AD2717" s="23"/>
      <c r="AE2717" s="23"/>
      <c r="AF2717" s="23"/>
      <c r="AG2717" s="23"/>
      <c r="AH2717" s="23"/>
      <c r="AI2717" s="49"/>
    </row>
    <row r="2718" spans="1:35">
      <c r="A2718" s="23"/>
      <c r="B2718" s="42"/>
      <c r="C2718" s="49"/>
      <c r="E2718" s="49"/>
      <c r="G2718" s="43"/>
      <c r="H2718" s="44"/>
      <c r="L2718" s="42"/>
      <c r="M2718" s="42"/>
      <c r="N2718" s="25"/>
      <c r="O2718" s="54"/>
      <c r="P2718"/>
      <c r="Q2718" s="25"/>
      <c r="R2718" s="54"/>
      <c r="W2718" s="23"/>
      <c r="X2718" s="23"/>
      <c r="Y2718" s="23"/>
      <c r="Z2718" s="43"/>
      <c r="AA2718" s="23"/>
      <c r="AB2718" s="23"/>
      <c r="AC2718" s="23"/>
      <c r="AD2718" s="23"/>
      <c r="AE2718" s="23"/>
      <c r="AF2718" s="23"/>
      <c r="AG2718" s="23"/>
      <c r="AH2718" s="23"/>
      <c r="AI2718" s="49"/>
    </row>
    <row r="2719" spans="1:35">
      <c r="A2719" s="23"/>
      <c r="B2719" s="42"/>
      <c r="C2719" s="49"/>
      <c r="E2719" s="49"/>
      <c r="G2719" s="43"/>
      <c r="H2719" s="44"/>
      <c r="L2719" s="42"/>
      <c r="M2719" s="42"/>
      <c r="N2719" s="25"/>
      <c r="O2719" s="54"/>
      <c r="P2719"/>
      <c r="Q2719" s="25"/>
      <c r="R2719" s="54"/>
      <c r="W2719" s="23"/>
      <c r="X2719" s="23"/>
      <c r="Y2719" s="23"/>
      <c r="Z2719" s="43"/>
      <c r="AA2719" s="23"/>
      <c r="AB2719" s="23"/>
      <c r="AC2719" s="23"/>
      <c r="AD2719" s="23"/>
      <c r="AE2719" s="23"/>
      <c r="AF2719" s="23"/>
      <c r="AG2719" s="23"/>
      <c r="AH2719" s="23"/>
      <c r="AI2719" s="49"/>
    </row>
    <row r="2720" spans="1:35">
      <c r="A2720" s="23"/>
      <c r="B2720" s="42"/>
      <c r="C2720" s="49"/>
      <c r="E2720" s="49"/>
      <c r="G2720" s="43"/>
      <c r="H2720" s="44"/>
      <c r="L2720" s="42"/>
      <c r="M2720" s="42"/>
      <c r="N2720" s="25"/>
      <c r="O2720" s="54"/>
      <c r="P2720"/>
      <c r="Q2720" s="25"/>
      <c r="R2720" s="54"/>
      <c r="W2720" s="23"/>
      <c r="X2720" s="23"/>
      <c r="Y2720" s="23"/>
      <c r="Z2720" s="43"/>
      <c r="AA2720" s="23"/>
      <c r="AB2720" s="23"/>
      <c r="AC2720" s="23"/>
      <c r="AD2720" s="23"/>
      <c r="AE2720" s="23"/>
      <c r="AF2720" s="23"/>
      <c r="AG2720" s="23"/>
      <c r="AH2720" s="23"/>
      <c r="AI2720" s="49"/>
    </row>
    <row r="2721" spans="1:35">
      <c r="A2721" s="23"/>
      <c r="B2721" s="42"/>
      <c r="C2721" s="49"/>
      <c r="E2721" s="49"/>
      <c r="G2721" s="43"/>
      <c r="H2721" s="44"/>
      <c r="L2721" s="42"/>
      <c r="M2721" s="42"/>
      <c r="N2721" s="25"/>
      <c r="O2721" s="54"/>
      <c r="P2721"/>
      <c r="Q2721" s="25"/>
      <c r="R2721" s="54"/>
      <c r="W2721" s="23"/>
      <c r="X2721" s="23"/>
      <c r="Y2721" s="23"/>
      <c r="Z2721" s="43"/>
      <c r="AA2721" s="23"/>
      <c r="AB2721" s="23"/>
      <c r="AC2721" s="23"/>
      <c r="AD2721" s="23"/>
      <c r="AE2721" s="23"/>
      <c r="AF2721" s="23"/>
      <c r="AG2721" s="23"/>
      <c r="AH2721" s="23"/>
      <c r="AI2721" s="49"/>
    </row>
    <row r="2722" spans="1:35">
      <c r="A2722" s="23"/>
      <c r="B2722" s="42"/>
      <c r="C2722" s="49"/>
      <c r="E2722" s="49"/>
      <c r="G2722" s="43"/>
      <c r="H2722" s="44"/>
      <c r="L2722" s="42"/>
      <c r="M2722" s="42"/>
      <c r="N2722" s="25"/>
      <c r="O2722" s="54"/>
      <c r="P2722"/>
      <c r="Q2722" s="25"/>
      <c r="R2722" s="54"/>
      <c r="W2722" s="23"/>
      <c r="X2722" s="23"/>
      <c r="Y2722" s="23"/>
      <c r="Z2722" s="43"/>
      <c r="AA2722" s="23"/>
      <c r="AB2722" s="23"/>
      <c r="AC2722" s="23"/>
      <c r="AD2722" s="23"/>
      <c r="AE2722" s="23"/>
      <c r="AF2722" s="23"/>
      <c r="AG2722" s="23"/>
      <c r="AH2722" s="23"/>
      <c r="AI2722" s="49"/>
    </row>
    <row r="2723" spans="1:35">
      <c r="A2723" s="23"/>
      <c r="B2723" s="42"/>
      <c r="C2723" s="49"/>
      <c r="E2723" s="49"/>
      <c r="G2723" s="43"/>
      <c r="H2723" s="44"/>
      <c r="L2723" s="42"/>
      <c r="M2723" s="42"/>
      <c r="N2723" s="25"/>
      <c r="O2723" s="54"/>
      <c r="P2723"/>
      <c r="Q2723" s="25"/>
      <c r="R2723" s="54"/>
      <c r="W2723" s="23"/>
      <c r="X2723" s="23"/>
      <c r="Y2723" s="23"/>
      <c r="Z2723" s="43"/>
      <c r="AA2723" s="23"/>
      <c r="AB2723" s="23"/>
      <c r="AC2723" s="23"/>
      <c r="AD2723" s="23"/>
      <c r="AE2723" s="23"/>
      <c r="AF2723" s="23"/>
      <c r="AG2723" s="23"/>
      <c r="AH2723" s="23"/>
      <c r="AI2723" s="49"/>
    </row>
    <row r="2724" spans="1:35">
      <c r="A2724" s="23"/>
      <c r="B2724" s="42"/>
      <c r="C2724" s="49"/>
      <c r="E2724" s="49"/>
      <c r="G2724" s="43"/>
      <c r="H2724" s="44"/>
      <c r="L2724" s="42"/>
      <c r="M2724" s="42"/>
      <c r="N2724" s="25"/>
      <c r="O2724" s="54"/>
      <c r="P2724"/>
      <c r="Q2724" s="25"/>
      <c r="R2724" s="54"/>
      <c r="W2724" s="23"/>
      <c r="X2724" s="23"/>
      <c r="Y2724" s="23"/>
      <c r="Z2724" s="43"/>
      <c r="AA2724" s="23"/>
      <c r="AB2724" s="23"/>
      <c r="AC2724" s="23"/>
      <c r="AD2724" s="23"/>
      <c r="AE2724" s="23"/>
      <c r="AF2724" s="23"/>
      <c r="AG2724" s="23"/>
      <c r="AH2724" s="23"/>
      <c r="AI2724" s="49"/>
    </row>
    <row r="2725" spans="1:35">
      <c r="A2725" s="23"/>
      <c r="B2725" s="42"/>
      <c r="C2725" s="49"/>
      <c r="E2725" s="49"/>
      <c r="G2725" s="43"/>
      <c r="H2725" s="44"/>
      <c r="L2725" s="42"/>
      <c r="M2725" s="42"/>
      <c r="N2725" s="25"/>
      <c r="O2725" s="54"/>
      <c r="P2725"/>
      <c r="Q2725" s="25"/>
      <c r="R2725" s="54"/>
      <c r="W2725" s="23"/>
      <c r="X2725" s="23"/>
      <c r="Y2725" s="23"/>
      <c r="Z2725" s="43"/>
      <c r="AA2725" s="23"/>
      <c r="AB2725" s="23"/>
      <c r="AC2725" s="23"/>
      <c r="AD2725" s="23"/>
      <c r="AE2725" s="23"/>
      <c r="AF2725" s="23"/>
      <c r="AG2725" s="23"/>
      <c r="AH2725" s="23"/>
      <c r="AI2725" s="49"/>
    </row>
    <row r="2726" spans="1:35">
      <c r="A2726" s="23"/>
      <c r="B2726" s="42"/>
      <c r="C2726" s="49"/>
      <c r="E2726" s="49"/>
      <c r="G2726" s="43"/>
      <c r="H2726" s="44"/>
      <c r="L2726" s="42"/>
      <c r="M2726" s="42"/>
      <c r="N2726" s="25"/>
      <c r="O2726" s="54"/>
      <c r="P2726"/>
      <c r="Q2726" s="25"/>
      <c r="R2726" s="54"/>
      <c r="W2726" s="23"/>
      <c r="X2726" s="23"/>
      <c r="Y2726" s="23"/>
      <c r="Z2726" s="43"/>
      <c r="AA2726" s="23"/>
      <c r="AB2726" s="23"/>
      <c r="AC2726" s="23"/>
      <c r="AD2726" s="23"/>
      <c r="AE2726" s="23"/>
      <c r="AF2726" s="23"/>
      <c r="AG2726" s="23"/>
      <c r="AH2726" s="23"/>
      <c r="AI2726" s="49"/>
    </row>
    <row r="2727" spans="1:35">
      <c r="A2727" s="23"/>
      <c r="B2727" s="42"/>
      <c r="C2727" s="49"/>
      <c r="E2727" s="49"/>
      <c r="G2727" s="43"/>
      <c r="H2727" s="44"/>
      <c r="L2727" s="42"/>
      <c r="M2727" s="42"/>
      <c r="N2727" s="25"/>
      <c r="O2727" s="54"/>
      <c r="P2727"/>
      <c r="Q2727" s="25"/>
      <c r="R2727" s="54"/>
      <c r="W2727" s="23"/>
      <c r="X2727" s="23"/>
      <c r="Y2727" s="23"/>
      <c r="Z2727" s="43"/>
      <c r="AA2727" s="23"/>
      <c r="AB2727" s="23"/>
      <c r="AC2727" s="23"/>
      <c r="AD2727" s="23"/>
      <c r="AE2727" s="23"/>
      <c r="AF2727" s="23"/>
      <c r="AG2727" s="23"/>
      <c r="AH2727" s="23"/>
      <c r="AI2727" s="49"/>
    </row>
    <row r="2728" spans="1:35">
      <c r="A2728" s="23"/>
      <c r="B2728" s="42"/>
      <c r="C2728" s="49"/>
      <c r="E2728" s="49"/>
      <c r="G2728" s="43"/>
      <c r="H2728" s="44"/>
      <c r="L2728" s="42"/>
      <c r="M2728" s="42"/>
      <c r="N2728" s="25"/>
      <c r="O2728" s="54"/>
      <c r="P2728"/>
      <c r="Q2728" s="25"/>
      <c r="R2728" s="54"/>
      <c r="W2728" s="23"/>
      <c r="X2728" s="23"/>
      <c r="Y2728" s="23"/>
      <c r="Z2728" s="43"/>
      <c r="AA2728" s="23"/>
      <c r="AB2728" s="23"/>
      <c r="AC2728" s="23"/>
      <c r="AD2728" s="23"/>
      <c r="AE2728" s="23"/>
      <c r="AF2728" s="23"/>
      <c r="AG2728" s="23"/>
      <c r="AH2728" s="23"/>
      <c r="AI2728" s="49"/>
    </row>
    <row r="2729" spans="1:35">
      <c r="A2729" s="23"/>
      <c r="B2729" s="42"/>
      <c r="C2729" s="49"/>
      <c r="E2729" s="49"/>
      <c r="G2729" s="43"/>
      <c r="H2729" s="44"/>
      <c r="L2729" s="42"/>
      <c r="M2729" s="42"/>
      <c r="N2729" s="25"/>
      <c r="O2729" s="54"/>
      <c r="P2729"/>
      <c r="Q2729" s="25"/>
      <c r="R2729" s="54"/>
      <c r="W2729" s="23"/>
      <c r="X2729" s="23"/>
      <c r="Y2729" s="23"/>
      <c r="Z2729" s="43"/>
      <c r="AA2729" s="23"/>
      <c r="AB2729" s="23"/>
      <c r="AC2729" s="23"/>
      <c r="AD2729" s="23"/>
      <c r="AE2729" s="23"/>
      <c r="AF2729" s="23"/>
      <c r="AG2729" s="23"/>
      <c r="AH2729" s="23"/>
      <c r="AI2729" s="49"/>
    </row>
    <row r="2730" spans="1:35">
      <c r="A2730" s="23"/>
      <c r="B2730" s="42"/>
      <c r="C2730" s="49"/>
      <c r="E2730" s="49"/>
      <c r="G2730" s="43"/>
      <c r="H2730" s="44"/>
      <c r="L2730" s="42"/>
      <c r="M2730" s="42"/>
      <c r="N2730" s="25"/>
      <c r="O2730" s="54"/>
      <c r="P2730"/>
      <c r="Q2730" s="25"/>
      <c r="R2730" s="54"/>
      <c r="W2730" s="23"/>
      <c r="X2730" s="23"/>
      <c r="Y2730" s="23"/>
      <c r="Z2730" s="43"/>
      <c r="AA2730" s="23"/>
      <c r="AB2730" s="23"/>
      <c r="AC2730" s="23"/>
      <c r="AD2730" s="23"/>
      <c r="AE2730" s="23"/>
      <c r="AF2730" s="23"/>
      <c r="AG2730" s="23"/>
      <c r="AH2730" s="23"/>
      <c r="AI2730" s="49"/>
    </row>
    <row r="2731" spans="1:35">
      <c r="A2731" s="23"/>
      <c r="B2731" s="42"/>
      <c r="C2731" s="49"/>
      <c r="E2731" s="49"/>
      <c r="G2731" s="43"/>
      <c r="H2731" s="44"/>
      <c r="L2731" s="42"/>
      <c r="M2731" s="42"/>
      <c r="N2731" s="25"/>
      <c r="O2731" s="54"/>
      <c r="P2731"/>
      <c r="Q2731" s="25"/>
      <c r="R2731" s="54"/>
      <c r="W2731" s="23"/>
      <c r="X2731" s="23"/>
      <c r="Y2731" s="23"/>
      <c r="Z2731" s="43"/>
      <c r="AA2731" s="23"/>
      <c r="AB2731" s="23"/>
      <c r="AC2731" s="23"/>
      <c r="AD2731" s="23"/>
      <c r="AE2731" s="23"/>
      <c r="AF2731" s="23"/>
      <c r="AG2731" s="23"/>
      <c r="AH2731" s="23"/>
      <c r="AI2731" s="49"/>
    </row>
    <row r="2732" spans="1:35">
      <c r="A2732" s="23"/>
      <c r="B2732" s="42"/>
      <c r="C2732" s="49"/>
      <c r="E2732" s="49"/>
      <c r="G2732" s="43"/>
      <c r="H2732" s="44"/>
      <c r="L2732" s="42"/>
      <c r="M2732" s="42"/>
      <c r="N2732" s="25"/>
      <c r="O2732" s="54"/>
      <c r="P2732"/>
      <c r="Q2732" s="25"/>
      <c r="R2732" s="54"/>
      <c r="W2732" s="23"/>
      <c r="X2732" s="23"/>
      <c r="Y2732" s="23"/>
      <c r="Z2732" s="43"/>
      <c r="AA2732" s="23"/>
      <c r="AB2732" s="23"/>
      <c r="AC2732" s="23"/>
      <c r="AD2732" s="23"/>
      <c r="AE2732" s="23"/>
      <c r="AF2732" s="23"/>
      <c r="AG2732" s="23"/>
      <c r="AH2732" s="23"/>
      <c r="AI2732" s="49"/>
    </row>
    <row r="2733" spans="1:35">
      <c r="A2733" s="23"/>
      <c r="B2733" s="42"/>
      <c r="C2733" s="49"/>
      <c r="E2733" s="49"/>
      <c r="G2733" s="43"/>
      <c r="H2733" s="44"/>
      <c r="L2733" s="42"/>
      <c r="M2733" s="42"/>
      <c r="N2733" s="25"/>
      <c r="O2733" s="54"/>
      <c r="P2733"/>
      <c r="Q2733" s="25"/>
      <c r="R2733" s="54"/>
      <c r="W2733" s="23"/>
      <c r="X2733" s="23"/>
      <c r="Y2733" s="23"/>
      <c r="Z2733" s="43"/>
      <c r="AA2733" s="23"/>
      <c r="AB2733" s="23"/>
      <c r="AC2733" s="23"/>
      <c r="AD2733" s="23"/>
      <c r="AE2733" s="23"/>
      <c r="AF2733" s="23"/>
      <c r="AG2733" s="23"/>
      <c r="AH2733" s="23"/>
      <c r="AI2733" s="49"/>
    </row>
    <row r="2734" spans="1:35">
      <c r="A2734" s="23"/>
      <c r="B2734" s="42"/>
      <c r="C2734" s="49"/>
      <c r="E2734" s="49"/>
      <c r="G2734" s="43"/>
      <c r="H2734" s="44"/>
      <c r="L2734" s="42"/>
      <c r="M2734" s="42"/>
      <c r="N2734" s="25"/>
      <c r="O2734" s="54"/>
      <c r="P2734"/>
      <c r="Q2734" s="25"/>
      <c r="R2734" s="54"/>
      <c r="W2734" s="23"/>
      <c r="X2734" s="23"/>
      <c r="Y2734" s="23"/>
      <c r="Z2734" s="43"/>
      <c r="AA2734" s="23"/>
      <c r="AB2734" s="23"/>
      <c r="AC2734" s="23"/>
      <c r="AD2734" s="23"/>
      <c r="AE2734" s="23"/>
      <c r="AF2734" s="23"/>
      <c r="AG2734" s="23"/>
      <c r="AH2734" s="23"/>
      <c r="AI2734" s="49"/>
    </row>
    <row r="2735" spans="1:35">
      <c r="A2735" s="23"/>
      <c r="B2735" s="42"/>
      <c r="C2735" s="49"/>
      <c r="E2735" s="49"/>
      <c r="G2735" s="43"/>
      <c r="H2735" s="44"/>
      <c r="L2735" s="42"/>
      <c r="M2735" s="42"/>
      <c r="N2735" s="25"/>
      <c r="O2735" s="54"/>
      <c r="P2735"/>
      <c r="Q2735" s="25"/>
      <c r="R2735" s="54"/>
      <c r="W2735" s="23"/>
      <c r="X2735" s="23"/>
      <c r="Y2735" s="23"/>
      <c r="Z2735" s="43"/>
      <c r="AA2735" s="23"/>
      <c r="AB2735" s="23"/>
      <c r="AC2735" s="23"/>
      <c r="AD2735" s="23"/>
      <c r="AE2735" s="23"/>
      <c r="AF2735" s="23"/>
      <c r="AG2735" s="23"/>
      <c r="AH2735" s="23"/>
      <c r="AI2735" s="49"/>
    </row>
    <row r="2736" spans="1:35">
      <c r="A2736" s="23"/>
      <c r="B2736" s="42"/>
      <c r="C2736" s="49"/>
      <c r="E2736" s="49"/>
      <c r="G2736" s="43"/>
      <c r="H2736" s="44"/>
      <c r="L2736" s="42"/>
      <c r="M2736" s="42"/>
      <c r="N2736" s="25"/>
      <c r="O2736" s="54"/>
      <c r="P2736"/>
      <c r="Q2736" s="25"/>
      <c r="R2736" s="54"/>
      <c r="W2736" s="23"/>
      <c r="X2736" s="23"/>
      <c r="Y2736" s="23"/>
      <c r="Z2736" s="43"/>
      <c r="AA2736" s="23"/>
      <c r="AB2736" s="23"/>
      <c r="AC2736" s="23"/>
      <c r="AD2736" s="23"/>
      <c r="AE2736" s="23"/>
      <c r="AF2736" s="23"/>
      <c r="AG2736" s="23"/>
      <c r="AH2736" s="23"/>
      <c r="AI2736" s="49"/>
    </row>
    <row r="2737" spans="1:35">
      <c r="A2737" s="23"/>
      <c r="B2737" s="42"/>
      <c r="C2737" s="49"/>
      <c r="E2737" s="49"/>
      <c r="G2737" s="43"/>
      <c r="H2737" s="44"/>
      <c r="L2737" s="42"/>
      <c r="M2737" s="42"/>
      <c r="N2737" s="25"/>
      <c r="O2737" s="54"/>
      <c r="P2737"/>
      <c r="Q2737" s="25"/>
      <c r="R2737" s="54"/>
      <c r="W2737" s="23"/>
      <c r="X2737" s="23"/>
      <c r="Y2737" s="23"/>
      <c r="Z2737" s="43"/>
      <c r="AA2737" s="23"/>
      <c r="AB2737" s="23"/>
      <c r="AC2737" s="23"/>
      <c r="AD2737" s="23"/>
      <c r="AE2737" s="23"/>
      <c r="AF2737" s="23"/>
      <c r="AG2737" s="23"/>
      <c r="AH2737" s="23"/>
      <c r="AI2737" s="49"/>
    </row>
    <row r="2738" spans="1:35">
      <c r="A2738" s="23"/>
      <c r="B2738" s="42"/>
      <c r="C2738" s="49"/>
      <c r="E2738" s="49"/>
      <c r="G2738" s="43"/>
      <c r="H2738" s="44"/>
      <c r="L2738" s="42"/>
      <c r="M2738" s="42"/>
      <c r="N2738" s="25"/>
      <c r="O2738" s="54"/>
      <c r="P2738"/>
      <c r="Q2738" s="25"/>
      <c r="R2738" s="54"/>
      <c r="W2738" s="23"/>
      <c r="X2738" s="23"/>
      <c r="Y2738" s="23"/>
      <c r="Z2738" s="43"/>
      <c r="AA2738" s="23"/>
      <c r="AB2738" s="23"/>
      <c r="AC2738" s="23"/>
      <c r="AD2738" s="23"/>
      <c r="AE2738" s="23"/>
      <c r="AF2738" s="23"/>
      <c r="AG2738" s="23"/>
      <c r="AH2738" s="23"/>
      <c r="AI2738" s="49"/>
    </row>
    <row r="2739" spans="1:35">
      <c r="A2739" s="23"/>
      <c r="B2739" s="42"/>
      <c r="C2739" s="49"/>
      <c r="E2739" s="49"/>
      <c r="G2739" s="43"/>
      <c r="H2739" s="44"/>
      <c r="L2739" s="42"/>
      <c r="M2739" s="42"/>
      <c r="N2739" s="25"/>
      <c r="O2739" s="54"/>
      <c r="P2739"/>
      <c r="Q2739" s="25"/>
      <c r="R2739" s="54"/>
      <c r="W2739" s="23"/>
      <c r="X2739" s="23"/>
      <c r="Y2739" s="23"/>
      <c r="Z2739" s="43"/>
      <c r="AA2739" s="23"/>
      <c r="AB2739" s="23"/>
      <c r="AC2739" s="23"/>
      <c r="AD2739" s="23"/>
      <c r="AE2739" s="23"/>
      <c r="AF2739" s="23"/>
      <c r="AG2739" s="23"/>
      <c r="AH2739" s="23"/>
      <c r="AI2739" s="49"/>
    </row>
    <row r="2740" spans="1:35">
      <c r="A2740" s="23"/>
      <c r="B2740" s="42"/>
      <c r="C2740" s="49"/>
      <c r="E2740" s="49"/>
      <c r="G2740" s="43"/>
      <c r="H2740" s="44"/>
      <c r="L2740" s="42"/>
      <c r="M2740" s="42"/>
      <c r="N2740" s="25"/>
      <c r="O2740" s="54"/>
      <c r="P2740"/>
      <c r="Q2740" s="25"/>
      <c r="R2740" s="54"/>
      <c r="W2740" s="23"/>
      <c r="X2740" s="23"/>
      <c r="Y2740" s="23"/>
      <c r="Z2740" s="43"/>
      <c r="AA2740" s="23"/>
      <c r="AB2740" s="23"/>
      <c r="AC2740" s="23"/>
      <c r="AD2740" s="23"/>
      <c r="AE2740" s="23"/>
      <c r="AF2740" s="23"/>
      <c r="AG2740" s="23"/>
      <c r="AH2740" s="23"/>
      <c r="AI2740" s="49"/>
    </row>
    <row r="2741" spans="1:35">
      <c r="A2741" s="23"/>
      <c r="B2741" s="42"/>
      <c r="C2741" s="49"/>
      <c r="E2741" s="49"/>
      <c r="G2741" s="43"/>
      <c r="H2741" s="44"/>
      <c r="L2741" s="42"/>
      <c r="M2741" s="42"/>
      <c r="N2741" s="25"/>
      <c r="O2741" s="54"/>
      <c r="P2741"/>
      <c r="Q2741" s="25"/>
      <c r="R2741" s="54"/>
      <c r="W2741" s="23"/>
      <c r="X2741" s="23"/>
      <c r="Y2741" s="23"/>
      <c r="Z2741" s="43"/>
      <c r="AA2741" s="23"/>
      <c r="AB2741" s="23"/>
      <c r="AC2741" s="23"/>
      <c r="AD2741" s="23"/>
      <c r="AE2741" s="23"/>
      <c r="AF2741" s="23"/>
      <c r="AG2741" s="23"/>
      <c r="AH2741" s="23"/>
      <c r="AI2741" s="49"/>
    </row>
    <row r="2742" spans="1:35">
      <c r="A2742" s="23"/>
      <c r="B2742" s="42"/>
      <c r="C2742" s="49"/>
      <c r="E2742" s="49"/>
      <c r="G2742" s="43"/>
      <c r="H2742" s="44"/>
      <c r="L2742" s="42"/>
      <c r="M2742" s="42"/>
      <c r="N2742" s="25"/>
      <c r="O2742" s="54"/>
      <c r="P2742"/>
      <c r="Q2742" s="25"/>
      <c r="R2742" s="54"/>
      <c r="W2742" s="23"/>
      <c r="X2742" s="23"/>
      <c r="Y2742" s="23"/>
      <c r="Z2742" s="43"/>
      <c r="AA2742" s="23"/>
      <c r="AB2742" s="23"/>
      <c r="AC2742" s="23"/>
      <c r="AD2742" s="23"/>
      <c r="AE2742" s="23"/>
      <c r="AF2742" s="23"/>
      <c r="AG2742" s="23"/>
      <c r="AH2742" s="23"/>
      <c r="AI2742" s="49"/>
    </row>
    <row r="2743" spans="1:35">
      <c r="A2743" s="23"/>
      <c r="B2743" s="42"/>
      <c r="C2743" s="49"/>
      <c r="E2743" s="49"/>
      <c r="G2743" s="43"/>
      <c r="H2743" s="44"/>
      <c r="L2743" s="42"/>
      <c r="M2743" s="42"/>
      <c r="N2743" s="25"/>
      <c r="O2743" s="54"/>
      <c r="P2743"/>
      <c r="Q2743" s="25"/>
      <c r="R2743" s="54"/>
      <c r="W2743" s="23"/>
      <c r="X2743" s="23"/>
      <c r="Y2743" s="23"/>
      <c r="Z2743" s="43"/>
      <c r="AA2743" s="23"/>
      <c r="AB2743" s="23"/>
      <c r="AC2743" s="23"/>
      <c r="AD2743" s="23"/>
      <c r="AE2743" s="23"/>
      <c r="AF2743" s="23"/>
      <c r="AG2743" s="23"/>
      <c r="AH2743" s="23"/>
      <c r="AI2743" s="49"/>
    </row>
    <row r="2744" spans="1:35">
      <c r="A2744" s="23"/>
      <c r="B2744" s="42"/>
      <c r="C2744" s="49"/>
      <c r="E2744" s="49"/>
      <c r="G2744" s="43"/>
      <c r="H2744" s="44"/>
      <c r="L2744" s="42"/>
      <c r="M2744" s="42"/>
      <c r="N2744" s="25"/>
      <c r="O2744" s="54"/>
      <c r="P2744"/>
      <c r="Q2744" s="25"/>
      <c r="R2744" s="54"/>
      <c r="W2744" s="23"/>
      <c r="X2744" s="23"/>
      <c r="Y2744" s="23"/>
      <c r="Z2744" s="43"/>
      <c r="AA2744" s="23"/>
      <c r="AB2744" s="23"/>
      <c r="AC2744" s="23"/>
      <c r="AD2744" s="23"/>
      <c r="AE2744" s="23"/>
      <c r="AF2744" s="23"/>
      <c r="AG2744" s="23"/>
      <c r="AH2744" s="23"/>
      <c r="AI2744" s="49"/>
    </row>
    <row r="2745" spans="1:35">
      <c r="A2745" s="23"/>
      <c r="B2745" s="42"/>
      <c r="C2745" s="49"/>
      <c r="E2745" s="49"/>
      <c r="G2745" s="43"/>
      <c r="H2745" s="44"/>
      <c r="L2745" s="42"/>
      <c r="M2745" s="42"/>
      <c r="N2745" s="25"/>
      <c r="O2745" s="54"/>
      <c r="P2745"/>
      <c r="Q2745" s="25"/>
      <c r="R2745" s="54"/>
      <c r="W2745" s="23"/>
      <c r="X2745" s="23"/>
      <c r="Y2745" s="23"/>
      <c r="Z2745" s="43"/>
      <c r="AA2745" s="23"/>
      <c r="AB2745" s="23"/>
      <c r="AC2745" s="23"/>
      <c r="AD2745" s="23"/>
      <c r="AE2745" s="23"/>
      <c r="AF2745" s="23"/>
      <c r="AG2745" s="23"/>
      <c r="AH2745" s="23"/>
      <c r="AI2745" s="49"/>
    </row>
    <row r="2746" spans="1:35">
      <c r="A2746" s="23"/>
      <c r="B2746" s="42"/>
      <c r="C2746" s="49"/>
      <c r="E2746" s="49"/>
      <c r="G2746" s="43"/>
      <c r="H2746" s="44"/>
      <c r="L2746" s="42"/>
      <c r="M2746" s="42"/>
      <c r="N2746" s="25"/>
      <c r="O2746" s="54"/>
      <c r="P2746"/>
      <c r="Q2746" s="25"/>
      <c r="R2746" s="54"/>
      <c r="W2746" s="23"/>
      <c r="X2746" s="23"/>
      <c r="Y2746" s="23"/>
      <c r="Z2746" s="43"/>
      <c r="AA2746" s="23"/>
      <c r="AB2746" s="23"/>
      <c r="AC2746" s="23"/>
      <c r="AD2746" s="23"/>
      <c r="AE2746" s="23"/>
      <c r="AF2746" s="23"/>
      <c r="AG2746" s="23"/>
      <c r="AH2746" s="23"/>
      <c r="AI2746" s="49"/>
    </row>
    <row r="2747" spans="1:35">
      <c r="A2747" s="23"/>
      <c r="B2747" s="42"/>
      <c r="C2747" s="49"/>
      <c r="E2747" s="49"/>
      <c r="G2747" s="43"/>
      <c r="H2747" s="44"/>
      <c r="L2747" s="42"/>
      <c r="M2747" s="42"/>
      <c r="N2747" s="25"/>
      <c r="O2747" s="54"/>
      <c r="P2747"/>
      <c r="Q2747" s="25"/>
      <c r="R2747" s="54"/>
      <c r="W2747" s="23"/>
      <c r="X2747" s="23"/>
      <c r="Y2747" s="23"/>
      <c r="Z2747" s="43"/>
      <c r="AA2747" s="23"/>
      <c r="AB2747" s="23"/>
      <c r="AC2747" s="23"/>
      <c r="AD2747" s="23"/>
      <c r="AE2747" s="23"/>
      <c r="AF2747" s="23"/>
      <c r="AG2747" s="23"/>
      <c r="AH2747" s="23"/>
      <c r="AI2747" s="49"/>
    </row>
    <row r="2748" spans="1:35">
      <c r="A2748" s="23"/>
      <c r="B2748" s="42"/>
      <c r="C2748" s="49"/>
      <c r="E2748" s="49"/>
      <c r="G2748" s="43"/>
      <c r="H2748" s="44"/>
      <c r="L2748" s="42"/>
      <c r="M2748" s="42"/>
      <c r="N2748" s="25"/>
      <c r="O2748" s="54"/>
      <c r="P2748"/>
      <c r="Q2748" s="25"/>
      <c r="R2748" s="54"/>
      <c r="W2748" s="23"/>
      <c r="X2748" s="23"/>
      <c r="Y2748" s="23"/>
      <c r="Z2748" s="43"/>
      <c r="AA2748" s="23"/>
      <c r="AB2748" s="23"/>
      <c r="AC2748" s="23"/>
      <c r="AD2748" s="23"/>
      <c r="AE2748" s="23"/>
      <c r="AF2748" s="23"/>
      <c r="AG2748" s="23"/>
      <c r="AH2748" s="23"/>
      <c r="AI2748" s="49"/>
    </row>
    <row r="2749" spans="1:35">
      <c r="A2749" s="23"/>
      <c r="B2749" s="42"/>
      <c r="C2749" s="49"/>
      <c r="E2749" s="49"/>
      <c r="G2749" s="43"/>
      <c r="H2749" s="44"/>
      <c r="L2749" s="42"/>
      <c r="M2749" s="42"/>
      <c r="N2749" s="25"/>
      <c r="O2749" s="54"/>
      <c r="P2749"/>
      <c r="Q2749" s="25"/>
      <c r="R2749" s="54"/>
      <c r="W2749" s="23"/>
      <c r="X2749" s="23"/>
      <c r="Y2749" s="23"/>
      <c r="Z2749" s="43"/>
      <c r="AA2749" s="23"/>
      <c r="AB2749" s="23"/>
      <c r="AC2749" s="23"/>
      <c r="AD2749" s="23"/>
      <c r="AE2749" s="23"/>
      <c r="AF2749" s="23"/>
      <c r="AG2749" s="23"/>
      <c r="AH2749" s="23"/>
      <c r="AI2749" s="49"/>
    </row>
    <row r="2750" spans="1:35">
      <c r="A2750" s="23"/>
      <c r="B2750" s="42"/>
      <c r="C2750" s="49"/>
      <c r="E2750" s="49"/>
      <c r="G2750" s="43"/>
      <c r="H2750" s="44"/>
      <c r="L2750" s="42"/>
      <c r="M2750" s="42"/>
      <c r="N2750" s="25"/>
      <c r="O2750" s="54"/>
      <c r="P2750"/>
      <c r="Q2750" s="25"/>
      <c r="R2750" s="54"/>
      <c r="W2750" s="23"/>
      <c r="X2750" s="23"/>
      <c r="Y2750" s="23"/>
      <c r="Z2750" s="43"/>
      <c r="AA2750" s="23"/>
      <c r="AB2750" s="23"/>
      <c r="AC2750" s="23"/>
      <c r="AD2750" s="23"/>
      <c r="AE2750" s="23"/>
      <c r="AF2750" s="23"/>
      <c r="AG2750" s="23"/>
      <c r="AH2750" s="23"/>
      <c r="AI2750" s="49"/>
    </row>
    <row r="2751" spans="1:35">
      <c r="A2751" s="23"/>
      <c r="B2751" s="42"/>
      <c r="C2751" s="49"/>
      <c r="E2751" s="49"/>
      <c r="G2751" s="43"/>
      <c r="H2751" s="44"/>
      <c r="L2751" s="42"/>
      <c r="M2751" s="42"/>
      <c r="N2751" s="25"/>
      <c r="O2751" s="54"/>
      <c r="P2751"/>
      <c r="Q2751" s="25"/>
      <c r="R2751" s="54"/>
      <c r="W2751" s="23"/>
      <c r="X2751" s="23"/>
      <c r="Y2751" s="23"/>
      <c r="Z2751" s="43"/>
      <c r="AA2751" s="23"/>
      <c r="AB2751" s="23"/>
      <c r="AC2751" s="23"/>
      <c r="AD2751" s="23"/>
      <c r="AE2751" s="23"/>
      <c r="AF2751" s="23"/>
      <c r="AG2751" s="23"/>
      <c r="AH2751" s="23"/>
      <c r="AI2751" s="49"/>
    </row>
    <row r="2752" spans="1:35">
      <c r="A2752" s="23"/>
      <c r="B2752" s="42"/>
      <c r="C2752" s="49"/>
      <c r="E2752" s="49"/>
      <c r="G2752" s="43"/>
      <c r="H2752" s="44"/>
      <c r="L2752" s="42"/>
      <c r="M2752" s="42"/>
      <c r="N2752" s="25"/>
      <c r="O2752" s="54"/>
      <c r="P2752"/>
      <c r="Q2752" s="25"/>
      <c r="R2752" s="54"/>
      <c r="W2752" s="23"/>
      <c r="X2752" s="23"/>
      <c r="Y2752" s="23"/>
      <c r="Z2752" s="43"/>
      <c r="AA2752" s="23"/>
      <c r="AB2752" s="23"/>
      <c r="AC2752" s="23"/>
      <c r="AD2752" s="23"/>
      <c r="AE2752" s="23"/>
      <c r="AF2752" s="23"/>
      <c r="AG2752" s="23"/>
      <c r="AH2752" s="23"/>
      <c r="AI2752" s="49"/>
    </row>
    <row r="2753" spans="1:35">
      <c r="A2753" s="23"/>
      <c r="B2753" s="42"/>
      <c r="C2753" s="49"/>
      <c r="E2753" s="49"/>
      <c r="G2753" s="43"/>
      <c r="H2753" s="44"/>
      <c r="L2753" s="42"/>
      <c r="M2753" s="42"/>
      <c r="N2753" s="25"/>
      <c r="O2753" s="54"/>
      <c r="P2753"/>
      <c r="Q2753" s="25"/>
      <c r="R2753" s="54"/>
      <c r="W2753" s="23"/>
      <c r="X2753" s="23"/>
      <c r="Y2753" s="23"/>
      <c r="Z2753" s="43"/>
      <c r="AA2753" s="23"/>
      <c r="AB2753" s="23"/>
      <c r="AC2753" s="23"/>
      <c r="AD2753" s="23"/>
      <c r="AE2753" s="23"/>
      <c r="AF2753" s="23"/>
      <c r="AG2753" s="23"/>
      <c r="AH2753" s="23"/>
      <c r="AI2753" s="49"/>
    </row>
    <row r="2754" spans="1:35">
      <c r="A2754" s="23"/>
      <c r="B2754" s="42"/>
      <c r="C2754" s="49"/>
      <c r="E2754" s="49"/>
      <c r="G2754" s="43"/>
      <c r="H2754" s="44"/>
      <c r="L2754" s="42"/>
      <c r="M2754" s="42"/>
      <c r="N2754" s="25"/>
      <c r="O2754" s="54"/>
      <c r="P2754"/>
      <c r="Q2754" s="25"/>
      <c r="R2754" s="54"/>
      <c r="W2754" s="23"/>
      <c r="X2754" s="23"/>
      <c r="Y2754" s="23"/>
      <c r="Z2754" s="43"/>
      <c r="AA2754" s="23"/>
      <c r="AB2754" s="23"/>
      <c r="AC2754" s="23"/>
      <c r="AD2754" s="23"/>
      <c r="AE2754" s="23"/>
      <c r="AF2754" s="23"/>
      <c r="AG2754" s="23"/>
      <c r="AH2754" s="23"/>
      <c r="AI2754" s="49"/>
    </row>
    <row r="2755" spans="1:35">
      <c r="A2755" s="23"/>
      <c r="B2755" s="42"/>
      <c r="C2755" s="49"/>
      <c r="E2755" s="49"/>
      <c r="G2755" s="43"/>
      <c r="H2755" s="44"/>
      <c r="L2755" s="42"/>
      <c r="M2755" s="42"/>
      <c r="N2755" s="25"/>
      <c r="O2755" s="54"/>
      <c r="P2755"/>
      <c r="Q2755" s="25"/>
      <c r="R2755" s="54"/>
      <c r="W2755" s="23"/>
      <c r="X2755" s="23"/>
      <c r="Y2755" s="23"/>
      <c r="Z2755" s="43"/>
      <c r="AA2755" s="23"/>
      <c r="AB2755" s="23"/>
      <c r="AC2755" s="23"/>
      <c r="AD2755" s="23"/>
      <c r="AE2755" s="23"/>
      <c r="AF2755" s="23"/>
      <c r="AG2755" s="23"/>
      <c r="AH2755" s="23"/>
      <c r="AI2755" s="49"/>
    </row>
    <row r="2756" spans="1:35">
      <c r="A2756" s="23"/>
      <c r="B2756" s="42"/>
      <c r="C2756" s="49"/>
      <c r="E2756" s="49"/>
      <c r="G2756" s="43"/>
      <c r="H2756" s="44"/>
      <c r="L2756" s="42"/>
      <c r="M2756" s="42"/>
      <c r="N2756" s="25"/>
      <c r="O2756" s="54"/>
      <c r="P2756"/>
      <c r="Q2756" s="25"/>
      <c r="R2756" s="54"/>
      <c r="W2756" s="23"/>
      <c r="X2756" s="23"/>
      <c r="Y2756" s="23"/>
      <c r="Z2756" s="43"/>
      <c r="AA2756" s="23"/>
      <c r="AB2756" s="23"/>
      <c r="AC2756" s="23"/>
      <c r="AD2756" s="23"/>
      <c r="AE2756" s="23"/>
      <c r="AF2756" s="23"/>
      <c r="AG2756" s="23"/>
      <c r="AH2756" s="23"/>
      <c r="AI2756" s="49"/>
    </row>
    <row r="2757" spans="1:35">
      <c r="A2757" s="23"/>
      <c r="B2757" s="42"/>
      <c r="C2757" s="49"/>
      <c r="E2757" s="49"/>
      <c r="G2757" s="43"/>
      <c r="H2757" s="44"/>
      <c r="L2757" s="42"/>
      <c r="M2757" s="42"/>
      <c r="N2757" s="25"/>
      <c r="O2757" s="54"/>
      <c r="P2757"/>
      <c r="Q2757" s="25"/>
      <c r="R2757" s="54"/>
      <c r="W2757" s="23"/>
      <c r="X2757" s="23"/>
      <c r="Y2757" s="23"/>
      <c r="Z2757" s="43"/>
      <c r="AA2757" s="23"/>
      <c r="AB2757" s="23"/>
      <c r="AC2757" s="23"/>
      <c r="AD2757" s="23"/>
      <c r="AE2757" s="23"/>
      <c r="AF2757" s="23"/>
      <c r="AG2757" s="23"/>
      <c r="AH2757" s="23"/>
      <c r="AI2757" s="49"/>
    </row>
    <row r="2758" spans="1:35">
      <c r="A2758" s="23"/>
      <c r="B2758" s="42"/>
      <c r="C2758" s="49"/>
      <c r="E2758" s="49"/>
      <c r="G2758" s="43"/>
      <c r="H2758" s="44"/>
      <c r="L2758" s="42"/>
      <c r="M2758" s="42"/>
      <c r="N2758" s="25"/>
      <c r="O2758" s="54"/>
      <c r="P2758"/>
      <c r="Q2758" s="25"/>
      <c r="R2758" s="54"/>
      <c r="W2758" s="23"/>
      <c r="X2758" s="23"/>
      <c r="Y2758" s="23"/>
      <c r="Z2758" s="43"/>
      <c r="AA2758" s="23"/>
      <c r="AB2758" s="23"/>
      <c r="AC2758" s="23"/>
      <c r="AD2758" s="23"/>
      <c r="AE2758" s="23"/>
      <c r="AF2758" s="23"/>
      <c r="AG2758" s="23"/>
      <c r="AH2758" s="23"/>
      <c r="AI2758" s="49"/>
    </row>
    <row r="2759" spans="1:35">
      <c r="A2759" s="23"/>
      <c r="B2759" s="42"/>
      <c r="C2759" s="49"/>
      <c r="E2759" s="49"/>
      <c r="G2759" s="43"/>
      <c r="H2759" s="44"/>
      <c r="L2759" s="42"/>
      <c r="M2759" s="42"/>
      <c r="N2759" s="25"/>
      <c r="O2759" s="54"/>
      <c r="P2759"/>
      <c r="Q2759" s="25"/>
      <c r="R2759" s="54"/>
      <c r="W2759" s="23"/>
      <c r="X2759" s="23"/>
      <c r="Y2759" s="23"/>
      <c r="Z2759" s="43"/>
      <c r="AA2759" s="23"/>
      <c r="AB2759" s="23"/>
      <c r="AC2759" s="23"/>
      <c r="AD2759" s="23"/>
      <c r="AE2759" s="23"/>
      <c r="AF2759" s="23"/>
      <c r="AG2759" s="23"/>
      <c r="AH2759" s="23"/>
      <c r="AI2759" s="49"/>
    </row>
    <row r="2760" spans="1:35">
      <c r="A2760" s="23"/>
      <c r="B2760" s="42"/>
      <c r="C2760" s="49"/>
      <c r="E2760" s="49"/>
      <c r="G2760" s="43"/>
      <c r="H2760" s="44"/>
      <c r="L2760" s="42"/>
      <c r="M2760" s="42"/>
      <c r="N2760" s="25"/>
      <c r="O2760" s="54"/>
      <c r="P2760"/>
      <c r="Q2760" s="25"/>
      <c r="R2760" s="54"/>
      <c r="W2760" s="23"/>
      <c r="X2760" s="23"/>
      <c r="Y2760" s="23"/>
      <c r="Z2760" s="43"/>
      <c r="AA2760" s="23"/>
      <c r="AB2760" s="23"/>
      <c r="AC2760" s="23"/>
      <c r="AD2760" s="23"/>
      <c r="AE2760" s="23"/>
      <c r="AF2760" s="23"/>
      <c r="AG2760" s="23"/>
      <c r="AH2760" s="23"/>
      <c r="AI2760" s="49"/>
    </row>
    <row r="2761" spans="1:35">
      <c r="A2761" s="23"/>
      <c r="B2761" s="42"/>
      <c r="C2761" s="49"/>
      <c r="E2761" s="49"/>
      <c r="G2761" s="43"/>
      <c r="H2761" s="44"/>
      <c r="L2761" s="42"/>
      <c r="M2761" s="42"/>
      <c r="N2761" s="25"/>
      <c r="O2761" s="54"/>
      <c r="P2761"/>
      <c r="Q2761" s="25"/>
      <c r="R2761" s="54"/>
      <c r="W2761" s="23"/>
      <c r="X2761" s="23"/>
      <c r="Y2761" s="23"/>
      <c r="Z2761" s="43"/>
      <c r="AA2761" s="23"/>
      <c r="AB2761" s="23"/>
      <c r="AC2761" s="23"/>
      <c r="AD2761" s="23"/>
      <c r="AE2761" s="23"/>
      <c r="AF2761" s="23"/>
      <c r="AG2761" s="23"/>
      <c r="AH2761" s="23"/>
      <c r="AI2761" s="49"/>
    </row>
    <row r="2762" spans="1:35">
      <c r="A2762" s="23"/>
      <c r="B2762" s="42"/>
      <c r="C2762" s="49"/>
      <c r="E2762" s="49"/>
      <c r="G2762" s="43"/>
      <c r="H2762" s="44"/>
      <c r="L2762" s="42"/>
      <c r="M2762" s="42"/>
      <c r="N2762" s="25"/>
      <c r="O2762" s="54"/>
      <c r="P2762"/>
      <c r="Q2762" s="25"/>
      <c r="R2762" s="54"/>
      <c r="W2762" s="23"/>
      <c r="X2762" s="23"/>
      <c r="Y2762" s="23"/>
      <c r="Z2762" s="43"/>
      <c r="AA2762" s="23"/>
      <c r="AB2762" s="23"/>
      <c r="AC2762" s="23"/>
      <c r="AD2762" s="23"/>
      <c r="AE2762" s="23"/>
      <c r="AF2762" s="23"/>
      <c r="AG2762" s="23"/>
      <c r="AH2762" s="23"/>
      <c r="AI2762" s="49"/>
    </row>
    <row r="2763" spans="1:35">
      <c r="A2763" s="23"/>
      <c r="B2763" s="42"/>
      <c r="C2763" s="49"/>
      <c r="E2763" s="49"/>
      <c r="G2763" s="43"/>
      <c r="H2763" s="44"/>
      <c r="L2763" s="42"/>
      <c r="M2763" s="42"/>
      <c r="N2763" s="25"/>
      <c r="O2763" s="54"/>
      <c r="P2763"/>
      <c r="Q2763" s="25"/>
      <c r="R2763" s="54"/>
      <c r="W2763" s="23"/>
      <c r="X2763" s="23"/>
      <c r="Y2763" s="23"/>
      <c r="Z2763" s="43"/>
      <c r="AA2763" s="23"/>
      <c r="AB2763" s="23"/>
      <c r="AC2763" s="23"/>
      <c r="AD2763" s="23"/>
      <c r="AE2763" s="23"/>
      <c r="AF2763" s="23"/>
      <c r="AG2763" s="23"/>
      <c r="AH2763" s="23"/>
      <c r="AI2763" s="49"/>
    </row>
    <row r="2764" spans="1:35">
      <c r="A2764" s="23"/>
      <c r="B2764" s="42"/>
      <c r="C2764" s="49"/>
      <c r="E2764" s="49"/>
      <c r="G2764" s="43"/>
      <c r="H2764" s="44"/>
      <c r="L2764" s="42"/>
      <c r="M2764" s="42"/>
      <c r="N2764" s="25"/>
      <c r="O2764" s="54"/>
      <c r="P2764"/>
      <c r="Q2764" s="25"/>
      <c r="R2764" s="54"/>
      <c r="W2764" s="23"/>
      <c r="X2764" s="23"/>
      <c r="Y2764" s="23"/>
      <c r="Z2764" s="43"/>
      <c r="AA2764" s="23"/>
      <c r="AB2764" s="23"/>
      <c r="AC2764" s="23"/>
      <c r="AD2764" s="23"/>
      <c r="AE2764" s="23"/>
      <c r="AF2764" s="23"/>
      <c r="AG2764" s="23"/>
      <c r="AH2764" s="23"/>
      <c r="AI2764" s="49"/>
    </row>
    <row r="2765" spans="1:35">
      <c r="A2765" s="23"/>
      <c r="B2765" s="42"/>
      <c r="C2765" s="49"/>
      <c r="E2765" s="49"/>
      <c r="G2765" s="43"/>
      <c r="H2765" s="44"/>
      <c r="L2765" s="42"/>
      <c r="M2765" s="42"/>
      <c r="N2765" s="25"/>
      <c r="O2765" s="54"/>
      <c r="P2765"/>
      <c r="Q2765" s="25"/>
      <c r="R2765" s="54"/>
      <c r="W2765" s="23"/>
      <c r="X2765" s="23"/>
      <c r="Y2765" s="23"/>
      <c r="Z2765" s="43"/>
      <c r="AA2765" s="23"/>
      <c r="AB2765" s="23"/>
      <c r="AC2765" s="23"/>
      <c r="AD2765" s="23"/>
      <c r="AE2765" s="23"/>
      <c r="AF2765" s="23"/>
      <c r="AG2765" s="23"/>
      <c r="AH2765" s="23"/>
      <c r="AI2765" s="49"/>
    </row>
    <row r="2766" spans="1:35">
      <c r="A2766" s="23"/>
      <c r="B2766" s="42"/>
      <c r="C2766" s="49"/>
      <c r="E2766" s="49"/>
      <c r="G2766" s="43"/>
      <c r="H2766" s="44"/>
      <c r="L2766" s="42"/>
      <c r="M2766" s="42"/>
      <c r="N2766" s="25"/>
      <c r="O2766" s="54"/>
      <c r="P2766"/>
      <c r="Q2766" s="25"/>
      <c r="R2766" s="54"/>
      <c r="W2766" s="23"/>
      <c r="X2766" s="23"/>
      <c r="Y2766" s="23"/>
      <c r="Z2766" s="43"/>
      <c r="AA2766" s="23"/>
      <c r="AB2766" s="23"/>
      <c r="AC2766" s="23"/>
      <c r="AD2766" s="23"/>
      <c r="AE2766" s="23"/>
      <c r="AF2766" s="23"/>
      <c r="AG2766" s="23"/>
      <c r="AH2766" s="23"/>
      <c r="AI2766" s="49"/>
    </row>
    <row r="2767" spans="1:35">
      <c r="A2767" s="23"/>
      <c r="B2767" s="42"/>
      <c r="C2767" s="49"/>
      <c r="E2767" s="49"/>
      <c r="G2767" s="43"/>
      <c r="H2767" s="44"/>
      <c r="L2767" s="42"/>
      <c r="M2767" s="42"/>
      <c r="N2767" s="25"/>
      <c r="O2767" s="54"/>
      <c r="P2767"/>
      <c r="Q2767" s="25"/>
      <c r="R2767" s="54"/>
      <c r="W2767" s="23"/>
      <c r="X2767" s="23"/>
      <c r="Y2767" s="23"/>
      <c r="Z2767" s="43"/>
      <c r="AA2767" s="23"/>
      <c r="AB2767" s="23"/>
      <c r="AC2767" s="23"/>
      <c r="AD2767" s="23"/>
      <c r="AE2767" s="23"/>
      <c r="AF2767" s="23"/>
      <c r="AG2767" s="23"/>
      <c r="AH2767" s="23"/>
      <c r="AI2767" s="49"/>
    </row>
    <row r="2768" spans="1:35">
      <c r="A2768" s="23"/>
      <c r="B2768" s="42"/>
      <c r="C2768" s="49"/>
      <c r="E2768" s="49"/>
      <c r="G2768" s="43"/>
      <c r="H2768" s="44"/>
      <c r="L2768" s="42"/>
      <c r="M2768" s="42"/>
      <c r="N2768" s="25"/>
      <c r="O2768" s="54"/>
      <c r="P2768"/>
      <c r="Q2768" s="25"/>
      <c r="R2768" s="54"/>
      <c r="W2768" s="23"/>
      <c r="X2768" s="23"/>
      <c r="Y2768" s="23"/>
      <c r="Z2768" s="43"/>
      <c r="AA2768" s="23"/>
      <c r="AB2768" s="23"/>
      <c r="AC2768" s="23"/>
      <c r="AD2768" s="23"/>
      <c r="AE2768" s="23"/>
      <c r="AF2768" s="23"/>
      <c r="AG2768" s="23"/>
      <c r="AH2768" s="23"/>
      <c r="AI2768" s="49"/>
    </row>
    <row r="2769" spans="1:35">
      <c r="A2769" s="23"/>
      <c r="B2769" s="42"/>
      <c r="C2769" s="49"/>
      <c r="E2769" s="49"/>
      <c r="G2769" s="43"/>
      <c r="H2769" s="44"/>
      <c r="L2769" s="42"/>
      <c r="M2769" s="42"/>
      <c r="N2769" s="25"/>
      <c r="O2769" s="54"/>
      <c r="P2769"/>
      <c r="Q2769" s="25"/>
      <c r="R2769" s="54"/>
      <c r="W2769" s="23"/>
      <c r="X2769" s="23"/>
      <c r="Y2769" s="23"/>
      <c r="Z2769" s="43"/>
      <c r="AA2769" s="23"/>
      <c r="AB2769" s="23"/>
      <c r="AC2769" s="23"/>
      <c r="AD2769" s="23"/>
      <c r="AE2769" s="23"/>
      <c r="AF2769" s="23"/>
      <c r="AG2769" s="23"/>
      <c r="AH2769" s="23"/>
      <c r="AI2769" s="49"/>
    </row>
    <row r="2770" spans="1:35">
      <c r="A2770" s="23"/>
      <c r="B2770" s="42"/>
      <c r="C2770" s="49"/>
      <c r="E2770" s="49"/>
      <c r="G2770" s="43"/>
      <c r="H2770" s="44"/>
      <c r="L2770" s="42"/>
      <c r="M2770" s="42"/>
      <c r="N2770" s="25"/>
      <c r="O2770" s="54"/>
      <c r="P2770"/>
      <c r="Q2770" s="25"/>
      <c r="R2770" s="54"/>
      <c r="W2770" s="23"/>
      <c r="X2770" s="23"/>
      <c r="Y2770" s="23"/>
      <c r="Z2770" s="43"/>
      <c r="AA2770" s="23"/>
      <c r="AB2770" s="23"/>
      <c r="AC2770" s="23"/>
      <c r="AD2770" s="23"/>
      <c r="AE2770" s="23"/>
      <c r="AF2770" s="23"/>
      <c r="AG2770" s="23"/>
      <c r="AH2770" s="23"/>
      <c r="AI2770" s="49"/>
    </row>
    <row r="2771" spans="1:35">
      <c r="A2771" s="23"/>
      <c r="B2771" s="42"/>
      <c r="C2771" s="49"/>
      <c r="E2771" s="49"/>
      <c r="G2771" s="43"/>
      <c r="H2771" s="44"/>
      <c r="L2771" s="42"/>
      <c r="M2771" s="42"/>
      <c r="N2771" s="25"/>
      <c r="O2771" s="54"/>
      <c r="P2771"/>
      <c r="Q2771" s="25"/>
      <c r="R2771" s="54"/>
      <c r="W2771" s="23"/>
      <c r="X2771" s="23"/>
      <c r="Y2771" s="23"/>
      <c r="Z2771" s="43"/>
      <c r="AA2771" s="23"/>
      <c r="AB2771" s="23"/>
      <c r="AC2771" s="23"/>
      <c r="AD2771" s="23"/>
      <c r="AE2771" s="23"/>
      <c r="AF2771" s="23"/>
      <c r="AG2771" s="23"/>
      <c r="AH2771" s="23"/>
      <c r="AI2771" s="49"/>
    </row>
    <row r="2772" spans="1:35">
      <c r="A2772" s="23"/>
      <c r="B2772" s="42"/>
      <c r="C2772" s="49"/>
      <c r="E2772" s="49"/>
      <c r="G2772" s="43"/>
      <c r="H2772" s="44"/>
      <c r="L2772" s="42"/>
      <c r="M2772" s="42"/>
      <c r="N2772" s="25"/>
      <c r="O2772" s="54"/>
      <c r="P2772"/>
      <c r="Q2772" s="25"/>
      <c r="R2772" s="54"/>
      <c r="W2772" s="23"/>
      <c r="X2772" s="23"/>
      <c r="Y2772" s="23"/>
      <c r="Z2772" s="43"/>
      <c r="AA2772" s="23"/>
      <c r="AB2772" s="23"/>
      <c r="AC2772" s="23"/>
      <c r="AD2772" s="23"/>
      <c r="AE2772" s="23"/>
      <c r="AF2772" s="23"/>
      <c r="AG2772" s="23"/>
      <c r="AH2772" s="23"/>
      <c r="AI2772" s="49"/>
    </row>
    <row r="2773" spans="1:35">
      <c r="A2773" s="23"/>
      <c r="B2773" s="42"/>
      <c r="C2773" s="49"/>
      <c r="E2773" s="49"/>
      <c r="G2773" s="43"/>
      <c r="H2773" s="44"/>
      <c r="L2773" s="42"/>
      <c r="M2773" s="42"/>
      <c r="N2773" s="25"/>
      <c r="O2773" s="54"/>
      <c r="P2773"/>
      <c r="Q2773" s="25"/>
      <c r="R2773" s="54"/>
      <c r="W2773" s="23"/>
      <c r="X2773" s="23"/>
      <c r="Y2773" s="23"/>
      <c r="Z2773" s="43"/>
      <c r="AA2773" s="23"/>
      <c r="AB2773" s="23"/>
      <c r="AC2773" s="23"/>
      <c r="AD2773" s="23"/>
      <c r="AE2773" s="23"/>
      <c r="AF2773" s="23"/>
      <c r="AG2773" s="23"/>
      <c r="AH2773" s="23"/>
      <c r="AI2773" s="49"/>
    </row>
    <row r="2774" spans="1:35">
      <c r="A2774" s="23"/>
      <c r="B2774" s="42"/>
      <c r="C2774" s="49"/>
      <c r="E2774" s="49"/>
      <c r="G2774" s="43"/>
      <c r="H2774" s="44"/>
      <c r="L2774" s="42"/>
      <c r="M2774" s="42"/>
      <c r="N2774" s="25"/>
      <c r="O2774" s="54"/>
      <c r="P2774"/>
      <c r="Q2774" s="25"/>
      <c r="R2774" s="54"/>
      <c r="W2774" s="23"/>
      <c r="X2774" s="23"/>
      <c r="Y2774" s="23"/>
      <c r="Z2774" s="43"/>
      <c r="AA2774" s="23"/>
      <c r="AB2774" s="23"/>
      <c r="AC2774" s="23"/>
      <c r="AD2774" s="23"/>
      <c r="AE2774" s="23"/>
      <c r="AF2774" s="23"/>
      <c r="AG2774" s="23"/>
      <c r="AH2774" s="23"/>
      <c r="AI2774" s="49"/>
    </row>
    <row r="2775" spans="1:35">
      <c r="A2775" s="23"/>
      <c r="B2775" s="42"/>
      <c r="C2775" s="49"/>
      <c r="E2775" s="49"/>
      <c r="G2775" s="43"/>
      <c r="H2775" s="44"/>
      <c r="L2775" s="42"/>
      <c r="M2775" s="42"/>
      <c r="N2775" s="25"/>
      <c r="O2775" s="54"/>
      <c r="P2775"/>
      <c r="Q2775" s="25"/>
      <c r="R2775" s="54"/>
      <c r="W2775" s="23"/>
      <c r="X2775" s="23"/>
      <c r="Y2775" s="23"/>
      <c r="Z2775" s="43"/>
      <c r="AA2775" s="23"/>
      <c r="AB2775" s="23"/>
      <c r="AC2775" s="23"/>
      <c r="AD2775" s="23"/>
      <c r="AE2775" s="23"/>
      <c r="AF2775" s="23"/>
      <c r="AG2775" s="23"/>
      <c r="AH2775" s="23"/>
      <c r="AI2775" s="49"/>
    </row>
    <row r="2776" spans="1:35">
      <c r="A2776" s="23"/>
      <c r="B2776" s="42"/>
      <c r="C2776" s="49"/>
      <c r="E2776" s="49"/>
      <c r="G2776" s="43"/>
      <c r="H2776" s="44"/>
      <c r="L2776" s="42"/>
      <c r="M2776" s="42"/>
      <c r="N2776" s="25"/>
      <c r="O2776" s="54"/>
      <c r="P2776"/>
      <c r="Q2776" s="25"/>
      <c r="R2776" s="54"/>
      <c r="W2776" s="23"/>
      <c r="X2776" s="23"/>
      <c r="Y2776" s="23"/>
      <c r="Z2776" s="43"/>
      <c r="AA2776" s="23"/>
      <c r="AB2776" s="23"/>
      <c r="AC2776" s="23"/>
      <c r="AD2776" s="23"/>
      <c r="AE2776" s="23"/>
      <c r="AF2776" s="23"/>
      <c r="AG2776" s="23"/>
      <c r="AH2776" s="23"/>
      <c r="AI2776" s="49"/>
    </row>
    <row r="2777" spans="1:35">
      <c r="A2777" s="23"/>
      <c r="B2777" s="42"/>
      <c r="C2777" s="49"/>
      <c r="E2777" s="49"/>
      <c r="G2777" s="43"/>
      <c r="H2777" s="44"/>
      <c r="L2777" s="42"/>
      <c r="M2777" s="42"/>
      <c r="N2777" s="25"/>
      <c r="O2777" s="54"/>
      <c r="P2777"/>
      <c r="Q2777" s="25"/>
      <c r="R2777" s="54"/>
      <c r="W2777" s="23"/>
      <c r="X2777" s="23"/>
      <c r="Y2777" s="23"/>
      <c r="Z2777" s="43"/>
      <c r="AA2777" s="23"/>
      <c r="AB2777" s="23"/>
      <c r="AC2777" s="23"/>
      <c r="AD2777" s="23"/>
      <c r="AE2777" s="23"/>
      <c r="AF2777" s="23"/>
      <c r="AG2777" s="23"/>
      <c r="AH2777" s="23"/>
      <c r="AI2777" s="49"/>
    </row>
    <row r="2778" spans="1:35">
      <c r="A2778" s="23"/>
      <c r="B2778" s="42"/>
      <c r="C2778" s="49"/>
      <c r="E2778" s="49"/>
      <c r="G2778" s="43"/>
      <c r="H2778" s="44"/>
      <c r="L2778" s="42"/>
      <c r="M2778" s="42"/>
      <c r="N2778" s="25"/>
      <c r="O2778" s="54"/>
      <c r="P2778"/>
      <c r="Q2778" s="25"/>
      <c r="R2778" s="54"/>
      <c r="W2778" s="23"/>
      <c r="X2778" s="23"/>
      <c r="Y2778" s="23"/>
      <c r="Z2778" s="43"/>
      <c r="AA2778" s="23"/>
      <c r="AB2778" s="23"/>
      <c r="AC2778" s="23"/>
      <c r="AD2778" s="23"/>
      <c r="AE2778" s="23"/>
      <c r="AF2778" s="23"/>
      <c r="AG2778" s="23"/>
      <c r="AH2778" s="23"/>
      <c r="AI2778" s="49"/>
    </row>
    <row r="2779" spans="1:35">
      <c r="A2779" s="23"/>
      <c r="B2779" s="42"/>
      <c r="C2779" s="49"/>
      <c r="E2779" s="49"/>
      <c r="G2779" s="43"/>
      <c r="H2779" s="44"/>
      <c r="L2779" s="42"/>
      <c r="M2779" s="42"/>
      <c r="N2779" s="25"/>
      <c r="O2779" s="54"/>
      <c r="P2779"/>
      <c r="Q2779" s="25"/>
      <c r="R2779" s="54"/>
      <c r="W2779" s="23"/>
      <c r="X2779" s="23"/>
      <c r="Y2779" s="23"/>
      <c r="Z2779" s="43"/>
      <c r="AA2779" s="23"/>
      <c r="AB2779" s="23"/>
      <c r="AC2779" s="23"/>
      <c r="AD2779" s="23"/>
      <c r="AE2779" s="23"/>
      <c r="AF2779" s="23"/>
      <c r="AG2779" s="23"/>
      <c r="AH2779" s="23"/>
      <c r="AI2779" s="49"/>
    </row>
    <row r="2780" spans="1:35">
      <c r="A2780" s="23"/>
      <c r="B2780" s="42"/>
      <c r="C2780" s="49"/>
      <c r="E2780" s="49"/>
      <c r="G2780" s="43"/>
      <c r="H2780" s="44"/>
      <c r="L2780" s="42"/>
      <c r="M2780" s="42"/>
      <c r="N2780" s="25"/>
      <c r="O2780" s="54"/>
      <c r="P2780"/>
      <c r="Q2780" s="25"/>
      <c r="R2780" s="54"/>
      <c r="W2780" s="23"/>
      <c r="X2780" s="23"/>
      <c r="Y2780" s="23"/>
      <c r="Z2780" s="43"/>
      <c r="AA2780" s="23"/>
      <c r="AB2780" s="23"/>
      <c r="AC2780" s="23"/>
      <c r="AD2780" s="23"/>
      <c r="AE2780" s="23"/>
      <c r="AF2780" s="23"/>
      <c r="AG2780" s="23"/>
      <c r="AH2780" s="23"/>
      <c r="AI2780" s="49"/>
    </row>
    <row r="2781" spans="1:35">
      <c r="A2781" s="23"/>
      <c r="B2781" s="42"/>
      <c r="C2781" s="49"/>
      <c r="E2781" s="49"/>
      <c r="G2781" s="43"/>
      <c r="H2781" s="44"/>
      <c r="L2781" s="42"/>
      <c r="M2781" s="42"/>
      <c r="N2781" s="25"/>
      <c r="O2781" s="54"/>
      <c r="P2781"/>
      <c r="Q2781" s="25"/>
      <c r="R2781" s="54"/>
      <c r="W2781" s="23"/>
      <c r="X2781" s="23"/>
      <c r="Y2781" s="23"/>
      <c r="Z2781" s="43"/>
      <c r="AA2781" s="23"/>
      <c r="AB2781" s="23"/>
      <c r="AC2781" s="23"/>
      <c r="AD2781" s="23"/>
      <c r="AE2781" s="23"/>
      <c r="AF2781" s="23"/>
      <c r="AG2781" s="23"/>
      <c r="AH2781" s="23"/>
      <c r="AI2781" s="49"/>
    </row>
    <row r="2782" spans="1:35">
      <c r="A2782" s="23"/>
      <c r="B2782" s="42"/>
      <c r="C2782" s="49"/>
      <c r="E2782" s="49"/>
      <c r="G2782" s="43"/>
      <c r="H2782" s="44"/>
      <c r="L2782" s="42"/>
      <c r="M2782" s="42"/>
      <c r="N2782" s="25"/>
      <c r="O2782" s="54"/>
      <c r="P2782"/>
      <c r="Q2782" s="25"/>
      <c r="R2782" s="54"/>
      <c r="W2782" s="23"/>
      <c r="X2782" s="23"/>
      <c r="Y2782" s="23"/>
      <c r="Z2782" s="43"/>
      <c r="AA2782" s="23"/>
      <c r="AB2782" s="23"/>
      <c r="AC2782" s="23"/>
      <c r="AD2782" s="23"/>
      <c r="AE2782" s="23"/>
      <c r="AF2782" s="23"/>
      <c r="AG2782" s="23"/>
      <c r="AH2782" s="23"/>
      <c r="AI2782" s="49"/>
    </row>
    <row r="2783" spans="1:35">
      <c r="A2783" s="23"/>
      <c r="B2783" s="42"/>
      <c r="C2783" s="49"/>
      <c r="E2783" s="49"/>
      <c r="G2783" s="43"/>
      <c r="H2783" s="44"/>
      <c r="L2783" s="42"/>
      <c r="M2783" s="42"/>
      <c r="N2783" s="25"/>
      <c r="O2783" s="54"/>
      <c r="P2783"/>
      <c r="Q2783" s="25"/>
      <c r="R2783" s="54"/>
      <c r="W2783" s="23"/>
      <c r="X2783" s="23"/>
      <c r="Y2783" s="23"/>
      <c r="Z2783" s="43"/>
      <c r="AA2783" s="23"/>
      <c r="AB2783" s="23"/>
      <c r="AC2783" s="23"/>
      <c r="AD2783" s="23"/>
      <c r="AE2783" s="23"/>
      <c r="AF2783" s="23"/>
      <c r="AG2783" s="23"/>
      <c r="AH2783" s="23"/>
      <c r="AI2783" s="49"/>
    </row>
    <row r="2784" spans="1:35">
      <c r="A2784" s="23"/>
      <c r="B2784" s="42"/>
      <c r="C2784" s="49"/>
      <c r="E2784" s="49"/>
      <c r="G2784" s="43"/>
      <c r="H2784" s="44"/>
      <c r="L2784" s="42"/>
      <c r="M2784" s="42"/>
      <c r="N2784" s="25"/>
      <c r="O2784" s="54"/>
      <c r="P2784"/>
      <c r="Q2784" s="25"/>
      <c r="R2784" s="54"/>
      <c r="W2784" s="23"/>
      <c r="X2784" s="23"/>
      <c r="Y2784" s="23"/>
      <c r="Z2784" s="43"/>
      <c r="AA2784" s="23"/>
      <c r="AB2784" s="23"/>
      <c r="AC2784" s="23"/>
      <c r="AD2784" s="23"/>
      <c r="AE2784" s="23"/>
      <c r="AF2784" s="23"/>
      <c r="AG2784" s="23"/>
      <c r="AH2784" s="23"/>
      <c r="AI2784" s="49"/>
    </row>
    <row r="2785" spans="1:35">
      <c r="A2785" s="23"/>
      <c r="B2785" s="42"/>
      <c r="C2785" s="49"/>
      <c r="E2785" s="49"/>
      <c r="G2785" s="43"/>
      <c r="H2785" s="44"/>
      <c r="L2785" s="42"/>
      <c r="M2785" s="42"/>
      <c r="N2785" s="25"/>
      <c r="O2785" s="54"/>
      <c r="P2785"/>
      <c r="Q2785" s="25"/>
      <c r="R2785" s="54"/>
      <c r="W2785" s="23"/>
      <c r="X2785" s="23"/>
      <c r="Y2785" s="23"/>
      <c r="Z2785" s="43"/>
      <c r="AA2785" s="23"/>
      <c r="AB2785" s="23"/>
      <c r="AC2785" s="23"/>
      <c r="AD2785" s="23"/>
      <c r="AE2785" s="23"/>
      <c r="AF2785" s="23"/>
      <c r="AG2785" s="23"/>
      <c r="AH2785" s="23"/>
      <c r="AI2785" s="49"/>
    </row>
    <row r="2786" spans="1:35">
      <c r="A2786" s="23"/>
      <c r="B2786" s="42"/>
      <c r="C2786" s="49"/>
      <c r="E2786" s="49"/>
      <c r="G2786" s="43"/>
      <c r="H2786" s="44"/>
      <c r="L2786" s="42"/>
      <c r="M2786" s="42"/>
      <c r="N2786" s="25"/>
      <c r="O2786" s="54"/>
      <c r="P2786"/>
      <c r="Q2786" s="25"/>
      <c r="R2786" s="54"/>
      <c r="W2786" s="23"/>
      <c r="X2786" s="23"/>
      <c r="Y2786" s="23"/>
      <c r="Z2786" s="43"/>
      <c r="AA2786" s="23"/>
      <c r="AB2786" s="23"/>
      <c r="AC2786" s="23"/>
      <c r="AD2786" s="23"/>
      <c r="AE2786" s="23"/>
      <c r="AF2786" s="23"/>
      <c r="AG2786" s="23"/>
      <c r="AH2786" s="23"/>
      <c r="AI2786" s="49"/>
    </row>
    <row r="2787" spans="1:35">
      <c r="A2787" s="23"/>
      <c r="B2787" s="42"/>
      <c r="C2787" s="49"/>
      <c r="E2787" s="49"/>
      <c r="G2787" s="43"/>
      <c r="H2787" s="44"/>
      <c r="L2787" s="42"/>
      <c r="M2787" s="42"/>
      <c r="N2787" s="25"/>
      <c r="O2787" s="54"/>
      <c r="P2787"/>
      <c r="Q2787" s="25"/>
      <c r="R2787" s="54"/>
      <c r="W2787" s="23"/>
      <c r="X2787" s="23"/>
      <c r="Y2787" s="23"/>
      <c r="Z2787" s="43"/>
      <c r="AA2787" s="23"/>
      <c r="AB2787" s="23"/>
      <c r="AC2787" s="23"/>
      <c r="AD2787" s="23"/>
      <c r="AE2787" s="23"/>
      <c r="AF2787" s="23"/>
      <c r="AG2787" s="23"/>
      <c r="AH2787" s="23"/>
      <c r="AI2787" s="49"/>
    </row>
    <row r="2788" spans="1:35">
      <c r="A2788" s="23"/>
      <c r="B2788" s="42"/>
      <c r="C2788" s="49"/>
      <c r="E2788" s="49"/>
      <c r="G2788" s="43"/>
      <c r="H2788" s="44"/>
      <c r="L2788" s="42"/>
      <c r="M2788" s="42"/>
      <c r="N2788" s="25"/>
      <c r="O2788" s="54"/>
      <c r="P2788"/>
      <c r="Q2788" s="25"/>
      <c r="R2788" s="54"/>
      <c r="W2788" s="23"/>
      <c r="X2788" s="23"/>
      <c r="Y2788" s="23"/>
      <c r="Z2788" s="43"/>
      <c r="AA2788" s="23"/>
      <c r="AB2788" s="23"/>
      <c r="AC2788" s="23"/>
      <c r="AD2788" s="23"/>
      <c r="AE2788" s="23"/>
      <c r="AF2788" s="23"/>
      <c r="AG2788" s="23"/>
      <c r="AH2788" s="23"/>
      <c r="AI2788" s="49"/>
    </row>
    <row r="2789" spans="1:35">
      <c r="A2789" s="23"/>
      <c r="B2789" s="42"/>
      <c r="C2789" s="49"/>
      <c r="E2789" s="49"/>
      <c r="G2789" s="43"/>
      <c r="H2789" s="44"/>
      <c r="L2789" s="42"/>
      <c r="M2789" s="42"/>
      <c r="N2789" s="25"/>
      <c r="O2789" s="54"/>
      <c r="P2789"/>
      <c r="Q2789" s="25"/>
      <c r="R2789" s="54"/>
      <c r="W2789" s="23"/>
      <c r="X2789" s="23"/>
      <c r="Y2789" s="23"/>
      <c r="Z2789" s="43"/>
      <c r="AA2789" s="23"/>
      <c r="AB2789" s="23"/>
      <c r="AC2789" s="23"/>
      <c r="AD2789" s="23"/>
      <c r="AE2789" s="23"/>
      <c r="AF2789" s="23"/>
      <c r="AG2789" s="23"/>
      <c r="AH2789" s="23"/>
      <c r="AI2789" s="49"/>
    </row>
    <row r="2790" spans="1:35">
      <c r="A2790" s="23"/>
      <c r="B2790" s="42"/>
      <c r="C2790" s="49"/>
      <c r="E2790" s="49"/>
      <c r="G2790" s="43"/>
      <c r="H2790" s="44"/>
      <c r="L2790" s="42"/>
      <c r="M2790" s="42"/>
      <c r="N2790" s="25"/>
      <c r="O2790" s="54"/>
      <c r="P2790"/>
      <c r="Q2790" s="25"/>
      <c r="R2790" s="54"/>
      <c r="W2790" s="23"/>
      <c r="X2790" s="23"/>
      <c r="Y2790" s="23"/>
      <c r="Z2790" s="43"/>
      <c r="AA2790" s="23"/>
      <c r="AB2790" s="23"/>
      <c r="AC2790" s="23"/>
      <c r="AD2790" s="23"/>
      <c r="AE2790" s="23"/>
      <c r="AF2790" s="23"/>
      <c r="AG2790" s="23"/>
      <c r="AH2790" s="23"/>
      <c r="AI2790" s="49"/>
    </row>
    <row r="2791" spans="1:35">
      <c r="A2791" s="23"/>
      <c r="B2791" s="42"/>
      <c r="C2791" s="49"/>
      <c r="E2791" s="49"/>
      <c r="G2791" s="43"/>
      <c r="H2791" s="44"/>
      <c r="L2791" s="42"/>
      <c r="M2791" s="42"/>
      <c r="N2791" s="25"/>
      <c r="O2791" s="54"/>
      <c r="P2791"/>
      <c r="Q2791" s="25"/>
      <c r="R2791" s="54"/>
      <c r="W2791" s="23"/>
      <c r="X2791" s="23"/>
      <c r="Y2791" s="23"/>
      <c r="Z2791" s="43"/>
      <c r="AA2791" s="23"/>
      <c r="AB2791" s="23"/>
      <c r="AC2791" s="23"/>
      <c r="AD2791" s="23"/>
      <c r="AE2791" s="23"/>
      <c r="AF2791" s="23"/>
      <c r="AG2791" s="23"/>
      <c r="AH2791" s="23"/>
      <c r="AI2791" s="49"/>
    </row>
    <row r="2792" spans="1:35">
      <c r="A2792" s="23"/>
      <c r="B2792" s="42"/>
      <c r="C2792" s="49"/>
      <c r="E2792" s="49"/>
      <c r="G2792" s="43"/>
      <c r="H2792" s="44"/>
      <c r="L2792" s="42"/>
      <c r="M2792" s="42"/>
      <c r="N2792" s="25"/>
      <c r="O2792" s="54"/>
      <c r="P2792"/>
      <c r="Q2792" s="25"/>
      <c r="R2792" s="54"/>
      <c r="W2792" s="23"/>
      <c r="X2792" s="23"/>
      <c r="Y2792" s="23"/>
      <c r="Z2792" s="43"/>
      <c r="AA2792" s="23"/>
      <c r="AB2792" s="23"/>
      <c r="AC2792" s="23"/>
      <c r="AD2792" s="23"/>
      <c r="AE2792" s="23"/>
      <c r="AF2792" s="23"/>
      <c r="AG2792" s="23"/>
      <c r="AH2792" s="23"/>
      <c r="AI2792" s="49"/>
    </row>
    <row r="2793" spans="1:35">
      <c r="A2793" s="23"/>
      <c r="B2793" s="42"/>
      <c r="C2793" s="49"/>
      <c r="E2793" s="49"/>
      <c r="G2793" s="43"/>
      <c r="H2793" s="44"/>
      <c r="L2793" s="42"/>
      <c r="M2793" s="42"/>
      <c r="N2793" s="25"/>
      <c r="O2793" s="54"/>
      <c r="P2793"/>
      <c r="Q2793" s="25"/>
      <c r="R2793" s="54"/>
      <c r="W2793" s="23"/>
      <c r="X2793" s="23"/>
      <c r="Y2793" s="23"/>
      <c r="Z2793" s="43"/>
      <c r="AA2793" s="23"/>
      <c r="AB2793" s="23"/>
      <c r="AC2793" s="23"/>
      <c r="AD2793" s="23"/>
      <c r="AE2793" s="23"/>
      <c r="AF2793" s="23"/>
      <c r="AG2793" s="23"/>
      <c r="AH2793" s="23"/>
      <c r="AI2793" s="49"/>
    </row>
    <row r="2794" spans="1:35">
      <c r="A2794" s="23"/>
      <c r="B2794" s="42"/>
      <c r="C2794" s="49"/>
      <c r="E2794" s="49"/>
      <c r="G2794" s="43"/>
      <c r="H2794" s="44"/>
      <c r="L2794" s="42"/>
      <c r="M2794" s="42"/>
      <c r="N2794" s="25"/>
      <c r="O2794" s="54"/>
      <c r="P2794"/>
      <c r="Q2794" s="25"/>
      <c r="R2794" s="54"/>
      <c r="W2794" s="23"/>
      <c r="X2794" s="23"/>
      <c r="Y2794" s="23"/>
      <c r="Z2794" s="43"/>
      <c r="AA2794" s="23"/>
      <c r="AB2794" s="23"/>
      <c r="AC2794" s="23"/>
      <c r="AD2794" s="23"/>
      <c r="AE2794" s="23"/>
      <c r="AF2794" s="23"/>
      <c r="AG2794" s="23"/>
      <c r="AH2794" s="23"/>
      <c r="AI2794" s="49"/>
    </row>
    <row r="2795" spans="1:35">
      <c r="B2795" s="42"/>
      <c r="G2795" s="43"/>
      <c r="H2795" s="44"/>
      <c r="L2795" s="42"/>
      <c r="M2795" s="42"/>
      <c r="N2795" s="25"/>
      <c r="O2795" s="54"/>
      <c r="P2795"/>
      <c r="Q2795" s="25"/>
      <c r="R2795" s="54"/>
      <c r="W2795" s="23"/>
      <c r="X2795" s="23"/>
      <c r="Y2795" s="23"/>
      <c r="Z2795" s="43"/>
      <c r="AA2795" s="23"/>
      <c r="AB2795" s="23"/>
      <c r="AC2795" s="23"/>
      <c r="AD2795" s="23"/>
      <c r="AE2795" s="23"/>
      <c r="AF2795" s="23"/>
      <c r="AG2795" s="23"/>
      <c r="AH2795" s="23"/>
      <c r="AI2795" s="48"/>
    </row>
    <row r="2796" spans="1:35">
      <c r="A2796" s="23"/>
      <c r="B2796" s="42"/>
      <c r="C2796" s="49"/>
      <c r="E2796" s="49"/>
      <c r="G2796" s="43"/>
      <c r="H2796" s="44"/>
      <c r="L2796" s="42"/>
      <c r="M2796" s="42"/>
      <c r="N2796" s="25"/>
      <c r="O2796" s="54"/>
      <c r="P2796"/>
      <c r="Q2796" s="25"/>
      <c r="R2796" s="54"/>
      <c r="W2796" s="23"/>
      <c r="X2796" s="23"/>
      <c r="Y2796" s="23"/>
      <c r="Z2796" s="43"/>
      <c r="AA2796" s="23"/>
      <c r="AB2796" s="23"/>
      <c r="AC2796" s="23"/>
      <c r="AD2796" s="23"/>
      <c r="AE2796" s="23"/>
      <c r="AF2796" s="23"/>
      <c r="AG2796" s="23"/>
      <c r="AH2796" s="23"/>
      <c r="AI2796" s="49"/>
    </row>
    <row r="2797" spans="1:35">
      <c r="A2797" s="23"/>
      <c r="B2797" s="42"/>
      <c r="C2797" s="49"/>
      <c r="E2797" s="49"/>
      <c r="G2797" s="43"/>
      <c r="H2797" s="44"/>
      <c r="L2797" s="42"/>
      <c r="M2797" s="42"/>
      <c r="N2797" s="25"/>
      <c r="O2797" s="54"/>
      <c r="P2797"/>
      <c r="Q2797" s="25"/>
      <c r="R2797" s="54"/>
      <c r="W2797" s="23"/>
      <c r="X2797" s="23"/>
      <c r="Y2797" s="23"/>
      <c r="Z2797" s="43"/>
      <c r="AA2797" s="23"/>
      <c r="AB2797" s="23"/>
      <c r="AC2797" s="23"/>
      <c r="AD2797" s="23"/>
      <c r="AE2797" s="23"/>
      <c r="AF2797" s="23"/>
      <c r="AG2797" s="23"/>
      <c r="AH2797" s="23"/>
      <c r="AI2797" s="49"/>
    </row>
    <row r="2798" spans="1:35">
      <c r="A2798" s="23"/>
      <c r="B2798" s="42"/>
      <c r="C2798" s="49"/>
      <c r="E2798" s="49"/>
      <c r="G2798" s="43"/>
      <c r="H2798" s="44"/>
      <c r="L2798" s="42"/>
      <c r="M2798" s="42"/>
      <c r="N2798" s="25"/>
      <c r="O2798" s="54"/>
      <c r="P2798"/>
      <c r="Q2798" s="25"/>
      <c r="R2798" s="54"/>
      <c r="W2798" s="23"/>
      <c r="X2798" s="23"/>
      <c r="Y2798" s="23"/>
      <c r="Z2798" s="43"/>
      <c r="AA2798" s="23"/>
      <c r="AB2798" s="23"/>
      <c r="AC2798" s="23"/>
      <c r="AD2798" s="23"/>
      <c r="AE2798" s="23"/>
      <c r="AF2798" s="23"/>
      <c r="AG2798" s="23"/>
      <c r="AH2798" s="23"/>
      <c r="AI2798" s="49"/>
    </row>
    <row r="2799" spans="1:35">
      <c r="A2799" s="23"/>
      <c r="B2799" s="42"/>
      <c r="C2799" s="49"/>
      <c r="E2799" s="49"/>
      <c r="G2799" s="43"/>
      <c r="H2799" s="44"/>
      <c r="L2799" s="42"/>
      <c r="M2799" s="42"/>
      <c r="N2799" s="25"/>
      <c r="O2799" s="54"/>
      <c r="P2799"/>
      <c r="Q2799" s="25"/>
      <c r="R2799" s="54"/>
      <c r="W2799" s="23"/>
      <c r="X2799" s="23"/>
      <c r="Y2799" s="23"/>
      <c r="Z2799" s="43"/>
      <c r="AA2799" s="23"/>
      <c r="AB2799" s="23"/>
      <c r="AC2799" s="23"/>
      <c r="AD2799" s="23"/>
      <c r="AE2799" s="23"/>
      <c r="AF2799" s="23"/>
      <c r="AG2799" s="23"/>
      <c r="AH2799" s="23"/>
      <c r="AI2799" s="49"/>
    </row>
    <row r="2800" spans="1:35">
      <c r="A2800" s="23"/>
      <c r="B2800" s="42"/>
      <c r="C2800" s="49"/>
      <c r="E2800" s="49"/>
      <c r="G2800" s="43"/>
      <c r="H2800" s="44"/>
      <c r="L2800" s="42"/>
      <c r="M2800" s="42"/>
      <c r="N2800" s="25"/>
      <c r="O2800" s="54"/>
      <c r="P2800"/>
      <c r="Q2800" s="25"/>
      <c r="R2800" s="54"/>
      <c r="W2800" s="23"/>
      <c r="X2800" s="23"/>
      <c r="Y2800" s="23"/>
      <c r="Z2800" s="43"/>
      <c r="AA2800" s="23"/>
      <c r="AB2800" s="23"/>
      <c r="AC2800" s="23"/>
      <c r="AD2800" s="23"/>
      <c r="AE2800" s="23"/>
      <c r="AF2800" s="23"/>
      <c r="AG2800" s="23"/>
      <c r="AH2800" s="23"/>
      <c r="AI2800" s="49"/>
    </row>
    <row r="2801" spans="1:35">
      <c r="A2801" s="23"/>
      <c r="B2801" s="42"/>
      <c r="C2801" s="49"/>
      <c r="E2801" s="49"/>
      <c r="G2801" s="43"/>
      <c r="H2801" s="44"/>
      <c r="L2801" s="42"/>
      <c r="M2801" s="42"/>
      <c r="N2801" s="25"/>
      <c r="O2801" s="54"/>
      <c r="P2801"/>
      <c r="Q2801" s="25"/>
      <c r="R2801" s="54"/>
      <c r="W2801" s="23"/>
      <c r="X2801" s="23"/>
      <c r="Y2801" s="23"/>
      <c r="Z2801" s="43"/>
      <c r="AA2801" s="23"/>
      <c r="AB2801" s="23"/>
      <c r="AC2801" s="23"/>
      <c r="AD2801" s="23"/>
      <c r="AE2801" s="23"/>
      <c r="AF2801" s="23"/>
      <c r="AG2801" s="23"/>
      <c r="AH2801" s="23"/>
      <c r="AI2801" s="49"/>
    </row>
    <row r="2802" spans="1:35">
      <c r="A2802" s="23"/>
      <c r="B2802" s="42"/>
      <c r="C2802" s="49"/>
      <c r="E2802" s="49"/>
      <c r="G2802" s="43"/>
      <c r="H2802" s="44"/>
      <c r="L2802" s="42"/>
      <c r="M2802" s="42"/>
      <c r="N2802" s="25"/>
      <c r="O2802" s="54"/>
      <c r="P2802"/>
      <c r="Q2802" s="25"/>
      <c r="R2802" s="54"/>
      <c r="W2802" s="23"/>
      <c r="X2802" s="23"/>
      <c r="Y2802" s="23"/>
      <c r="Z2802" s="43"/>
      <c r="AA2802" s="23"/>
      <c r="AB2802" s="23"/>
      <c r="AC2802" s="23"/>
      <c r="AD2802" s="23"/>
      <c r="AE2802" s="23"/>
      <c r="AF2802" s="23"/>
      <c r="AG2802" s="23"/>
      <c r="AH2802" s="23"/>
      <c r="AI2802" s="49"/>
    </row>
    <row r="2803" spans="1:35">
      <c r="A2803" s="23"/>
      <c r="B2803" s="42"/>
      <c r="C2803" s="49"/>
      <c r="E2803" s="49"/>
      <c r="G2803" s="43"/>
      <c r="H2803" s="44"/>
      <c r="L2803" s="42"/>
      <c r="M2803" s="42"/>
      <c r="N2803" s="25"/>
      <c r="O2803" s="54"/>
      <c r="P2803"/>
      <c r="Q2803" s="25"/>
      <c r="R2803" s="54"/>
      <c r="W2803" s="23"/>
      <c r="X2803" s="23"/>
      <c r="Y2803" s="23"/>
      <c r="Z2803" s="43"/>
      <c r="AA2803" s="23"/>
      <c r="AB2803" s="23"/>
      <c r="AC2803" s="23"/>
      <c r="AD2803" s="23"/>
      <c r="AE2803" s="23"/>
      <c r="AF2803" s="23"/>
      <c r="AG2803" s="23"/>
      <c r="AH2803" s="23"/>
      <c r="AI2803" s="49"/>
    </row>
    <row r="2804" spans="1:35">
      <c r="A2804" s="23"/>
      <c r="B2804" s="42"/>
      <c r="C2804" s="49"/>
      <c r="E2804" s="49"/>
      <c r="G2804" s="43"/>
      <c r="H2804" s="44"/>
      <c r="L2804" s="42"/>
      <c r="M2804" s="42"/>
      <c r="N2804" s="25"/>
      <c r="O2804" s="54"/>
      <c r="P2804"/>
      <c r="Q2804" s="25"/>
      <c r="R2804" s="54"/>
      <c r="W2804" s="23"/>
      <c r="X2804" s="23"/>
      <c r="Y2804" s="23"/>
      <c r="Z2804" s="43"/>
      <c r="AA2804" s="23"/>
      <c r="AB2804" s="23"/>
      <c r="AC2804" s="23"/>
      <c r="AD2804" s="23"/>
      <c r="AE2804" s="23"/>
      <c r="AF2804" s="23"/>
      <c r="AG2804" s="23"/>
      <c r="AH2804" s="23"/>
      <c r="AI2804" s="49"/>
    </row>
    <row r="2805" spans="1:35">
      <c r="A2805" s="23"/>
      <c r="B2805" s="42"/>
      <c r="C2805" s="49"/>
      <c r="E2805" s="49"/>
      <c r="G2805" s="43"/>
      <c r="H2805" s="44"/>
      <c r="L2805" s="42"/>
      <c r="M2805" s="42"/>
      <c r="N2805" s="25"/>
      <c r="O2805" s="54"/>
      <c r="P2805"/>
      <c r="Q2805" s="25"/>
      <c r="R2805" s="54"/>
      <c r="W2805" s="23"/>
      <c r="X2805" s="23"/>
      <c r="Y2805" s="23"/>
      <c r="Z2805" s="43"/>
      <c r="AA2805" s="23"/>
      <c r="AB2805" s="23"/>
      <c r="AC2805" s="23"/>
      <c r="AD2805" s="23"/>
      <c r="AE2805" s="23"/>
      <c r="AF2805" s="23"/>
      <c r="AG2805" s="23"/>
      <c r="AH2805" s="23"/>
      <c r="AI2805" s="49"/>
    </row>
    <row r="2806" spans="1:35">
      <c r="A2806" s="23"/>
      <c r="B2806" s="42"/>
      <c r="C2806" s="49"/>
      <c r="E2806" s="49"/>
      <c r="G2806" s="43"/>
      <c r="H2806" s="44"/>
      <c r="L2806" s="42"/>
      <c r="M2806" s="42"/>
      <c r="N2806" s="25"/>
      <c r="O2806" s="54"/>
      <c r="P2806"/>
      <c r="Q2806" s="25"/>
      <c r="R2806" s="54"/>
      <c r="W2806" s="23"/>
      <c r="X2806" s="23"/>
      <c r="Y2806" s="23"/>
      <c r="Z2806" s="43"/>
      <c r="AA2806" s="23"/>
      <c r="AB2806" s="23"/>
      <c r="AC2806" s="23"/>
      <c r="AD2806" s="23"/>
      <c r="AE2806" s="23"/>
      <c r="AF2806" s="23"/>
      <c r="AG2806" s="23"/>
      <c r="AH2806" s="23"/>
      <c r="AI2806" s="49"/>
    </row>
    <row r="2807" spans="1:35">
      <c r="A2807" s="23"/>
      <c r="B2807" s="42"/>
      <c r="C2807" s="49"/>
      <c r="E2807" s="49"/>
      <c r="G2807" s="43"/>
      <c r="H2807" s="44"/>
      <c r="L2807" s="42"/>
      <c r="M2807" s="42"/>
      <c r="N2807" s="25"/>
      <c r="O2807" s="54"/>
      <c r="P2807"/>
      <c r="Q2807" s="25"/>
      <c r="R2807" s="54"/>
      <c r="W2807" s="23"/>
      <c r="X2807" s="23"/>
      <c r="Y2807" s="23"/>
      <c r="Z2807" s="43"/>
      <c r="AA2807" s="23"/>
      <c r="AB2807" s="23"/>
      <c r="AC2807" s="23"/>
      <c r="AD2807" s="23"/>
      <c r="AE2807" s="23"/>
      <c r="AF2807" s="23"/>
      <c r="AG2807" s="23"/>
      <c r="AH2807" s="23"/>
      <c r="AI2807" s="49"/>
    </row>
    <row r="2808" spans="1:35">
      <c r="A2808" s="23"/>
      <c r="B2808" s="42"/>
      <c r="C2808" s="49"/>
      <c r="E2808" s="49"/>
      <c r="G2808" s="43"/>
      <c r="H2808" s="44"/>
      <c r="L2808" s="42"/>
      <c r="M2808" s="42"/>
      <c r="N2808" s="25"/>
      <c r="O2808" s="54"/>
      <c r="P2808"/>
      <c r="Q2808" s="25"/>
      <c r="R2808" s="54"/>
      <c r="W2808" s="23"/>
      <c r="X2808" s="23"/>
      <c r="Y2808" s="23"/>
      <c r="Z2808" s="43"/>
      <c r="AA2808" s="23"/>
      <c r="AB2808" s="23"/>
      <c r="AC2808" s="23"/>
      <c r="AD2808" s="23"/>
      <c r="AE2808" s="23"/>
      <c r="AF2808" s="23"/>
      <c r="AG2808" s="23"/>
      <c r="AH2808" s="23"/>
      <c r="AI2808" s="49"/>
    </row>
    <row r="2809" spans="1:35">
      <c r="A2809" s="23"/>
      <c r="B2809" s="42"/>
      <c r="C2809" s="49"/>
      <c r="E2809" s="49"/>
      <c r="G2809" s="43"/>
      <c r="H2809" s="44"/>
      <c r="L2809" s="42"/>
      <c r="M2809" s="42"/>
      <c r="N2809" s="25"/>
      <c r="O2809" s="54"/>
      <c r="P2809"/>
      <c r="Q2809" s="25"/>
      <c r="R2809" s="54"/>
      <c r="W2809" s="23"/>
      <c r="X2809" s="23"/>
      <c r="Y2809" s="23"/>
      <c r="Z2809" s="43"/>
      <c r="AA2809" s="23"/>
      <c r="AB2809" s="23"/>
      <c r="AC2809" s="23"/>
      <c r="AD2809" s="23"/>
      <c r="AE2809" s="23"/>
      <c r="AF2809" s="23"/>
      <c r="AG2809" s="23"/>
      <c r="AH2809" s="23"/>
      <c r="AI2809" s="49"/>
    </row>
    <row r="2810" spans="1:35">
      <c r="A2810" s="23"/>
      <c r="B2810" s="42"/>
      <c r="C2810" s="49"/>
      <c r="E2810" s="49"/>
      <c r="G2810" s="43"/>
      <c r="H2810" s="44"/>
      <c r="L2810" s="42"/>
      <c r="M2810" s="42"/>
      <c r="N2810" s="25"/>
      <c r="O2810" s="54"/>
      <c r="P2810"/>
      <c r="Q2810" s="25"/>
      <c r="R2810" s="54"/>
      <c r="W2810" s="23"/>
      <c r="X2810" s="23"/>
      <c r="Y2810" s="23"/>
      <c r="Z2810" s="43"/>
      <c r="AA2810" s="23"/>
      <c r="AB2810" s="23"/>
      <c r="AC2810" s="23"/>
      <c r="AD2810" s="23"/>
      <c r="AE2810" s="23"/>
      <c r="AF2810" s="23"/>
      <c r="AG2810" s="23"/>
      <c r="AH2810" s="23"/>
      <c r="AI2810" s="49"/>
    </row>
    <row r="2811" spans="1:35">
      <c r="A2811" s="23"/>
      <c r="B2811" s="42"/>
      <c r="C2811" s="49"/>
      <c r="E2811" s="49"/>
      <c r="G2811" s="43"/>
      <c r="H2811" s="44"/>
      <c r="L2811" s="42"/>
      <c r="M2811" s="42"/>
      <c r="N2811" s="25"/>
      <c r="O2811" s="54"/>
      <c r="P2811"/>
      <c r="Q2811" s="25"/>
      <c r="R2811" s="54"/>
      <c r="W2811" s="23"/>
      <c r="X2811" s="23"/>
      <c r="Y2811" s="23"/>
      <c r="Z2811" s="43"/>
      <c r="AA2811" s="23"/>
      <c r="AB2811" s="23"/>
      <c r="AC2811" s="23"/>
      <c r="AD2811" s="23"/>
      <c r="AE2811" s="23"/>
      <c r="AF2811" s="23"/>
      <c r="AG2811" s="23"/>
      <c r="AH2811" s="23"/>
      <c r="AI2811" s="49"/>
    </row>
    <row r="2812" spans="1:35">
      <c r="A2812" s="23"/>
      <c r="B2812" s="42"/>
      <c r="C2812" s="49"/>
      <c r="E2812" s="49"/>
      <c r="G2812" s="43"/>
      <c r="H2812" s="44"/>
      <c r="L2812" s="42"/>
      <c r="M2812" s="42"/>
      <c r="N2812" s="25"/>
      <c r="O2812" s="54"/>
      <c r="P2812"/>
      <c r="Q2812" s="25"/>
      <c r="R2812" s="54"/>
      <c r="W2812" s="23"/>
      <c r="X2812" s="23"/>
      <c r="Y2812" s="23"/>
      <c r="Z2812" s="43"/>
      <c r="AA2812" s="23"/>
      <c r="AB2812" s="23"/>
      <c r="AC2812" s="23"/>
      <c r="AD2812" s="23"/>
      <c r="AE2812" s="23"/>
      <c r="AF2812" s="23"/>
      <c r="AG2812" s="23"/>
      <c r="AH2812" s="23"/>
      <c r="AI2812" s="49"/>
    </row>
    <row r="2813" spans="1:35">
      <c r="A2813" s="23"/>
      <c r="B2813" s="42"/>
      <c r="C2813" s="49"/>
      <c r="E2813" s="49"/>
      <c r="G2813" s="43"/>
      <c r="H2813" s="44"/>
      <c r="L2813" s="42"/>
      <c r="M2813" s="42"/>
      <c r="N2813" s="25"/>
      <c r="O2813" s="54"/>
      <c r="P2813"/>
      <c r="Q2813" s="25"/>
      <c r="R2813" s="54"/>
      <c r="W2813" s="23"/>
      <c r="X2813" s="23"/>
      <c r="Y2813" s="23"/>
      <c r="Z2813" s="43"/>
      <c r="AA2813" s="23"/>
      <c r="AB2813" s="23"/>
      <c r="AC2813" s="23"/>
      <c r="AD2813" s="23"/>
      <c r="AE2813" s="23"/>
      <c r="AF2813" s="23"/>
      <c r="AG2813" s="23"/>
      <c r="AH2813" s="23"/>
      <c r="AI2813" s="49"/>
    </row>
    <row r="2814" spans="1:35">
      <c r="A2814" s="23"/>
      <c r="B2814" s="42"/>
      <c r="C2814" s="49"/>
      <c r="E2814" s="49"/>
      <c r="G2814" s="43"/>
      <c r="H2814" s="44"/>
      <c r="L2814" s="42"/>
      <c r="M2814" s="42"/>
      <c r="N2814" s="25"/>
      <c r="O2814" s="54"/>
      <c r="P2814"/>
      <c r="Q2814" s="25"/>
      <c r="R2814" s="54"/>
      <c r="W2814" s="23"/>
      <c r="X2814" s="23"/>
      <c r="Y2814" s="23"/>
      <c r="Z2814" s="43"/>
      <c r="AA2814" s="23"/>
      <c r="AB2814" s="23"/>
      <c r="AC2814" s="23"/>
      <c r="AD2814" s="23"/>
      <c r="AE2814" s="23"/>
      <c r="AF2814" s="23"/>
      <c r="AG2814" s="23"/>
      <c r="AH2814" s="23"/>
      <c r="AI2814" s="49"/>
    </row>
    <row r="2815" spans="1:35">
      <c r="A2815" s="23"/>
      <c r="B2815" s="42"/>
      <c r="C2815" s="49"/>
      <c r="E2815" s="49"/>
      <c r="G2815" s="43"/>
      <c r="H2815" s="44"/>
      <c r="L2815" s="42"/>
      <c r="M2815" s="42"/>
      <c r="N2815" s="25"/>
      <c r="O2815" s="54"/>
      <c r="P2815"/>
      <c r="Q2815" s="25"/>
      <c r="R2815" s="54"/>
      <c r="W2815" s="23"/>
      <c r="X2815" s="23"/>
      <c r="Y2815" s="23"/>
      <c r="Z2815" s="43"/>
      <c r="AA2815" s="23"/>
      <c r="AB2815" s="23"/>
      <c r="AC2815" s="23"/>
      <c r="AD2815" s="23"/>
      <c r="AE2815" s="23"/>
      <c r="AF2815" s="23"/>
      <c r="AG2815" s="23"/>
      <c r="AH2815" s="23"/>
      <c r="AI2815" s="49"/>
    </row>
    <row r="2816" spans="1:35">
      <c r="A2816" s="23"/>
      <c r="B2816" s="42"/>
      <c r="C2816" s="49"/>
      <c r="E2816" s="49"/>
      <c r="G2816" s="43"/>
      <c r="H2816" s="44"/>
      <c r="L2816" s="42"/>
      <c r="M2816" s="42"/>
      <c r="N2816" s="25"/>
      <c r="O2816" s="54"/>
      <c r="P2816"/>
      <c r="Q2816" s="25"/>
      <c r="R2816" s="54"/>
      <c r="W2816" s="23"/>
      <c r="X2816" s="23"/>
      <c r="Y2816" s="23"/>
      <c r="Z2816" s="43"/>
      <c r="AA2816" s="23"/>
      <c r="AB2816" s="23"/>
      <c r="AC2816" s="23"/>
      <c r="AD2816" s="23"/>
      <c r="AE2816" s="23"/>
      <c r="AF2816" s="23"/>
      <c r="AG2816" s="23"/>
      <c r="AH2816" s="23"/>
      <c r="AI2816" s="49"/>
    </row>
    <row r="2817" spans="1:35">
      <c r="A2817" s="23"/>
      <c r="B2817" s="42"/>
      <c r="C2817" s="49"/>
      <c r="E2817" s="49"/>
      <c r="G2817" s="43"/>
      <c r="H2817" s="44"/>
      <c r="L2817" s="42"/>
      <c r="M2817" s="42"/>
      <c r="N2817" s="25"/>
      <c r="O2817" s="54"/>
      <c r="P2817"/>
      <c r="Q2817" s="25"/>
      <c r="R2817" s="54"/>
      <c r="W2817" s="23"/>
      <c r="X2817" s="23"/>
      <c r="Y2817" s="23"/>
      <c r="Z2817" s="43"/>
      <c r="AA2817" s="23"/>
      <c r="AB2817" s="23"/>
      <c r="AC2817" s="23"/>
      <c r="AD2817" s="23"/>
      <c r="AE2817" s="23"/>
      <c r="AF2817" s="23"/>
      <c r="AG2817" s="23"/>
      <c r="AH2817" s="23"/>
      <c r="AI2817" s="49"/>
    </row>
    <row r="2818" spans="1:35">
      <c r="A2818" s="23"/>
      <c r="B2818" s="42"/>
      <c r="C2818" s="49"/>
      <c r="E2818" s="49"/>
      <c r="G2818" s="43"/>
      <c r="H2818" s="44"/>
      <c r="L2818" s="42"/>
      <c r="M2818" s="42"/>
      <c r="N2818" s="25"/>
      <c r="O2818" s="54"/>
      <c r="P2818"/>
      <c r="Q2818" s="25"/>
      <c r="R2818" s="54"/>
      <c r="W2818" s="23"/>
      <c r="X2818" s="23"/>
      <c r="Y2818" s="23"/>
      <c r="Z2818" s="43"/>
      <c r="AA2818" s="23"/>
      <c r="AB2818" s="23"/>
      <c r="AC2818" s="23"/>
      <c r="AD2818" s="23"/>
      <c r="AE2818" s="23"/>
      <c r="AF2818" s="23"/>
      <c r="AG2818" s="23"/>
      <c r="AH2818" s="23"/>
      <c r="AI2818" s="49"/>
    </row>
    <row r="2819" spans="1:35">
      <c r="A2819" s="23"/>
      <c r="B2819" s="42"/>
      <c r="C2819" s="49"/>
      <c r="E2819" s="49"/>
      <c r="G2819" s="43"/>
      <c r="H2819" s="44"/>
      <c r="L2819" s="42"/>
      <c r="M2819" s="42"/>
      <c r="N2819" s="25"/>
      <c r="O2819" s="54"/>
      <c r="P2819"/>
      <c r="Q2819" s="25"/>
      <c r="R2819" s="54"/>
      <c r="W2819" s="23"/>
      <c r="X2819" s="23"/>
      <c r="Y2819" s="23"/>
      <c r="Z2819" s="43"/>
      <c r="AA2819" s="23"/>
      <c r="AB2819" s="23"/>
      <c r="AC2819" s="23"/>
      <c r="AD2819" s="23"/>
      <c r="AE2819" s="23"/>
      <c r="AF2819" s="23"/>
      <c r="AG2819" s="23"/>
      <c r="AH2819" s="23"/>
      <c r="AI2819" s="49"/>
    </row>
    <row r="2820" spans="1:35">
      <c r="A2820" s="23"/>
      <c r="B2820" s="42"/>
      <c r="C2820" s="49"/>
      <c r="E2820" s="49"/>
      <c r="G2820" s="43"/>
      <c r="H2820" s="44"/>
      <c r="L2820" s="42"/>
      <c r="M2820" s="42"/>
      <c r="N2820" s="25"/>
      <c r="O2820" s="54"/>
      <c r="P2820"/>
      <c r="Q2820" s="25"/>
      <c r="R2820" s="54"/>
      <c r="W2820" s="23"/>
      <c r="X2820" s="23"/>
      <c r="Y2820" s="23"/>
      <c r="Z2820" s="43"/>
      <c r="AA2820" s="23"/>
      <c r="AB2820" s="23"/>
      <c r="AC2820" s="23"/>
      <c r="AD2820" s="23"/>
      <c r="AE2820" s="23"/>
      <c r="AF2820" s="23"/>
      <c r="AG2820" s="23"/>
      <c r="AH2820" s="23"/>
      <c r="AI2820" s="49"/>
    </row>
    <row r="2821" spans="1:35">
      <c r="A2821" s="23"/>
      <c r="B2821" s="42"/>
      <c r="C2821" s="49"/>
      <c r="E2821" s="49"/>
      <c r="G2821" s="43"/>
      <c r="H2821" s="44"/>
      <c r="L2821" s="42"/>
      <c r="M2821" s="42"/>
      <c r="N2821" s="25"/>
      <c r="O2821" s="54"/>
      <c r="P2821"/>
      <c r="Q2821" s="25"/>
      <c r="R2821" s="54"/>
      <c r="W2821" s="23"/>
      <c r="X2821" s="23"/>
      <c r="Y2821" s="23"/>
      <c r="Z2821" s="43"/>
      <c r="AA2821" s="23"/>
      <c r="AB2821" s="23"/>
      <c r="AC2821" s="23"/>
      <c r="AD2821" s="23"/>
      <c r="AE2821" s="23"/>
      <c r="AF2821" s="23"/>
      <c r="AG2821" s="23"/>
      <c r="AH2821" s="23"/>
      <c r="AI2821" s="49"/>
    </row>
    <row r="2822" spans="1:35">
      <c r="A2822" s="23"/>
      <c r="B2822" s="42"/>
      <c r="C2822" s="49"/>
      <c r="E2822" s="49"/>
      <c r="G2822" s="43"/>
      <c r="H2822" s="44"/>
      <c r="L2822" s="42"/>
      <c r="M2822" s="42"/>
      <c r="N2822" s="25"/>
      <c r="O2822" s="54"/>
      <c r="P2822"/>
      <c r="Q2822" s="25"/>
      <c r="R2822" s="54"/>
      <c r="W2822" s="23"/>
      <c r="X2822" s="23"/>
      <c r="Y2822" s="23"/>
      <c r="Z2822" s="43"/>
      <c r="AA2822" s="23"/>
      <c r="AB2822" s="23"/>
      <c r="AC2822" s="23"/>
      <c r="AD2822" s="23"/>
      <c r="AE2822" s="23"/>
      <c r="AF2822" s="23"/>
      <c r="AG2822" s="23"/>
      <c r="AH2822" s="23"/>
      <c r="AI2822" s="49"/>
    </row>
    <row r="2823" spans="1:35">
      <c r="A2823" s="23"/>
      <c r="B2823" s="42"/>
      <c r="C2823" s="49"/>
      <c r="E2823" s="49"/>
      <c r="G2823" s="43"/>
      <c r="H2823" s="44"/>
      <c r="L2823" s="42"/>
      <c r="M2823" s="42"/>
      <c r="N2823" s="25"/>
      <c r="O2823" s="54"/>
      <c r="P2823"/>
      <c r="Q2823" s="25"/>
      <c r="R2823" s="54"/>
      <c r="W2823" s="23"/>
      <c r="X2823" s="23"/>
      <c r="Y2823" s="23"/>
      <c r="Z2823" s="43"/>
      <c r="AA2823" s="23"/>
      <c r="AB2823" s="23"/>
      <c r="AC2823" s="23"/>
      <c r="AD2823" s="23"/>
      <c r="AE2823" s="23"/>
      <c r="AF2823" s="23"/>
      <c r="AG2823" s="23"/>
      <c r="AH2823" s="23"/>
      <c r="AI2823" s="49"/>
    </row>
    <row r="2824" spans="1:35">
      <c r="A2824" s="23"/>
      <c r="B2824" s="42"/>
      <c r="C2824" s="49"/>
      <c r="E2824" s="49"/>
      <c r="G2824" s="43"/>
      <c r="H2824" s="44"/>
      <c r="L2824" s="42"/>
      <c r="M2824" s="42"/>
      <c r="N2824" s="25"/>
      <c r="O2824" s="54"/>
      <c r="P2824"/>
      <c r="Q2824" s="25"/>
      <c r="R2824" s="54"/>
      <c r="W2824" s="23"/>
      <c r="X2824" s="23"/>
      <c r="Y2824" s="23"/>
      <c r="Z2824" s="43"/>
      <c r="AA2824" s="23"/>
      <c r="AB2824" s="23"/>
      <c r="AC2824" s="23"/>
      <c r="AD2824" s="23"/>
      <c r="AE2824" s="23"/>
      <c r="AF2824" s="23"/>
      <c r="AG2824" s="23"/>
      <c r="AH2824" s="23"/>
      <c r="AI2824" s="49"/>
    </row>
    <row r="2825" spans="1:35">
      <c r="A2825" s="23"/>
      <c r="B2825" s="42"/>
      <c r="C2825" s="49"/>
      <c r="E2825" s="49"/>
      <c r="G2825" s="43"/>
      <c r="H2825" s="44"/>
      <c r="L2825" s="42"/>
      <c r="M2825" s="42"/>
      <c r="N2825" s="25"/>
      <c r="O2825" s="54"/>
      <c r="P2825"/>
      <c r="Q2825" s="25"/>
      <c r="R2825" s="54"/>
      <c r="W2825" s="23"/>
      <c r="X2825" s="23"/>
      <c r="Y2825" s="23"/>
      <c r="Z2825" s="43"/>
      <c r="AA2825" s="23"/>
      <c r="AB2825" s="23"/>
      <c r="AC2825" s="23"/>
      <c r="AD2825" s="23"/>
      <c r="AE2825" s="23"/>
      <c r="AF2825" s="23"/>
      <c r="AG2825" s="23"/>
      <c r="AH2825" s="23"/>
      <c r="AI2825" s="49"/>
    </row>
    <row r="2826" spans="1:35">
      <c r="A2826" s="23"/>
      <c r="B2826" s="42"/>
      <c r="C2826" s="49"/>
      <c r="E2826" s="49"/>
      <c r="G2826" s="43"/>
      <c r="H2826" s="44"/>
      <c r="L2826" s="42"/>
      <c r="M2826" s="42"/>
      <c r="N2826" s="25"/>
      <c r="O2826" s="54"/>
      <c r="P2826"/>
      <c r="Q2826" s="25"/>
      <c r="R2826" s="54"/>
      <c r="W2826" s="23"/>
      <c r="X2826" s="23"/>
      <c r="Y2826" s="23"/>
      <c r="Z2826" s="43"/>
      <c r="AA2826" s="23"/>
      <c r="AB2826" s="23"/>
      <c r="AC2826" s="23"/>
      <c r="AD2826" s="23"/>
      <c r="AE2826" s="23"/>
      <c r="AF2826" s="23"/>
      <c r="AG2826" s="23"/>
      <c r="AH2826" s="23"/>
      <c r="AI2826" s="49"/>
    </row>
    <row r="2827" spans="1:35">
      <c r="A2827" s="23"/>
      <c r="B2827" s="42"/>
      <c r="C2827" s="49"/>
      <c r="E2827" s="49"/>
      <c r="G2827" s="43"/>
      <c r="H2827" s="44"/>
      <c r="L2827" s="42"/>
      <c r="M2827" s="42"/>
      <c r="N2827" s="25"/>
      <c r="O2827" s="54"/>
      <c r="P2827"/>
      <c r="Q2827" s="25"/>
      <c r="R2827" s="54"/>
      <c r="W2827" s="23"/>
      <c r="X2827" s="23"/>
      <c r="Y2827" s="23"/>
      <c r="Z2827" s="43"/>
      <c r="AA2827" s="23"/>
      <c r="AB2827" s="23"/>
      <c r="AC2827" s="23"/>
      <c r="AD2827" s="23"/>
      <c r="AE2827" s="23"/>
      <c r="AF2827" s="23"/>
      <c r="AG2827" s="23"/>
      <c r="AH2827" s="23"/>
      <c r="AI2827" s="49"/>
    </row>
    <row r="2828" spans="1:35">
      <c r="A2828" s="23"/>
      <c r="B2828" s="42"/>
      <c r="C2828" s="49"/>
      <c r="E2828" s="49"/>
      <c r="G2828" s="43"/>
      <c r="H2828" s="44"/>
      <c r="L2828" s="42"/>
      <c r="M2828" s="42"/>
      <c r="N2828" s="25"/>
      <c r="O2828" s="54"/>
      <c r="P2828"/>
      <c r="Q2828" s="25"/>
      <c r="R2828" s="54"/>
      <c r="W2828" s="23"/>
      <c r="X2828" s="23"/>
      <c r="Y2828" s="23"/>
      <c r="Z2828" s="43"/>
      <c r="AA2828" s="23"/>
      <c r="AB2828" s="23"/>
      <c r="AC2828" s="23"/>
      <c r="AD2828" s="23"/>
      <c r="AE2828" s="23"/>
      <c r="AF2828" s="23"/>
      <c r="AG2828" s="23"/>
      <c r="AH2828" s="23"/>
      <c r="AI2828" s="49"/>
    </row>
    <row r="2829" spans="1:35">
      <c r="A2829" s="23"/>
      <c r="B2829" s="42"/>
      <c r="C2829" s="49"/>
      <c r="E2829" s="49"/>
      <c r="G2829" s="43"/>
      <c r="H2829" s="44"/>
      <c r="L2829" s="42"/>
      <c r="M2829" s="42"/>
      <c r="N2829" s="25"/>
      <c r="O2829" s="54"/>
      <c r="P2829"/>
      <c r="Q2829" s="25"/>
      <c r="R2829" s="54"/>
      <c r="W2829" s="23"/>
      <c r="X2829" s="23"/>
      <c r="Y2829" s="23"/>
      <c r="Z2829" s="43"/>
      <c r="AA2829" s="23"/>
      <c r="AB2829" s="23"/>
      <c r="AC2829" s="23"/>
      <c r="AD2829" s="23"/>
      <c r="AE2829" s="23"/>
      <c r="AF2829" s="23"/>
      <c r="AG2829" s="23"/>
      <c r="AH2829" s="23"/>
      <c r="AI2829" s="49"/>
    </row>
    <row r="2830" spans="1:35">
      <c r="A2830" s="23"/>
      <c r="B2830" s="42"/>
      <c r="C2830" s="49"/>
      <c r="E2830" s="49"/>
      <c r="G2830" s="43"/>
      <c r="H2830" s="44"/>
      <c r="L2830" s="42"/>
      <c r="M2830" s="42"/>
      <c r="N2830" s="25"/>
      <c r="O2830" s="54"/>
      <c r="P2830"/>
      <c r="Q2830" s="25"/>
      <c r="R2830" s="54"/>
      <c r="W2830" s="23"/>
      <c r="X2830" s="23"/>
      <c r="Y2830" s="23"/>
      <c r="Z2830" s="43"/>
      <c r="AA2830" s="23"/>
      <c r="AB2830" s="23"/>
      <c r="AC2830" s="23"/>
      <c r="AD2830" s="23"/>
      <c r="AE2830" s="23"/>
      <c r="AF2830" s="23"/>
      <c r="AG2830" s="23"/>
      <c r="AH2830" s="23"/>
      <c r="AI2830" s="49"/>
    </row>
    <row r="2831" spans="1:35">
      <c r="A2831" s="23"/>
      <c r="B2831" s="42"/>
      <c r="C2831" s="49"/>
      <c r="E2831" s="49"/>
      <c r="G2831" s="43"/>
      <c r="H2831" s="44"/>
      <c r="L2831" s="42"/>
      <c r="M2831" s="42"/>
      <c r="N2831" s="25"/>
      <c r="O2831" s="54"/>
      <c r="P2831"/>
      <c r="Q2831" s="25"/>
      <c r="R2831" s="54"/>
      <c r="W2831" s="23"/>
      <c r="X2831" s="23"/>
      <c r="Y2831" s="23"/>
      <c r="Z2831" s="43"/>
      <c r="AA2831" s="23"/>
      <c r="AB2831" s="23"/>
      <c r="AC2831" s="23"/>
      <c r="AD2831" s="23"/>
      <c r="AE2831" s="23"/>
      <c r="AF2831" s="23"/>
      <c r="AG2831" s="23"/>
      <c r="AH2831" s="23"/>
      <c r="AI2831" s="49"/>
    </row>
    <row r="2832" spans="1:35">
      <c r="A2832" s="23"/>
      <c r="B2832" s="42"/>
      <c r="C2832" s="49"/>
      <c r="E2832" s="49"/>
      <c r="G2832" s="43"/>
      <c r="H2832" s="44"/>
      <c r="L2832" s="42"/>
      <c r="M2832" s="42"/>
      <c r="N2832" s="25"/>
      <c r="O2832" s="54"/>
      <c r="P2832"/>
      <c r="Q2832" s="25"/>
      <c r="R2832" s="54"/>
      <c r="W2832" s="23"/>
      <c r="X2832" s="23"/>
      <c r="Y2832" s="23"/>
      <c r="Z2832" s="43"/>
      <c r="AA2832" s="23"/>
      <c r="AB2832" s="23"/>
      <c r="AC2832" s="23"/>
      <c r="AD2832" s="23"/>
      <c r="AE2832" s="23"/>
      <c r="AF2832" s="23"/>
      <c r="AG2832" s="23"/>
      <c r="AH2832" s="23"/>
      <c r="AI2832" s="49"/>
    </row>
    <row r="2833" spans="1:35">
      <c r="A2833" s="23"/>
      <c r="B2833" s="42"/>
      <c r="C2833" s="49"/>
      <c r="E2833" s="49"/>
      <c r="G2833" s="43"/>
      <c r="H2833" s="44"/>
      <c r="L2833" s="42"/>
      <c r="M2833" s="42"/>
      <c r="N2833" s="25"/>
      <c r="O2833" s="54"/>
      <c r="P2833"/>
      <c r="Q2833" s="25"/>
      <c r="R2833" s="54"/>
      <c r="W2833" s="23"/>
      <c r="X2833" s="23"/>
      <c r="Y2833" s="23"/>
      <c r="Z2833" s="43"/>
      <c r="AA2833" s="23"/>
      <c r="AB2833" s="23"/>
      <c r="AC2833" s="23"/>
      <c r="AD2833" s="23"/>
      <c r="AE2833" s="23"/>
      <c r="AF2833" s="23"/>
      <c r="AG2833" s="23"/>
      <c r="AH2833" s="23"/>
      <c r="AI2833" s="49"/>
    </row>
    <row r="2834" spans="1:35">
      <c r="A2834" s="23"/>
      <c r="B2834" s="42"/>
      <c r="C2834" s="49"/>
      <c r="E2834" s="49"/>
      <c r="G2834" s="43"/>
      <c r="H2834" s="44"/>
      <c r="L2834" s="42"/>
      <c r="M2834" s="42"/>
      <c r="N2834" s="25"/>
      <c r="O2834" s="54"/>
      <c r="P2834"/>
      <c r="Q2834" s="25"/>
      <c r="R2834" s="54"/>
      <c r="W2834" s="23"/>
      <c r="X2834" s="23"/>
      <c r="Y2834" s="23"/>
      <c r="Z2834" s="43"/>
      <c r="AA2834" s="23"/>
      <c r="AB2834" s="23"/>
      <c r="AC2834" s="23"/>
      <c r="AD2834" s="23"/>
      <c r="AE2834" s="23"/>
      <c r="AF2834" s="23"/>
      <c r="AG2834" s="23"/>
      <c r="AH2834" s="23"/>
      <c r="AI2834" s="49"/>
    </row>
    <row r="2835" spans="1:35">
      <c r="A2835" s="23"/>
      <c r="B2835" s="42"/>
      <c r="C2835" s="49"/>
      <c r="E2835" s="49"/>
      <c r="G2835" s="43"/>
      <c r="H2835" s="44"/>
      <c r="L2835" s="42"/>
      <c r="M2835" s="42"/>
      <c r="N2835" s="25"/>
      <c r="O2835" s="54"/>
      <c r="P2835"/>
      <c r="Q2835" s="25"/>
      <c r="R2835" s="54"/>
      <c r="W2835" s="23"/>
      <c r="X2835" s="23"/>
      <c r="Y2835" s="23"/>
      <c r="Z2835" s="43"/>
      <c r="AA2835" s="23"/>
      <c r="AB2835" s="23"/>
      <c r="AC2835" s="23"/>
      <c r="AD2835" s="23"/>
      <c r="AE2835" s="23"/>
      <c r="AF2835" s="23"/>
      <c r="AG2835" s="23"/>
      <c r="AH2835" s="23"/>
      <c r="AI2835" s="49"/>
    </row>
    <row r="2836" spans="1:35">
      <c r="A2836" s="23"/>
      <c r="B2836" s="42"/>
      <c r="C2836" s="49"/>
      <c r="E2836" s="49"/>
      <c r="G2836" s="43"/>
      <c r="H2836" s="44"/>
      <c r="L2836" s="42"/>
      <c r="M2836" s="42"/>
      <c r="N2836" s="25"/>
      <c r="O2836" s="54"/>
      <c r="P2836"/>
      <c r="Q2836" s="25"/>
      <c r="R2836" s="54"/>
      <c r="W2836" s="23"/>
      <c r="X2836" s="23"/>
      <c r="Y2836" s="23"/>
      <c r="Z2836" s="43"/>
      <c r="AA2836" s="23"/>
      <c r="AB2836" s="23"/>
      <c r="AC2836" s="23"/>
      <c r="AD2836" s="23"/>
      <c r="AE2836" s="23"/>
      <c r="AF2836" s="23"/>
      <c r="AG2836" s="23"/>
      <c r="AH2836" s="23"/>
      <c r="AI2836" s="49"/>
    </row>
    <row r="2837" spans="1:35">
      <c r="A2837" s="23"/>
      <c r="B2837" s="42"/>
      <c r="C2837" s="49"/>
      <c r="E2837" s="49"/>
      <c r="G2837" s="43"/>
      <c r="H2837" s="44"/>
      <c r="L2837" s="42"/>
      <c r="M2837" s="42"/>
      <c r="N2837" s="25"/>
      <c r="O2837" s="54"/>
      <c r="P2837"/>
      <c r="Q2837" s="25"/>
      <c r="R2837" s="54"/>
      <c r="W2837" s="23"/>
      <c r="X2837" s="23"/>
      <c r="Y2837" s="23"/>
      <c r="Z2837" s="43"/>
      <c r="AA2837" s="23"/>
      <c r="AB2837" s="23"/>
      <c r="AC2837" s="23"/>
      <c r="AD2837" s="23"/>
      <c r="AE2837" s="23"/>
      <c r="AF2837" s="23"/>
      <c r="AG2837" s="23"/>
      <c r="AH2837" s="23"/>
      <c r="AI2837" s="49"/>
    </row>
    <row r="2838" spans="1:35">
      <c r="A2838" s="23"/>
      <c r="B2838" s="42"/>
      <c r="C2838" s="49"/>
      <c r="E2838" s="49"/>
      <c r="G2838" s="43"/>
      <c r="H2838" s="44"/>
      <c r="L2838" s="42"/>
      <c r="M2838" s="42"/>
      <c r="N2838" s="25"/>
      <c r="O2838" s="54"/>
      <c r="P2838"/>
      <c r="Q2838" s="25"/>
      <c r="R2838" s="54"/>
      <c r="W2838" s="23"/>
      <c r="X2838" s="23"/>
      <c r="Y2838" s="23"/>
      <c r="Z2838" s="43"/>
      <c r="AA2838" s="23"/>
      <c r="AB2838" s="23"/>
      <c r="AC2838" s="23"/>
      <c r="AD2838" s="23"/>
      <c r="AE2838" s="23"/>
      <c r="AF2838" s="23"/>
      <c r="AG2838" s="23"/>
      <c r="AH2838" s="23"/>
      <c r="AI2838" s="49"/>
    </row>
    <row r="2839" spans="1:35">
      <c r="A2839" s="23"/>
      <c r="B2839" s="42"/>
      <c r="C2839" s="49"/>
      <c r="E2839" s="49"/>
      <c r="G2839" s="43"/>
      <c r="H2839" s="44"/>
      <c r="L2839" s="42"/>
      <c r="M2839" s="42"/>
      <c r="N2839" s="25"/>
      <c r="O2839" s="54"/>
      <c r="P2839"/>
      <c r="Q2839" s="25"/>
      <c r="R2839" s="54"/>
      <c r="W2839" s="23"/>
      <c r="X2839" s="23"/>
      <c r="Y2839" s="23"/>
      <c r="Z2839" s="43"/>
      <c r="AA2839" s="23"/>
      <c r="AB2839" s="23"/>
      <c r="AC2839" s="23"/>
      <c r="AD2839" s="23"/>
      <c r="AE2839" s="23"/>
      <c r="AF2839" s="23"/>
      <c r="AG2839" s="23"/>
      <c r="AH2839" s="23"/>
      <c r="AI2839" s="49"/>
    </row>
    <row r="2840" spans="1:35">
      <c r="A2840" s="23"/>
      <c r="B2840" s="42"/>
      <c r="C2840" s="49"/>
      <c r="E2840" s="49"/>
      <c r="G2840" s="43"/>
      <c r="H2840" s="44"/>
      <c r="L2840" s="42"/>
      <c r="M2840" s="42"/>
      <c r="N2840" s="25"/>
      <c r="O2840" s="54"/>
      <c r="P2840"/>
      <c r="Q2840" s="25"/>
      <c r="R2840" s="54"/>
      <c r="W2840" s="23"/>
      <c r="X2840" s="23"/>
      <c r="Y2840" s="23"/>
      <c r="Z2840" s="43"/>
      <c r="AA2840" s="23"/>
      <c r="AB2840" s="23"/>
      <c r="AC2840" s="23"/>
      <c r="AD2840" s="23"/>
      <c r="AE2840" s="23"/>
      <c r="AF2840" s="23"/>
      <c r="AG2840" s="23"/>
      <c r="AH2840" s="23"/>
      <c r="AI2840" s="49"/>
    </row>
    <row r="2841" spans="1:35">
      <c r="A2841" s="23"/>
      <c r="B2841" s="42"/>
      <c r="C2841" s="49"/>
      <c r="E2841" s="49"/>
      <c r="G2841" s="43"/>
      <c r="H2841" s="44"/>
      <c r="L2841" s="42"/>
      <c r="M2841" s="42"/>
      <c r="N2841" s="25"/>
      <c r="O2841" s="54"/>
      <c r="P2841"/>
      <c r="Q2841" s="25"/>
      <c r="R2841" s="54"/>
      <c r="W2841" s="23"/>
      <c r="X2841" s="23"/>
      <c r="Y2841" s="23"/>
      <c r="Z2841" s="43"/>
      <c r="AA2841" s="23"/>
      <c r="AB2841" s="23"/>
      <c r="AC2841" s="23"/>
      <c r="AD2841" s="23"/>
      <c r="AE2841" s="23"/>
      <c r="AF2841" s="23"/>
      <c r="AG2841" s="23"/>
      <c r="AH2841" s="23"/>
      <c r="AI2841" s="49"/>
    </row>
    <row r="2842" spans="1:35">
      <c r="A2842" s="23"/>
      <c r="B2842" s="42"/>
      <c r="C2842" s="49"/>
      <c r="E2842" s="49"/>
      <c r="G2842" s="43"/>
      <c r="H2842" s="44"/>
      <c r="L2842" s="42"/>
      <c r="M2842" s="42"/>
      <c r="N2842" s="25"/>
      <c r="O2842" s="54"/>
      <c r="P2842"/>
      <c r="Q2842" s="25"/>
      <c r="R2842" s="54"/>
      <c r="W2842" s="23"/>
      <c r="X2842" s="23"/>
      <c r="Y2842" s="23"/>
      <c r="Z2842" s="43"/>
      <c r="AA2842" s="23"/>
      <c r="AB2842" s="23"/>
      <c r="AC2842" s="23"/>
      <c r="AD2842" s="23"/>
      <c r="AE2842" s="23"/>
      <c r="AF2842" s="23"/>
      <c r="AG2842" s="23"/>
      <c r="AH2842" s="23"/>
      <c r="AI2842" s="49"/>
    </row>
    <row r="2843" spans="1:35">
      <c r="A2843" s="23"/>
      <c r="B2843" s="42"/>
      <c r="C2843" s="49"/>
      <c r="E2843" s="49"/>
      <c r="G2843" s="43"/>
      <c r="H2843" s="44"/>
      <c r="L2843" s="42"/>
      <c r="M2843" s="42"/>
      <c r="N2843" s="25"/>
      <c r="O2843" s="54"/>
      <c r="P2843"/>
      <c r="Q2843" s="25"/>
      <c r="R2843" s="54"/>
      <c r="W2843" s="23"/>
      <c r="X2843" s="23"/>
      <c r="Y2843" s="23"/>
      <c r="Z2843" s="43"/>
      <c r="AA2843" s="23"/>
      <c r="AB2843" s="23"/>
      <c r="AC2843" s="23"/>
      <c r="AD2843" s="23"/>
      <c r="AE2843" s="23"/>
      <c r="AF2843" s="23"/>
      <c r="AG2843" s="23"/>
      <c r="AH2843" s="23"/>
      <c r="AI2843" s="49"/>
    </row>
    <row r="2844" spans="1:35">
      <c r="A2844" s="23"/>
      <c r="B2844" s="42"/>
      <c r="C2844" s="49"/>
      <c r="E2844" s="49"/>
      <c r="G2844" s="43"/>
      <c r="H2844" s="44"/>
      <c r="L2844" s="42"/>
      <c r="M2844" s="42"/>
      <c r="N2844" s="25"/>
      <c r="O2844" s="54"/>
      <c r="P2844"/>
      <c r="Q2844" s="25"/>
      <c r="R2844" s="54"/>
      <c r="W2844" s="23"/>
      <c r="X2844" s="23"/>
      <c r="Y2844" s="23"/>
      <c r="Z2844" s="43"/>
      <c r="AA2844" s="23"/>
      <c r="AB2844" s="23"/>
      <c r="AC2844" s="23"/>
      <c r="AD2844" s="23"/>
      <c r="AE2844" s="23"/>
      <c r="AF2844" s="23"/>
      <c r="AG2844" s="23"/>
      <c r="AH2844" s="23"/>
      <c r="AI2844" s="49"/>
    </row>
    <row r="2845" spans="1:35">
      <c r="A2845" s="23"/>
      <c r="B2845" s="42"/>
      <c r="C2845" s="49"/>
      <c r="E2845" s="49"/>
      <c r="G2845" s="43"/>
      <c r="H2845" s="44"/>
      <c r="L2845" s="42"/>
      <c r="M2845" s="42"/>
      <c r="N2845" s="25"/>
      <c r="O2845" s="54"/>
      <c r="P2845"/>
      <c r="Q2845" s="25"/>
      <c r="R2845" s="54"/>
      <c r="W2845" s="23"/>
      <c r="X2845" s="23"/>
      <c r="Y2845" s="23"/>
      <c r="Z2845" s="43"/>
      <c r="AA2845" s="23"/>
      <c r="AB2845" s="23"/>
      <c r="AC2845" s="23"/>
      <c r="AD2845" s="23"/>
      <c r="AE2845" s="23"/>
      <c r="AF2845" s="23"/>
      <c r="AG2845" s="23"/>
      <c r="AH2845" s="23"/>
      <c r="AI2845" s="49"/>
    </row>
    <row r="2846" spans="1:35">
      <c r="A2846" s="23"/>
      <c r="B2846" s="42"/>
      <c r="C2846" s="49"/>
      <c r="E2846" s="49"/>
      <c r="G2846" s="43"/>
      <c r="H2846" s="44"/>
      <c r="L2846" s="42"/>
      <c r="M2846" s="42"/>
      <c r="N2846" s="25"/>
      <c r="O2846" s="54"/>
      <c r="P2846"/>
      <c r="Q2846" s="25"/>
      <c r="R2846" s="54"/>
      <c r="W2846" s="23"/>
      <c r="X2846" s="23"/>
      <c r="Y2846" s="23"/>
      <c r="Z2846" s="43"/>
      <c r="AA2846" s="23"/>
      <c r="AB2846" s="23"/>
      <c r="AC2846" s="23"/>
      <c r="AD2846" s="23"/>
      <c r="AE2846" s="23"/>
      <c r="AF2846" s="23"/>
      <c r="AG2846" s="23"/>
      <c r="AH2846" s="23"/>
      <c r="AI2846" s="49"/>
    </row>
    <row r="2847" spans="1:35">
      <c r="A2847" s="23"/>
      <c r="B2847" s="42"/>
      <c r="C2847" s="49"/>
      <c r="E2847" s="49"/>
      <c r="G2847" s="43"/>
      <c r="H2847" s="44"/>
      <c r="L2847" s="42"/>
      <c r="M2847" s="42"/>
      <c r="N2847" s="25"/>
      <c r="O2847" s="54"/>
      <c r="P2847"/>
      <c r="Q2847" s="25"/>
      <c r="R2847" s="54"/>
      <c r="W2847" s="23"/>
      <c r="X2847" s="23"/>
      <c r="Y2847" s="23"/>
      <c r="Z2847" s="43"/>
      <c r="AA2847" s="23"/>
      <c r="AB2847" s="23"/>
      <c r="AC2847" s="23"/>
      <c r="AD2847" s="23"/>
      <c r="AE2847" s="23"/>
      <c r="AF2847" s="23"/>
      <c r="AG2847" s="23"/>
      <c r="AH2847" s="23"/>
      <c r="AI2847" s="49"/>
    </row>
    <row r="2848" spans="1:35">
      <c r="A2848" s="23"/>
      <c r="B2848" s="42"/>
      <c r="C2848" s="49"/>
      <c r="E2848" s="49"/>
      <c r="G2848" s="43"/>
      <c r="H2848" s="44"/>
      <c r="L2848" s="42"/>
      <c r="M2848" s="42"/>
      <c r="N2848" s="25"/>
      <c r="O2848" s="54"/>
      <c r="P2848"/>
      <c r="Q2848" s="25"/>
      <c r="R2848" s="54"/>
      <c r="W2848" s="23"/>
      <c r="X2848" s="23"/>
      <c r="Y2848" s="23"/>
      <c r="Z2848" s="43"/>
      <c r="AA2848" s="23"/>
      <c r="AB2848" s="23"/>
      <c r="AC2848" s="23"/>
      <c r="AD2848" s="23"/>
      <c r="AE2848" s="23"/>
      <c r="AF2848" s="23"/>
      <c r="AG2848" s="23"/>
      <c r="AH2848" s="23"/>
      <c r="AI2848" s="49"/>
    </row>
    <row r="2849" spans="1:35">
      <c r="A2849" s="23"/>
      <c r="B2849" s="42"/>
      <c r="C2849" s="49"/>
      <c r="E2849" s="49"/>
      <c r="G2849" s="43"/>
      <c r="H2849" s="44"/>
      <c r="L2849" s="42"/>
      <c r="M2849" s="42"/>
      <c r="N2849" s="25"/>
      <c r="O2849" s="54"/>
      <c r="P2849"/>
      <c r="Q2849" s="25"/>
      <c r="R2849" s="54"/>
      <c r="W2849" s="23"/>
      <c r="X2849" s="23"/>
      <c r="Y2849" s="23"/>
      <c r="Z2849" s="43"/>
      <c r="AA2849" s="23"/>
      <c r="AB2849" s="23"/>
      <c r="AC2849" s="23"/>
      <c r="AD2849" s="23"/>
      <c r="AE2849" s="23"/>
      <c r="AF2849" s="23"/>
      <c r="AG2849" s="23"/>
      <c r="AH2849" s="23"/>
      <c r="AI2849" s="49"/>
    </row>
    <row r="2850" spans="1:35">
      <c r="A2850" s="23"/>
      <c r="B2850" s="42"/>
      <c r="C2850" s="49"/>
      <c r="E2850" s="49"/>
      <c r="G2850" s="43"/>
      <c r="H2850" s="44"/>
      <c r="L2850" s="42"/>
      <c r="M2850" s="42"/>
      <c r="N2850" s="25"/>
      <c r="O2850" s="54"/>
      <c r="P2850"/>
      <c r="Q2850" s="25"/>
      <c r="R2850" s="54"/>
      <c r="W2850" s="23"/>
      <c r="X2850" s="23"/>
      <c r="Y2850" s="23"/>
      <c r="Z2850" s="43"/>
      <c r="AA2850" s="23"/>
      <c r="AB2850" s="23"/>
      <c r="AC2850" s="23"/>
      <c r="AD2850" s="23"/>
      <c r="AE2850" s="23"/>
      <c r="AF2850" s="23"/>
      <c r="AG2850" s="23"/>
      <c r="AH2850" s="23"/>
      <c r="AI2850" s="49"/>
    </row>
    <row r="2851" spans="1:35">
      <c r="A2851" s="23"/>
      <c r="B2851" s="42"/>
      <c r="C2851" s="49"/>
      <c r="E2851" s="49"/>
      <c r="G2851" s="43"/>
      <c r="H2851" s="44"/>
      <c r="L2851" s="42"/>
      <c r="M2851" s="42"/>
      <c r="N2851" s="25"/>
      <c r="O2851" s="54"/>
      <c r="P2851"/>
      <c r="Q2851" s="25"/>
      <c r="R2851" s="54"/>
      <c r="W2851" s="23"/>
      <c r="X2851" s="23"/>
      <c r="Y2851" s="23"/>
      <c r="Z2851" s="43"/>
      <c r="AA2851" s="23"/>
      <c r="AB2851" s="23"/>
      <c r="AC2851" s="23"/>
      <c r="AD2851" s="23"/>
      <c r="AE2851" s="23"/>
      <c r="AF2851" s="23"/>
      <c r="AG2851" s="23"/>
      <c r="AH2851" s="23"/>
      <c r="AI2851" s="49"/>
    </row>
    <row r="2852" spans="1:35">
      <c r="A2852" s="23"/>
      <c r="B2852" s="42"/>
      <c r="C2852" s="49"/>
      <c r="E2852" s="49"/>
      <c r="G2852" s="43"/>
      <c r="H2852" s="44"/>
      <c r="L2852" s="42"/>
      <c r="M2852" s="42"/>
      <c r="N2852" s="25"/>
      <c r="O2852" s="54"/>
      <c r="P2852"/>
      <c r="Q2852" s="25"/>
      <c r="R2852" s="54"/>
      <c r="W2852" s="23"/>
      <c r="X2852" s="23"/>
      <c r="Y2852" s="23"/>
      <c r="Z2852" s="43"/>
      <c r="AA2852" s="23"/>
      <c r="AB2852" s="23"/>
      <c r="AC2852" s="23"/>
      <c r="AD2852" s="23"/>
      <c r="AE2852" s="23"/>
      <c r="AF2852" s="23"/>
      <c r="AG2852" s="23"/>
      <c r="AH2852" s="23"/>
      <c r="AI2852" s="49"/>
    </row>
    <row r="2853" spans="1:35">
      <c r="A2853" s="23"/>
      <c r="B2853" s="42"/>
      <c r="C2853" s="49"/>
      <c r="E2853" s="49"/>
      <c r="G2853" s="43"/>
      <c r="H2853" s="44"/>
      <c r="L2853" s="42"/>
      <c r="M2853" s="42"/>
      <c r="N2853" s="25"/>
      <c r="O2853" s="54"/>
      <c r="P2853"/>
      <c r="Q2853" s="25"/>
      <c r="R2853" s="54"/>
      <c r="W2853" s="23"/>
      <c r="X2853" s="23"/>
      <c r="Y2853" s="23"/>
      <c r="Z2853" s="43"/>
      <c r="AA2853" s="23"/>
      <c r="AB2853" s="23"/>
      <c r="AC2853" s="23"/>
      <c r="AD2853" s="23"/>
      <c r="AE2853" s="23"/>
      <c r="AF2853" s="23"/>
      <c r="AG2853" s="23"/>
      <c r="AH2853" s="23"/>
      <c r="AI2853" s="49"/>
    </row>
    <row r="2854" spans="1:35">
      <c r="A2854" s="23"/>
      <c r="B2854" s="42"/>
      <c r="C2854" s="49"/>
      <c r="E2854" s="49"/>
      <c r="G2854" s="43"/>
      <c r="H2854" s="44"/>
      <c r="L2854" s="42"/>
      <c r="M2854" s="42"/>
      <c r="N2854" s="25"/>
      <c r="O2854" s="54"/>
      <c r="P2854"/>
      <c r="Q2854" s="25"/>
      <c r="R2854" s="54"/>
      <c r="W2854" s="23"/>
      <c r="X2854" s="23"/>
      <c r="Y2854" s="23"/>
      <c r="Z2854" s="43"/>
      <c r="AA2854" s="23"/>
      <c r="AB2854" s="23"/>
      <c r="AC2854" s="23"/>
      <c r="AD2854" s="23"/>
      <c r="AE2854" s="23"/>
      <c r="AF2854" s="23"/>
      <c r="AG2854" s="23"/>
      <c r="AH2854" s="23"/>
      <c r="AI2854" s="49"/>
    </row>
    <row r="2855" spans="1:35">
      <c r="A2855" s="23"/>
      <c r="B2855" s="42"/>
      <c r="C2855" s="49"/>
      <c r="E2855" s="49"/>
      <c r="G2855" s="43"/>
      <c r="H2855" s="44"/>
      <c r="L2855" s="42"/>
      <c r="M2855" s="42"/>
      <c r="N2855" s="25"/>
      <c r="O2855" s="54"/>
      <c r="P2855"/>
      <c r="Q2855" s="25"/>
      <c r="R2855" s="54"/>
      <c r="W2855" s="23"/>
      <c r="X2855" s="23"/>
      <c r="Y2855" s="23"/>
      <c r="Z2855" s="43"/>
      <c r="AA2855" s="23"/>
      <c r="AB2855" s="23"/>
      <c r="AC2855" s="23"/>
      <c r="AD2855" s="23"/>
      <c r="AE2855" s="23"/>
      <c r="AF2855" s="23"/>
      <c r="AG2855" s="23"/>
      <c r="AH2855" s="23"/>
      <c r="AI2855" s="49"/>
    </row>
    <row r="2856" spans="1:35">
      <c r="A2856" s="23"/>
      <c r="B2856" s="42"/>
      <c r="C2856" s="49"/>
      <c r="E2856" s="49"/>
      <c r="G2856" s="43"/>
      <c r="H2856" s="44"/>
      <c r="L2856" s="42"/>
      <c r="M2856" s="42"/>
      <c r="N2856" s="25"/>
      <c r="O2856" s="54"/>
      <c r="P2856"/>
      <c r="Q2856" s="25"/>
      <c r="R2856" s="54"/>
      <c r="W2856" s="23"/>
      <c r="X2856" s="23"/>
      <c r="Y2856" s="23"/>
      <c r="Z2856" s="43"/>
      <c r="AA2856" s="23"/>
      <c r="AB2856" s="23"/>
      <c r="AC2856" s="23"/>
      <c r="AD2856" s="23"/>
      <c r="AE2856" s="23"/>
      <c r="AF2856" s="23"/>
      <c r="AG2856" s="23"/>
      <c r="AH2856" s="23"/>
      <c r="AI2856" s="49"/>
    </row>
    <row r="2857" spans="1:35">
      <c r="A2857" s="23"/>
      <c r="B2857" s="42"/>
      <c r="C2857" s="49"/>
      <c r="E2857" s="49"/>
      <c r="G2857" s="43"/>
      <c r="H2857" s="44"/>
      <c r="L2857" s="42"/>
      <c r="M2857" s="42"/>
      <c r="N2857" s="25"/>
      <c r="O2857" s="54"/>
      <c r="P2857"/>
      <c r="Q2857" s="25"/>
      <c r="R2857" s="54"/>
      <c r="W2857" s="23"/>
      <c r="X2857" s="23"/>
      <c r="Y2857" s="23"/>
      <c r="Z2857" s="43"/>
      <c r="AA2857" s="23"/>
      <c r="AB2857" s="23"/>
      <c r="AC2857" s="23"/>
      <c r="AD2857" s="23"/>
      <c r="AE2857" s="23"/>
      <c r="AF2857" s="23"/>
      <c r="AG2857" s="23"/>
      <c r="AH2857" s="23"/>
      <c r="AI2857" s="49"/>
    </row>
    <row r="2858" spans="1:35">
      <c r="A2858" s="23"/>
      <c r="B2858" s="42"/>
      <c r="C2858" s="49"/>
      <c r="E2858" s="49"/>
      <c r="G2858" s="43"/>
      <c r="H2858" s="44"/>
      <c r="L2858" s="42"/>
      <c r="M2858" s="42"/>
      <c r="N2858" s="25"/>
      <c r="O2858" s="54"/>
      <c r="P2858"/>
      <c r="Q2858" s="25"/>
      <c r="R2858" s="54"/>
      <c r="W2858" s="23"/>
      <c r="X2858" s="23"/>
      <c r="Y2858" s="23"/>
      <c r="Z2858" s="43"/>
      <c r="AA2858" s="23"/>
      <c r="AB2858" s="23"/>
      <c r="AC2858" s="23"/>
      <c r="AD2858" s="23"/>
      <c r="AE2858" s="23"/>
      <c r="AF2858" s="23"/>
      <c r="AG2858" s="23"/>
      <c r="AH2858" s="23"/>
      <c r="AI2858" s="49"/>
    </row>
    <row r="2859" spans="1:35">
      <c r="A2859" s="23"/>
      <c r="B2859" s="42"/>
      <c r="C2859" s="49"/>
      <c r="E2859" s="49"/>
      <c r="G2859" s="43"/>
      <c r="H2859" s="44"/>
      <c r="L2859" s="42"/>
      <c r="M2859" s="42"/>
      <c r="N2859" s="25"/>
      <c r="O2859" s="54"/>
      <c r="P2859"/>
      <c r="Q2859" s="25"/>
      <c r="R2859" s="54"/>
      <c r="W2859" s="23"/>
      <c r="X2859" s="23"/>
      <c r="Y2859" s="23"/>
      <c r="Z2859" s="43"/>
      <c r="AA2859" s="23"/>
      <c r="AB2859" s="23"/>
      <c r="AC2859" s="23"/>
      <c r="AD2859" s="23"/>
      <c r="AE2859" s="23"/>
      <c r="AF2859" s="23"/>
      <c r="AG2859" s="23"/>
      <c r="AH2859" s="23"/>
      <c r="AI2859" s="49"/>
    </row>
    <row r="2860" spans="1:35">
      <c r="A2860" s="23"/>
      <c r="B2860" s="42"/>
      <c r="C2860" s="49"/>
      <c r="E2860" s="49"/>
      <c r="G2860" s="43"/>
      <c r="H2860" s="44"/>
      <c r="L2860" s="42"/>
      <c r="M2860" s="42"/>
      <c r="N2860" s="25"/>
      <c r="O2860" s="54"/>
      <c r="P2860"/>
      <c r="Q2860" s="25"/>
      <c r="R2860" s="54"/>
      <c r="W2860" s="23"/>
      <c r="X2860" s="23"/>
      <c r="Y2860" s="23"/>
      <c r="Z2860" s="43"/>
      <c r="AA2860" s="23"/>
      <c r="AB2860" s="23"/>
      <c r="AC2860" s="23"/>
      <c r="AD2860" s="23"/>
      <c r="AE2860" s="23"/>
      <c r="AF2860" s="23"/>
      <c r="AG2860" s="23"/>
      <c r="AH2860" s="23"/>
      <c r="AI2860" s="49"/>
    </row>
    <row r="2861" spans="1:35">
      <c r="A2861" s="23"/>
      <c r="B2861" s="42"/>
      <c r="C2861" s="49"/>
      <c r="E2861" s="49"/>
      <c r="G2861" s="43"/>
      <c r="H2861" s="44"/>
      <c r="L2861" s="42"/>
      <c r="M2861" s="42"/>
      <c r="N2861" s="25"/>
      <c r="O2861" s="54"/>
      <c r="P2861"/>
      <c r="Q2861" s="25"/>
      <c r="R2861" s="54"/>
      <c r="W2861" s="23"/>
      <c r="X2861" s="23"/>
      <c r="Y2861" s="23"/>
      <c r="Z2861" s="43"/>
      <c r="AA2861" s="23"/>
      <c r="AB2861" s="23"/>
      <c r="AC2861" s="23"/>
      <c r="AD2861" s="23"/>
      <c r="AE2861" s="23"/>
      <c r="AF2861" s="23"/>
      <c r="AG2861" s="23"/>
      <c r="AH2861" s="23"/>
      <c r="AI2861" s="49"/>
    </row>
    <row r="2862" spans="1:35">
      <c r="A2862" s="23"/>
      <c r="B2862" s="42"/>
      <c r="C2862" s="49"/>
      <c r="E2862" s="49"/>
      <c r="G2862" s="43"/>
      <c r="H2862" s="44"/>
      <c r="L2862" s="42"/>
      <c r="M2862" s="42"/>
      <c r="N2862" s="25"/>
      <c r="O2862" s="54"/>
      <c r="P2862"/>
      <c r="Q2862" s="25"/>
      <c r="R2862" s="54"/>
      <c r="W2862" s="23"/>
      <c r="X2862" s="23"/>
      <c r="Y2862" s="23"/>
      <c r="Z2862" s="43"/>
      <c r="AA2862" s="23"/>
      <c r="AB2862" s="23"/>
      <c r="AC2862" s="23"/>
      <c r="AD2862" s="23"/>
      <c r="AE2862" s="23"/>
      <c r="AF2862" s="23"/>
      <c r="AG2862" s="23"/>
      <c r="AH2862" s="23"/>
      <c r="AI2862" s="49"/>
    </row>
    <row r="2863" spans="1:35">
      <c r="A2863" s="23"/>
      <c r="B2863" s="42"/>
      <c r="C2863" s="49"/>
      <c r="E2863" s="49"/>
      <c r="G2863" s="43"/>
      <c r="H2863" s="44"/>
      <c r="L2863" s="42"/>
      <c r="M2863" s="42"/>
      <c r="N2863" s="25"/>
      <c r="O2863" s="54"/>
      <c r="P2863"/>
      <c r="Q2863" s="25"/>
      <c r="R2863" s="54"/>
      <c r="W2863" s="23"/>
      <c r="X2863" s="23"/>
      <c r="Y2863" s="23"/>
      <c r="Z2863" s="43"/>
      <c r="AA2863" s="23"/>
      <c r="AB2863" s="23"/>
      <c r="AC2863" s="23"/>
      <c r="AD2863" s="23"/>
      <c r="AE2863" s="23"/>
      <c r="AF2863" s="23"/>
      <c r="AG2863" s="23"/>
      <c r="AH2863" s="23"/>
      <c r="AI2863" s="49"/>
    </row>
    <row r="2864" spans="1:35">
      <c r="A2864" s="23"/>
      <c r="B2864" s="42"/>
      <c r="C2864" s="49"/>
      <c r="E2864" s="49"/>
      <c r="G2864" s="43"/>
      <c r="H2864" s="44"/>
      <c r="L2864" s="42"/>
      <c r="M2864" s="42"/>
      <c r="N2864" s="25"/>
      <c r="O2864" s="54"/>
      <c r="P2864"/>
      <c r="Q2864" s="25"/>
      <c r="R2864" s="54"/>
      <c r="W2864" s="23"/>
      <c r="X2864" s="23"/>
      <c r="Y2864" s="23"/>
      <c r="Z2864" s="43"/>
      <c r="AA2864" s="23"/>
      <c r="AB2864" s="23"/>
      <c r="AC2864" s="23"/>
      <c r="AD2864" s="23"/>
      <c r="AE2864" s="23"/>
      <c r="AF2864" s="23"/>
      <c r="AG2864" s="23"/>
      <c r="AH2864" s="23"/>
      <c r="AI2864" s="49"/>
    </row>
    <row r="2865" spans="1:35">
      <c r="A2865" s="23"/>
      <c r="B2865" s="42"/>
      <c r="C2865" s="49"/>
      <c r="E2865" s="49"/>
      <c r="G2865" s="43"/>
      <c r="H2865" s="44"/>
      <c r="L2865" s="42"/>
      <c r="M2865" s="42"/>
      <c r="N2865" s="25"/>
      <c r="O2865" s="54"/>
      <c r="P2865"/>
      <c r="Q2865" s="25"/>
      <c r="R2865" s="54"/>
      <c r="W2865" s="23"/>
      <c r="X2865" s="23"/>
      <c r="Y2865" s="23"/>
      <c r="Z2865" s="43"/>
      <c r="AA2865" s="23"/>
      <c r="AB2865" s="23"/>
      <c r="AC2865" s="23"/>
      <c r="AD2865" s="23"/>
      <c r="AE2865" s="23"/>
      <c r="AF2865" s="23"/>
      <c r="AG2865" s="23"/>
      <c r="AH2865" s="23"/>
      <c r="AI2865" s="49"/>
    </row>
    <row r="2866" spans="1:35">
      <c r="A2866" s="23"/>
      <c r="B2866" s="42"/>
      <c r="C2866" s="49"/>
      <c r="E2866" s="49"/>
      <c r="G2866" s="43"/>
      <c r="H2866" s="44"/>
      <c r="L2866" s="42"/>
      <c r="M2866" s="42"/>
      <c r="N2866" s="25"/>
      <c r="O2866" s="54"/>
      <c r="P2866"/>
      <c r="Q2866" s="25"/>
      <c r="R2866" s="54"/>
      <c r="W2866" s="23"/>
      <c r="X2866" s="23"/>
      <c r="Y2866" s="23"/>
      <c r="Z2866" s="43"/>
      <c r="AA2866" s="23"/>
      <c r="AB2866" s="23"/>
      <c r="AC2866" s="23"/>
      <c r="AD2866" s="23"/>
      <c r="AE2866" s="23"/>
      <c r="AF2866" s="23"/>
      <c r="AG2866" s="23"/>
      <c r="AH2866" s="23"/>
      <c r="AI2866" s="49"/>
    </row>
    <row r="2867" spans="1:35">
      <c r="A2867" s="23"/>
      <c r="B2867" s="42"/>
      <c r="C2867" s="49"/>
      <c r="E2867" s="49"/>
      <c r="G2867" s="43"/>
      <c r="H2867" s="44"/>
      <c r="L2867" s="42"/>
      <c r="M2867" s="42"/>
      <c r="N2867" s="25"/>
      <c r="O2867" s="54"/>
      <c r="P2867"/>
      <c r="Q2867" s="25"/>
      <c r="R2867" s="54"/>
      <c r="W2867" s="23"/>
      <c r="X2867" s="23"/>
      <c r="Y2867" s="23"/>
      <c r="Z2867" s="43"/>
      <c r="AA2867" s="23"/>
      <c r="AB2867" s="23"/>
      <c r="AC2867" s="23"/>
      <c r="AD2867" s="23"/>
      <c r="AE2867" s="23"/>
      <c r="AF2867" s="23"/>
      <c r="AG2867" s="23"/>
      <c r="AH2867" s="23"/>
      <c r="AI2867" s="49"/>
    </row>
    <row r="2868" spans="1:35">
      <c r="A2868" s="23"/>
      <c r="B2868" s="42"/>
      <c r="C2868" s="49"/>
      <c r="E2868" s="49"/>
      <c r="G2868" s="43"/>
      <c r="H2868" s="44"/>
      <c r="L2868" s="42"/>
      <c r="M2868" s="42"/>
      <c r="N2868" s="25"/>
      <c r="O2868" s="54"/>
      <c r="P2868"/>
      <c r="Q2868" s="25"/>
      <c r="R2868" s="54"/>
      <c r="W2868" s="23"/>
      <c r="X2868" s="23"/>
      <c r="Y2868" s="23"/>
      <c r="Z2868" s="43"/>
      <c r="AA2868" s="23"/>
      <c r="AB2868" s="23"/>
      <c r="AC2868" s="23"/>
      <c r="AD2868" s="23"/>
      <c r="AE2868" s="23"/>
      <c r="AF2868" s="23"/>
      <c r="AG2868" s="23"/>
      <c r="AH2868" s="23"/>
      <c r="AI2868" s="49"/>
    </row>
    <row r="2869" spans="1:35">
      <c r="A2869" s="23"/>
      <c r="B2869" s="42"/>
      <c r="C2869" s="49"/>
      <c r="E2869" s="49"/>
      <c r="G2869" s="43"/>
      <c r="H2869" s="44"/>
      <c r="L2869" s="42"/>
      <c r="M2869" s="42"/>
      <c r="N2869" s="25"/>
      <c r="O2869" s="54"/>
      <c r="P2869"/>
      <c r="Q2869" s="25"/>
      <c r="R2869" s="54"/>
      <c r="W2869" s="23"/>
      <c r="X2869" s="23"/>
      <c r="Y2869" s="23"/>
      <c r="Z2869" s="43"/>
      <c r="AA2869" s="23"/>
      <c r="AB2869" s="23"/>
      <c r="AC2869" s="23"/>
      <c r="AD2869" s="23"/>
      <c r="AE2869" s="23"/>
      <c r="AF2869" s="23"/>
      <c r="AG2869" s="23"/>
      <c r="AH2869" s="23"/>
      <c r="AI2869" s="49"/>
    </row>
    <row r="2870" spans="1:35">
      <c r="A2870" s="23"/>
      <c r="B2870" s="42"/>
      <c r="C2870" s="49"/>
      <c r="E2870" s="49"/>
      <c r="G2870" s="43"/>
      <c r="H2870" s="44"/>
      <c r="L2870" s="42"/>
      <c r="M2870" s="42"/>
      <c r="N2870" s="25"/>
      <c r="O2870" s="54"/>
      <c r="P2870"/>
      <c r="Q2870" s="25"/>
      <c r="R2870" s="54"/>
      <c r="W2870" s="23"/>
      <c r="X2870" s="23"/>
      <c r="Y2870" s="23"/>
      <c r="Z2870" s="43"/>
      <c r="AA2870" s="23"/>
      <c r="AB2870" s="23"/>
      <c r="AC2870" s="23"/>
      <c r="AD2870" s="23"/>
      <c r="AE2870" s="23"/>
      <c r="AF2870" s="23"/>
      <c r="AG2870" s="23"/>
      <c r="AH2870" s="23"/>
      <c r="AI2870" s="49"/>
    </row>
    <row r="2871" spans="1:35">
      <c r="A2871" s="23"/>
      <c r="B2871" s="42"/>
      <c r="C2871" s="49"/>
      <c r="E2871" s="49"/>
      <c r="G2871" s="43"/>
      <c r="H2871" s="44"/>
      <c r="L2871" s="42"/>
      <c r="M2871" s="42"/>
      <c r="N2871" s="25"/>
      <c r="O2871" s="54"/>
      <c r="P2871"/>
      <c r="Q2871" s="25"/>
      <c r="R2871" s="54"/>
      <c r="W2871" s="23"/>
      <c r="X2871" s="23"/>
      <c r="Y2871" s="23"/>
      <c r="Z2871" s="43"/>
      <c r="AA2871" s="23"/>
      <c r="AB2871" s="23"/>
      <c r="AC2871" s="23"/>
      <c r="AD2871" s="23"/>
      <c r="AE2871" s="23"/>
      <c r="AF2871" s="23"/>
      <c r="AG2871" s="23"/>
      <c r="AH2871" s="23"/>
      <c r="AI2871" s="49"/>
    </row>
    <row r="2872" spans="1:35">
      <c r="B2872" s="42"/>
      <c r="G2872" s="43"/>
      <c r="H2872" s="44"/>
      <c r="L2872" s="42"/>
      <c r="M2872" s="42"/>
      <c r="N2872" s="25"/>
      <c r="O2872" s="54"/>
      <c r="P2872"/>
      <c r="Q2872" s="25"/>
      <c r="R2872" s="54"/>
      <c r="W2872" s="23"/>
      <c r="X2872" s="23"/>
      <c r="Y2872" s="23"/>
      <c r="Z2872" s="43"/>
      <c r="AA2872" s="23"/>
      <c r="AB2872" s="23"/>
      <c r="AC2872" s="23"/>
      <c r="AD2872" s="23"/>
      <c r="AE2872" s="23"/>
      <c r="AF2872" s="23"/>
      <c r="AG2872" s="23"/>
      <c r="AH2872" s="23"/>
      <c r="AI2872" s="48"/>
    </row>
    <row r="2873" spans="1:35">
      <c r="B2873" s="42"/>
      <c r="G2873" s="43"/>
      <c r="H2873" s="44"/>
      <c r="L2873" s="42"/>
      <c r="M2873" s="42"/>
      <c r="N2873" s="25"/>
      <c r="O2873" s="54"/>
      <c r="P2873"/>
      <c r="Q2873" s="25"/>
      <c r="R2873" s="54"/>
      <c r="W2873" s="23"/>
      <c r="X2873" s="23"/>
      <c r="Y2873" s="23"/>
      <c r="Z2873" s="43"/>
      <c r="AA2873" s="23"/>
      <c r="AB2873" s="23"/>
      <c r="AC2873" s="23"/>
      <c r="AD2873" s="23"/>
      <c r="AE2873" s="23"/>
      <c r="AF2873" s="23"/>
      <c r="AG2873" s="23"/>
      <c r="AH2873" s="23"/>
      <c r="AI2873" s="48"/>
    </row>
    <row r="2874" spans="1:35">
      <c r="B2874" s="42"/>
      <c r="G2874" s="43"/>
      <c r="H2874" s="44"/>
      <c r="L2874" s="42"/>
      <c r="M2874" s="42"/>
      <c r="N2874" s="25"/>
      <c r="O2874" s="54"/>
      <c r="P2874"/>
      <c r="Q2874" s="25"/>
      <c r="R2874" s="54"/>
      <c r="W2874" s="23"/>
      <c r="X2874" s="23"/>
      <c r="Y2874" s="23"/>
      <c r="Z2874" s="43"/>
      <c r="AA2874" s="23"/>
      <c r="AB2874" s="23"/>
      <c r="AC2874" s="23"/>
      <c r="AD2874" s="23"/>
      <c r="AE2874" s="23"/>
      <c r="AF2874" s="23"/>
      <c r="AG2874" s="23"/>
      <c r="AH2874" s="23"/>
      <c r="AI2874" s="48"/>
    </row>
    <row r="2875" spans="1:35">
      <c r="B2875" s="42"/>
      <c r="G2875" s="43"/>
      <c r="H2875" s="44"/>
      <c r="L2875" s="42"/>
      <c r="M2875" s="42"/>
      <c r="N2875" s="25"/>
      <c r="O2875" s="54"/>
      <c r="P2875"/>
      <c r="Q2875" s="25"/>
      <c r="R2875" s="54"/>
      <c r="W2875" s="23"/>
      <c r="X2875" s="23"/>
      <c r="Y2875" s="23"/>
      <c r="Z2875" s="43"/>
      <c r="AA2875" s="23"/>
      <c r="AB2875" s="23"/>
      <c r="AC2875" s="23"/>
      <c r="AD2875" s="23"/>
      <c r="AE2875" s="23"/>
      <c r="AF2875" s="23"/>
      <c r="AG2875" s="23"/>
      <c r="AH2875" s="23"/>
      <c r="AI2875" s="48"/>
    </row>
    <row r="2876" spans="1:35">
      <c r="B2876" s="42"/>
      <c r="G2876" s="43"/>
      <c r="H2876" s="44"/>
      <c r="L2876" s="42"/>
      <c r="M2876" s="42"/>
      <c r="N2876" s="25"/>
      <c r="O2876" s="54"/>
      <c r="P2876"/>
      <c r="Q2876" s="25"/>
      <c r="R2876" s="54"/>
      <c r="W2876" s="23"/>
      <c r="X2876" s="23"/>
      <c r="Y2876" s="23"/>
      <c r="Z2876" s="43"/>
      <c r="AA2876" s="23"/>
      <c r="AB2876" s="23"/>
      <c r="AC2876" s="23"/>
      <c r="AD2876" s="23"/>
      <c r="AE2876" s="23"/>
      <c r="AF2876" s="23"/>
      <c r="AG2876" s="23"/>
      <c r="AH2876" s="23"/>
      <c r="AI2876" s="48"/>
    </row>
    <row r="2877" spans="1:35">
      <c r="B2877" s="42"/>
      <c r="G2877" s="43"/>
      <c r="H2877" s="44"/>
      <c r="L2877" s="42"/>
      <c r="M2877" s="42"/>
      <c r="N2877" s="25"/>
      <c r="O2877" s="54"/>
      <c r="P2877"/>
      <c r="Q2877" s="25"/>
      <c r="R2877" s="54"/>
      <c r="W2877" s="23"/>
      <c r="X2877" s="23"/>
      <c r="Y2877" s="23"/>
      <c r="Z2877" s="43"/>
      <c r="AA2877" s="23"/>
      <c r="AB2877" s="23"/>
      <c r="AC2877" s="23"/>
      <c r="AD2877" s="23"/>
      <c r="AE2877" s="23"/>
      <c r="AF2877" s="23"/>
      <c r="AG2877" s="23"/>
      <c r="AH2877" s="23"/>
      <c r="AI2877" s="48"/>
    </row>
    <row r="2878" spans="1:35">
      <c r="B2878" s="42"/>
      <c r="G2878" s="43"/>
      <c r="H2878" s="44"/>
      <c r="L2878" s="42"/>
      <c r="M2878" s="42"/>
      <c r="N2878" s="25"/>
      <c r="O2878" s="54"/>
      <c r="P2878"/>
      <c r="Q2878" s="25"/>
      <c r="R2878" s="54"/>
      <c r="W2878" s="23"/>
      <c r="X2878" s="23"/>
      <c r="Y2878" s="23"/>
      <c r="Z2878" s="43"/>
      <c r="AA2878" s="23"/>
      <c r="AB2878" s="23"/>
      <c r="AC2878" s="23"/>
      <c r="AD2878" s="23"/>
      <c r="AE2878" s="23"/>
      <c r="AF2878" s="23"/>
      <c r="AG2878" s="23"/>
      <c r="AH2878" s="23"/>
      <c r="AI2878" s="48"/>
    </row>
    <row r="2879" spans="1:35">
      <c r="B2879" s="42"/>
      <c r="G2879" s="43"/>
      <c r="H2879" s="44"/>
      <c r="L2879" s="42"/>
      <c r="M2879" s="42"/>
      <c r="N2879" s="25"/>
      <c r="O2879" s="54"/>
      <c r="P2879"/>
      <c r="Q2879" s="25"/>
      <c r="R2879" s="54"/>
      <c r="W2879" s="23"/>
      <c r="X2879" s="23"/>
      <c r="Y2879" s="23"/>
      <c r="Z2879" s="43"/>
      <c r="AA2879" s="23"/>
      <c r="AB2879" s="23"/>
      <c r="AC2879" s="23"/>
      <c r="AD2879" s="23"/>
      <c r="AE2879" s="23"/>
      <c r="AF2879" s="23"/>
      <c r="AG2879" s="23"/>
      <c r="AH2879" s="23"/>
      <c r="AI2879" s="48"/>
    </row>
    <row r="2880" spans="1:35">
      <c r="B2880" s="42"/>
      <c r="G2880" s="43"/>
      <c r="H2880" s="44"/>
      <c r="L2880" s="42"/>
      <c r="M2880" s="42"/>
      <c r="N2880" s="25"/>
      <c r="O2880" s="54"/>
      <c r="P2880"/>
      <c r="Q2880" s="25"/>
      <c r="R2880" s="54"/>
      <c r="W2880" s="23"/>
      <c r="X2880" s="23"/>
      <c r="Y2880" s="23"/>
      <c r="Z2880" s="43"/>
      <c r="AA2880" s="23"/>
      <c r="AB2880" s="23"/>
      <c r="AC2880" s="23"/>
      <c r="AD2880" s="23"/>
      <c r="AE2880" s="23"/>
      <c r="AF2880" s="23"/>
      <c r="AG2880" s="23"/>
      <c r="AH2880" s="23"/>
      <c r="AI2880" s="48"/>
    </row>
    <row r="2881" spans="1:35">
      <c r="B2881" s="42"/>
      <c r="G2881" s="43"/>
      <c r="H2881" s="44"/>
      <c r="L2881" s="42"/>
      <c r="M2881" s="42"/>
      <c r="N2881" s="25"/>
      <c r="O2881" s="54"/>
      <c r="P2881"/>
      <c r="Q2881" s="25"/>
      <c r="R2881" s="54"/>
      <c r="W2881" s="23"/>
      <c r="X2881" s="23"/>
      <c r="Y2881" s="23"/>
      <c r="Z2881" s="43"/>
      <c r="AA2881" s="23"/>
      <c r="AB2881" s="23"/>
      <c r="AC2881" s="23"/>
      <c r="AD2881" s="23"/>
      <c r="AE2881" s="23"/>
      <c r="AF2881" s="23"/>
      <c r="AG2881" s="23"/>
      <c r="AH2881" s="23"/>
      <c r="AI2881" s="48"/>
    </row>
    <row r="2882" spans="1:35">
      <c r="B2882" s="42"/>
      <c r="G2882" s="43"/>
      <c r="H2882" s="44"/>
      <c r="L2882" s="42"/>
      <c r="M2882" s="42"/>
      <c r="N2882" s="25"/>
      <c r="O2882" s="54"/>
      <c r="P2882"/>
      <c r="Q2882" s="25"/>
      <c r="R2882" s="54"/>
      <c r="W2882" s="23"/>
      <c r="X2882" s="23"/>
      <c r="Y2882" s="23"/>
      <c r="Z2882" s="43"/>
      <c r="AA2882" s="23"/>
      <c r="AB2882" s="23"/>
      <c r="AC2882" s="23"/>
      <c r="AD2882" s="23"/>
      <c r="AE2882" s="23"/>
      <c r="AF2882" s="23"/>
      <c r="AG2882" s="23"/>
      <c r="AH2882" s="23"/>
      <c r="AI2882" s="48"/>
    </row>
    <row r="2883" spans="1:35">
      <c r="B2883" s="42"/>
      <c r="G2883" s="43"/>
      <c r="H2883" s="44"/>
      <c r="L2883" s="42"/>
      <c r="M2883" s="42"/>
      <c r="N2883" s="25"/>
      <c r="O2883" s="54"/>
      <c r="P2883"/>
      <c r="Q2883" s="25"/>
      <c r="R2883" s="54"/>
      <c r="W2883" s="23"/>
      <c r="X2883" s="23"/>
      <c r="Y2883" s="23"/>
      <c r="Z2883" s="43"/>
      <c r="AA2883" s="23"/>
      <c r="AB2883" s="23"/>
      <c r="AC2883" s="23"/>
      <c r="AD2883" s="23"/>
      <c r="AE2883" s="23"/>
      <c r="AF2883" s="23"/>
      <c r="AG2883" s="23"/>
      <c r="AH2883" s="23"/>
      <c r="AI2883" s="48"/>
    </row>
    <row r="2884" spans="1:35">
      <c r="B2884" s="42"/>
      <c r="G2884" s="43"/>
      <c r="H2884" s="44"/>
      <c r="L2884" s="42"/>
      <c r="M2884" s="42"/>
      <c r="N2884" s="25"/>
      <c r="O2884" s="54"/>
      <c r="P2884"/>
      <c r="Q2884" s="25"/>
      <c r="R2884" s="54"/>
      <c r="W2884" s="23"/>
      <c r="X2884" s="23"/>
      <c r="Y2884" s="23"/>
      <c r="Z2884" s="43"/>
      <c r="AA2884" s="23"/>
      <c r="AB2884" s="23"/>
      <c r="AC2884" s="23"/>
      <c r="AD2884" s="23"/>
      <c r="AE2884" s="23"/>
      <c r="AF2884" s="23"/>
      <c r="AG2884" s="23"/>
      <c r="AH2884" s="23"/>
      <c r="AI2884" s="48"/>
    </row>
    <row r="2885" spans="1:35">
      <c r="A2885" s="45"/>
      <c r="B2885" s="42"/>
      <c r="C2885" s="45"/>
      <c r="E2885" s="45"/>
      <c r="G2885" s="43"/>
      <c r="H2885" s="44"/>
      <c r="L2885" s="42"/>
      <c r="M2885" s="42"/>
      <c r="N2885" s="25"/>
      <c r="O2885" s="54"/>
      <c r="P2885"/>
      <c r="Q2885" s="25"/>
      <c r="R2885" s="54"/>
      <c r="W2885" s="23"/>
      <c r="X2885" s="23"/>
      <c r="Y2885" s="23"/>
      <c r="Z2885" s="43"/>
      <c r="AA2885" s="23"/>
      <c r="AB2885" s="23"/>
      <c r="AC2885" s="23"/>
      <c r="AD2885" s="23"/>
      <c r="AE2885" s="23"/>
      <c r="AF2885" s="23"/>
      <c r="AG2885" s="23"/>
      <c r="AH2885" s="23"/>
      <c r="AI2885" s="48"/>
    </row>
    <row r="2886" spans="1:35">
      <c r="A2886" s="45"/>
      <c r="B2886" s="42"/>
      <c r="C2886" s="45"/>
      <c r="E2886" s="45"/>
      <c r="G2886" s="43"/>
      <c r="H2886" s="44"/>
      <c r="L2886" s="42"/>
      <c r="M2886" s="42"/>
      <c r="N2886" s="25"/>
      <c r="O2886" s="54"/>
      <c r="P2886"/>
      <c r="Q2886" s="25"/>
      <c r="R2886" s="54"/>
      <c r="W2886" s="23"/>
      <c r="X2886" s="23"/>
      <c r="Y2886" s="23"/>
      <c r="Z2886" s="43"/>
      <c r="AA2886" s="23"/>
      <c r="AB2886" s="23"/>
      <c r="AC2886" s="23"/>
      <c r="AD2886" s="23"/>
      <c r="AE2886" s="23"/>
      <c r="AF2886" s="23"/>
      <c r="AG2886" s="23"/>
      <c r="AH2886" s="23"/>
      <c r="AI2886" s="48"/>
    </row>
    <row r="2887" spans="1:35">
      <c r="A2887" s="45"/>
      <c r="B2887" s="42"/>
      <c r="C2887" s="45"/>
      <c r="E2887" s="45"/>
      <c r="G2887" s="43"/>
      <c r="H2887" s="44"/>
      <c r="L2887" s="42"/>
      <c r="M2887" s="42"/>
      <c r="N2887" s="25"/>
      <c r="O2887" s="54"/>
      <c r="P2887"/>
      <c r="Q2887" s="25"/>
      <c r="R2887" s="54"/>
      <c r="W2887" s="23"/>
      <c r="X2887" s="23"/>
      <c r="Y2887" s="23"/>
      <c r="Z2887" s="43"/>
      <c r="AA2887" s="23"/>
      <c r="AB2887" s="23"/>
      <c r="AC2887" s="23"/>
      <c r="AD2887" s="23"/>
      <c r="AE2887" s="23"/>
      <c r="AF2887" s="23"/>
      <c r="AG2887" s="23"/>
      <c r="AH2887" s="23"/>
      <c r="AI2887" s="48"/>
    </row>
    <row r="2888" spans="1:35">
      <c r="A2888" s="45"/>
      <c r="B2888" s="42"/>
      <c r="C2888" s="45"/>
      <c r="E2888" s="45"/>
      <c r="G2888" s="43"/>
      <c r="H2888" s="44"/>
      <c r="L2888" s="42"/>
      <c r="M2888" s="42"/>
      <c r="N2888" s="25"/>
      <c r="O2888" s="54"/>
      <c r="P2888"/>
      <c r="Q2888" s="25"/>
      <c r="R2888" s="54"/>
      <c r="W2888" s="23"/>
      <c r="X2888" s="23"/>
      <c r="Y2888" s="23"/>
      <c r="Z2888" s="43"/>
      <c r="AA2888" s="23"/>
      <c r="AB2888" s="23"/>
      <c r="AC2888" s="23"/>
      <c r="AD2888" s="23"/>
      <c r="AE2888" s="23"/>
      <c r="AF2888" s="23"/>
      <c r="AG2888" s="23"/>
      <c r="AH2888" s="23"/>
      <c r="AI2888" s="48"/>
    </row>
    <row r="2889" spans="1:35">
      <c r="A2889" s="45"/>
      <c r="B2889" s="42"/>
      <c r="C2889" s="45"/>
      <c r="E2889" s="45"/>
      <c r="G2889" s="43"/>
      <c r="H2889" s="44"/>
      <c r="L2889" s="42"/>
      <c r="M2889" s="42"/>
      <c r="N2889" s="25"/>
      <c r="O2889" s="54"/>
      <c r="P2889"/>
      <c r="Q2889" s="25"/>
      <c r="R2889" s="54"/>
      <c r="W2889" s="23"/>
      <c r="X2889" s="23"/>
      <c r="Y2889" s="23"/>
      <c r="Z2889" s="43"/>
      <c r="AA2889" s="23"/>
      <c r="AB2889" s="23"/>
      <c r="AC2889" s="23"/>
      <c r="AD2889" s="23"/>
      <c r="AE2889" s="23"/>
      <c r="AF2889" s="23"/>
      <c r="AG2889" s="23"/>
      <c r="AH2889" s="23"/>
      <c r="AI2889" s="48"/>
    </row>
    <row r="2890" spans="1:35">
      <c r="A2890" s="45"/>
      <c r="B2890" s="42"/>
      <c r="C2890" s="45"/>
      <c r="E2890" s="45"/>
      <c r="G2890" s="43"/>
      <c r="H2890" s="44"/>
      <c r="L2890" s="42"/>
      <c r="M2890" s="42"/>
      <c r="N2890" s="25"/>
      <c r="O2890" s="54"/>
      <c r="P2890"/>
      <c r="Q2890" s="25"/>
      <c r="R2890" s="54"/>
      <c r="W2890" s="23"/>
      <c r="X2890" s="23"/>
      <c r="Y2890" s="23"/>
      <c r="Z2890" s="43"/>
      <c r="AA2890" s="23"/>
      <c r="AB2890" s="23"/>
      <c r="AC2890" s="23"/>
      <c r="AD2890" s="23"/>
      <c r="AE2890" s="23"/>
      <c r="AF2890" s="23"/>
      <c r="AG2890" s="23"/>
      <c r="AH2890" s="23"/>
      <c r="AI2890" s="48"/>
    </row>
    <row r="2891" spans="1:35">
      <c r="A2891" s="45"/>
      <c r="B2891" s="42"/>
      <c r="C2891" s="45"/>
      <c r="E2891" s="45"/>
      <c r="G2891" s="43"/>
      <c r="H2891" s="44"/>
      <c r="L2891" s="42"/>
      <c r="M2891" s="42"/>
      <c r="N2891" s="25"/>
      <c r="O2891" s="54"/>
      <c r="P2891"/>
      <c r="Q2891" s="25"/>
      <c r="R2891" s="54"/>
      <c r="W2891" s="23"/>
      <c r="X2891" s="23"/>
      <c r="Y2891" s="23"/>
      <c r="Z2891" s="43"/>
      <c r="AA2891" s="23"/>
      <c r="AB2891" s="23"/>
      <c r="AC2891" s="23"/>
      <c r="AD2891" s="23"/>
      <c r="AE2891" s="23"/>
      <c r="AF2891" s="23"/>
      <c r="AG2891" s="23"/>
      <c r="AH2891" s="23"/>
      <c r="AI2891" s="48"/>
    </row>
    <row r="2892" spans="1:35">
      <c r="A2892" s="45"/>
      <c r="B2892" s="42"/>
      <c r="C2892" s="45"/>
      <c r="E2892" s="45"/>
      <c r="G2892" s="43"/>
      <c r="H2892" s="44"/>
      <c r="L2892" s="42"/>
      <c r="M2892" s="42"/>
      <c r="N2892" s="25"/>
      <c r="O2892" s="54"/>
      <c r="P2892"/>
      <c r="Q2892" s="25"/>
      <c r="R2892" s="54"/>
      <c r="W2892" s="23"/>
      <c r="X2892" s="23"/>
      <c r="Y2892" s="23"/>
      <c r="Z2892" s="43"/>
      <c r="AA2892" s="23"/>
      <c r="AB2892" s="23"/>
      <c r="AC2892" s="23"/>
      <c r="AD2892" s="23"/>
      <c r="AE2892" s="23"/>
      <c r="AF2892" s="23"/>
      <c r="AG2892" s="23"/>
      <c r="AH2892" s="23"/>
      <c r="AI2892" s="48"/>
    </row>
    <row r="2893" spans="1:35">
      <c r="A2893" s="45"/>
      <c r="B2893" s="42"/>
      <c r="C2893" s="45"/>
      <c r="E2893" s="45"/>
      <c r="G2893" s="43"/>
      <c r="H2893" s="44"/>
      <c r="L2893" s="42"/>
      <c r="M2893" s="42"/>
      <c r="N2893" s="25"/>
      <c r="O2893" s="54"/>
      <c r="P2893"/>
      <c r="Q2893" s="25"/>
      <c r="R2893" s="54"/>
      <c r="W2893" s="23"/>
      <c r="X2893" s="23"/>
      <c r="Y2893" s="23"/>
      <c r="Z2893" s="43"/>
      <c r="AA2893" s="23"/>
      <c r="AB2893" s="23"/>
      <c r="AC2893" s="23"/>
      <c r="AD2893" s="23"/>
      <c r="AE2893" s="23"/>
      <c r="AF2893" s="23"/>
      <c r="AG2893" s="23"/>
      <c r="AH2893" s="23"/>
      <c r="AI2893" s="48"/>
    </row>
    <row r="2894" spans="1:35">
      <c r="A2894" s="45"/>
      <c r="B2894" s="42"/>
      <c r="C2894" s="45"/>
      <c r="E2894" s="45"/>
      <c r="G2894" s="43"/>
      <c r="H2894" s="44"/>
      <c r="L2894" s="42"/>
      <c r="M2894" s="42"/>
      <c r="N2894" s="25"/>
      <c r="O2894" s="54"/>
      <c r="P2894"/>
      <c r="Q2894" s="25"/>
      <c r="R2894" s="54"/>
      <c r="W2894" s="23"/>
      <c r="X2894" s="23"/>
      <c r="Y2894" s="23"/>
      <c r="Z2894" s="43"/>
      <c r="AA2894" s="23"/>
      <c r="AB2894" s="23"/>
      <c r="AC2894" s="23"/>
      <c r="AD2894" s="23"/>
      <c r="AE2894" s="23"/>
      <c r="AF2894" s="23"/>
      <c r="AG2894" s="23"/>
      <c r="AH2894" s="23"/>
      <c r="AI2894" s="48"/>
    </row>
    <row r="2895" spans="1:35">
      <c r="A2895" s="45"/>
      <c r="B2895" s="42"/>
      <c r="C2895" s="45"/>
      <c r="E2895" s="45"/>
      <c r="G2895" s="43"/>
      <c r="H2895" s="44"/>
      <c r="L2895" s="42"/>
      <c r="M2895" s="42"/>
      <c r="N2895" s="25"/>
      <c r="O2895" s="54"/>
      <c r="P2895"/>
      <c r="Q2895" s="25"/>
      <c r="R2895" s="54"/>
      <c r="W2895" s="23"/>
      <c r="X2895" s="23"/>
      <c r="Y2895" s="23"/>
      <c r="Z2895" s="43"/>
      <c r="AA2895" s="23"/>
      <c r="AB2895" s="23"/>
      <c r="AC2895" s="23"/>
      <c r="AD2895" s="23"/>
      <c r="AE2895" s="23"/>
      <c r="AF2895" s="23"/>
      <c r="AG2895" s="23"/>
      <c r="AH2895" s="23"/>
      <c r="AI2895" s="48"/>
    </row>
    <row r="2896" spans="1:35">
      <c r="A2896" s="45"/>
      <c r="B2896" s="42"/>
      <c r="C2896" s="45"/>
      <c r="E2896" s="45"/>
      <c r="G2896" s="43"/>
      <c r="H2896" s="44"/>
      <c r="L2896" s="42"/>
      <c r="M2896" s="42"/>
      <c r="N2896" s="25"/>
      <c r="O2896" s="54"/>
      <c r="P2896"/>
      <c r="Q2896" s="25"/>
      <c r="R2896" s="54"/>
      <c r="W2896" s="23"/>
      <c r="X2896" s="23"/>
      <c r="Y2896" s="23"/>
      <c r="Z2896" s="43"/>
      <c r="AA2896" s="23"/>
      <c r="AB2896" s="23"/>
      <c r="AC2896" s="23"/>
      <c r="AD2896" s="23"/>
      <c r="AE2896" s="23"/>
      <c r="AF2896" s="23"/>
      <c r="AG2896" s="23"/>
      <c r="AH2896" s="23"/>
      <c r="AI2896" s="48"/>
    </row>
    <row r="2897" spans="1:35">
      <c r="A2897" s="45"/>
      <c r="B2897" s="42"/>
      <c r="C2897" s="45"/>
      <c r="E2897" s="45"/>
      <c r="G2897" s="43"/>
      <c r="H2897" s="44"/>
      <c r="L2897" s="42"/>
      <c r="M2897" s="42"/>
      <c r="N2897" s="25"/>
      <c r="O2897" s="54"/>
      <c r="P2897"/>
      <c r="Q2897" s="25"/>
      <c r="R2897" s="54"/>
      <c r="W2897" s="23"/>
      <c r="X2897" s="23"/>
      <c r="Y2897" s="23"/>
      <c r="Z2897" s="43"/>
      <c r="AA2897" s="23"/>
      <c r="AB2897" s="23"/>
      <c r="AC2897" s="23"/>
      <c r="AD2897" s="23"/>
      <c r="AE2897" s="23"/>
      <c r="AF2897" s="23"/>
      <c r="AG2897" s="23"/>
      <c r="AH2897" s="23"/>
      <c r="AI2897" s="48"/>
    </row>
    <row r="2898" spans="1:35">
      <c r="B2898" s="42"/>
      <c r="G2898" s="43"/>
      <c r="H2898" s="44"/>
      <c r="L2898" s="42"/>
      <c r="M2898" s="42"/>
      <c r="N2898" s="25"/>
      <c r="O2898" s="54"/>
      <c r="P2898"/>
      <c r="Q2898" s="25"/>
      <c r="R2898" s="54"/>
      <c r="W2898" s="23"/>
      <c r="X2898" s="23"/>
      <c r="Y2898" s="23"/>
      <c r="Z2898" s="43"/>
      <c r="AA2898" s="23"/>
      <c r="AB2898" s="23"/>
      <c r="AC2898" s="23"/>
      <c r="AD2898" s="23"/>
      <c r="AE2898" s="23"/>
      <c r="AF2898" s="23"/>
      <c r="AG2898" s="23"/>
      <c r="AH2898" s="23"/>
      <c r="AI2898" s="48"/>
    </row>
    <row r="2899" spans="1:35">
      <c r="B2899" s="42"/>
      <c r="G2899" s="43"/>
      <c r="H2899" s="44"/>
      <c r="L2899" s="42"/>
      <c r="M2899" s="42"/>
      <c r="N2899" s="25"/>
      <c r="O2899" s="54"/>
      <c r="P2899"/>
      <c r="Q2899" s="25"/>
      <c r="R2899" s="54"/>
      <c r="W2899" s="23"/>
      <c r="X2899" s="23"/>
      <c r="Y2899" s="23"/>
      <c r="Z2899" s="43"/>
      <c r="AA2899" s="23"/>
      <c r="AB2899" s="23"/>
      <c r="AC2899" s="23"/>
      <c r="AD2899" s="23"/>
      <c r="AE2899" s="23"/>
      <c r="AF2899" s="23"/>
      <c r="AG2899" s="23"/>
      <c r="AH2899" s="23"/>
      <c r="AI2899" s="48"/>
    </row>
    <row r="2900" spans="1:35">
      <c r="B2900" s="42"/>
      <c r="G2900" s="43"/>
      <c r="H2900" s="44"/>
      <c r="L2900" s="42"/>
      <c r="M2900" s="42"/>
      <c r="N2900" s="25"/>
      <c r="O2900" s="54"/>
      <c r="P2900"/>
      <c r="Q2900" s="25"/>
      <c r="R2900" s="54"/>
      <c r="W2900" s="23"/>
      <c r="X2900" s="23"/>
      <c r="Y2900" s="23"/>
      <c r="Z2900" s="43"/>
      <c r="AA2900" s="23"/>
      <c r="AB2900" s="23"/>
      <c r="AC2900" s="23"/>
      <c r="AD2900" s="23"/>
      <c r="AE2900" s="23"/>
      <c r="AF2900" s="23"/>
      <c r="AG2900" s="23"/>
      <c r="AH2900" s="23"/>
      <c r="AI2900" s="48"/>
    </row>
    <row r="2901" spans="1:35">
      <c r="B2901" s="42"/>
      <c r="G2901" s="43"/>
      <c r="H2901" s="44"/>
      <c r="L2901" s="42"/>
      <c r="M2901" s="42"/>
      <c r="N2901" s="25"/>
      <c r="O2901" s="54"/>
      <c r="P2901"/>
      <c r="Q2901" s="25"/>
      <c r="R2901" s="54"/>
      <c r="W2901" s="23"/>
      <c r="X2901" s="23"/>
      <c r="Y2901" s="23"/>
      <c r="Z2901" s="43"/>
      <c r="AA2901" s="23"/>
      <c r="AB2901" s="23"/>
      <c r="AC2901" s="23"/>
      <c r="AD2901" s="23"/>
      <c r="AE2901" s="23"/>
      <c r="AF2901" s="23"/>
      <c r="AG2901" s="23"/>
      <c r="AH2901" s="23"/>
      <c r="AI2901" s="48"/>
    </row>
    <row r="2902" spans="1:35">
      <c r="B2902" s="42"/>
      <c r="G2902" s="43"/>
      <c r="H2902" s="44"/>
      <c r="L2902" s="42"/>
      <c r="M2902" s="42"/>
      <c r="N2902" s="25"/>
      <c r="O2902" s="54"/>
      <c r="P2902"/>
      <c r="Q2902" s="25"/>
      <c r="R2902" s="54"/>
      <c r="W2902" s="23"/>
      <c r="X2902" s="23"/>
      <c r="Y2902" s="23"/>
      <c r="Z2902" s="43"/>
      <c r="AA2902" s="23"/>
      <c r="AB2902" s="23"/>
      <c r="AC2902" s="23"/>
      <c r="AD2902" s="23"/>
      <c r="AE2902" s="23"/>
      <c r="AF2902" s="23"/>
      <c r="AG2902" s="23"/>
      <c r="AH2902" s="23"/>
      <c r="AI2902" s="48"/>
    </row>
    <row r="2903" spans="1:35">
      <c r="B2903" s="42"/>
      <c r="G2903" s="43"/>
      <c r="H2903" s="44"/>
      <c r="L2903" s="42"/>
      <c r="M2903" s="42"/>
      <c r="N2903" s="25"/>
      <c r="O2903" s="54"/>
      <c r="P2903"/>
      <c r="Q2903" s="25"/>
      <c r="R2903" s="54"/>
      <c r="W2903" s="23"/>
      <c r="X2903" s="23"/>
      <c r="Y2903" s="23"/>
      <c r="Z2903" s="43"/>
      <c r="AA2903" s="23"/>
      <c r="AB2903" s="23"/>
      <c r="AC2903" s="23"/>
      <c r="AD2903" s="23"/>
      <c r="AE2903" s="23"/>
      <c r="AF2903" s="23"/>
      <c r="AG2903" s="23"/>
      <c r="AH2903" s="23"/>
      <c r="AI2903" s="48"/>
    </row>
    <row r="2904" spans="1:35">
      <c r="B2904" s="42"/>
      <c r="G2904" s="43"/>
      <c r="H2904" s="44"/>
      <c r="L2904" s="42"/>
      <c r="M2904" s="42"/>
      <c r="N2904" s="25"/>
      <c r="O2904" s="54"/>
      <c r="P2904"/>
      <c r="Q2904" s="25"/>
      <c r="R2904" s="54"/>
      <c r="W2904" s="23"/>
      <c r="X2904" s="23"/>
      <c r="Y2904" s="23"/>
      <c r="Z2904" s="43"/>
      <c r="AA2904" s="23"/>
      <c r="AB2904" s="23"/>
      <c r="AC2904" s="23"/>
      <c r="AD2904" s="23"/>
      <c r="AE2904" s="23"/>
      <c r="AF2904" s="23"/>
      <c r="AG2904" s="23"/>
      <c r="AH2904" s="23"/>
      <c r="AI2904" s="48"/>
    </row>
    <row r="2905" spans="1:35">
      <c r="B2905" s="42"/>
      <c r="G2905" s="43"/>
      <c r="H2905" s="44"/>
      <c r="L2905" s="42"/>
      <c r="M2905" s="42"/>
      <c r="N2905" s="25"/>
      <c r="O2905" s="54"/>
      <c r="P2905"/>
      <c r="Q2905" s="25"/>
      <c r="R2905" s="54"/>
      <c r="W2905" s="23"/>
      <c r="X2905" s="23"/>
      <c r="Y2905" s="23"/>
      <c r="Z2905" s="43"/>
      <c r="AA2905" s="23"/>
      <c r="AB2905" s="23"/>
      <c r="AC2905" s="23"/>
      <c r="AD2905" s="23"/>
      <c r="AE2905" s="23"/>
      <c r="AF2905" s="23"/>
      <c r="AG2905" s="23"/>
      <c r="AH2905" s="23"/>
      <c r="AI2905" s="48"/>
    </row>
    <row r="2906" spans="1:35">
      <c r="B2906" s="42"/>
      <c r="G2906" s="43"/>
      <c r="H2906" s="44"/>
      <c r="L2906" s="42"/>
      <c r="M2906" s="42"/>
      <c r="N2906" s="25"/>
      <c r="O2906" s="54"/>
      <c r="P2906"/>
      <c r="Q2906" s="25"/>
      <c r="R2906" s="54"/>
      <c r="W2906" s="23"/>
      <c r="X2906" s="23"/>
      <c r="Y2906" s="23"/>
      <c r="Z2906" s="43"/>
      <c r="AA2906" s="23"/>
      <c r="AB2906" s="23"/>
      <c r="AC2906" s="23"/>
      <c r="AD2906" s="23"/>
      <c r="AE2906" s="23"/>
      <c r="AF2906" s="23"/>
      <c r="AG2906" s="23"/>
      <c r="AH2906" s="23"/>
      <c r="AI2906" s="48"/>
    </row>
    <row r="2907" spans="1:35">
      <c r="B2907" s="42"/>
      <c r="G2907" s="43"/>
      <c r="H2907" s="44"/>
      <c r="L2907" s="42"/>
      <c r="M2907" s="42"/>
      <c r="N2907" s="25"/>
      <c r="O2907" s="54"/>
      <c r="P2907"/>
      <c r="Q2907" s="25"/>
      <c r="R2907" s="54"/>
      <c r="W2907" s="23"/>
      <c r="X2907" s="23"/>
      <c r="Y2907" s="23"/>
      <c r="Z2907" s="43"/>
      <c r="AA2907" s="23"/>
      <c r="AB2907" s="23"/>
      <c r="AC2907" s="23"/>
      <c r="AD2907" s="23"/>
      <c r="AE2907" s="23"/>
      <c r="AF2907" s="23"/>
      <c r="AG2907" s="23"/>
      <c r="AH2907" s="23"/>
      <c r="AI2907" s="48"/>
    </row>
    <row r="2908" spans="1:35">
      <c r="B2908" s="42"/>
      <c r="G2908" s="43"/>
      <c r="H2908" s="44"/>
      <c r="L2908" s="42"/>
      <c r="M2908" s="42"/>
      <c r="N2908" s="25"/>
      <c r="O2908" s="54"/>
      <c r="P2908"/>
      <c r="Q2908" s="25"/>
      <c r="R2908" s="54"/>
      <c r="W2908" s="23"/>
      <c r="X2908" s="23"/>
      <c r="Y2908" s="23"/>
      <c r="Z2908" s="43"/>
      <c r="AA2908" s="23"/>
      <c r="AB2908" s="23"/>
      <c r="AC2908" s="23"/>
      <c r="AD2908" s="23"/>
      <c r="AE2908" s="23"/>
      <c r="AF2908" s="23"/>
      <c r="AG2908" s="23"/>
      <c r="AH2908" s="23"/>
      <c r="AI2908" s="48"/>
    </row>
    <row r="2909" spans="1:35">
      <c r="B2909" s="42"/>
      <c r="G2909" s="43"/>
      <c r="H2909" s="44"/>
      <c r="L2909" s="42"/>
      <c r="M2909" s="42"/>
      <c r="N2909" s="25"/>
      <c r="O2909" s="54"/>
      <c r="P2909"/>
      <c r="Q2909" s="25"/>
      <c r="R2909" s="54"/>
      <c r="W2909" s="23"/>
      <c r="X2909" s="23"/>
      <c r="Y2909" s="23"/>
      <c r="Z2909" s="43"/>
      <c r="AA2909" s="23"/>
      <c r="AB2909" s="23"/>
      <c r="AC2909" s="23"/>
      <c r="AD2909" s="23"/>
      <c r="AE2909" s="23"/>
      <c r="AF2909" s="23"/>
      <c r="AG2909" s="23"/>
      <c r="AH2909" s="23"/>
      <c r="AI2909" s="48"/>
    </row>
    <row r="2910" spans="1:35">
      <c r="B2910" s="42"/>
      <c r="G2910" s="43"/>
      <c r="H2910" s="44"/>
      <c r="L2910" s="42"/>
      <c r="M2910" s="42"/>
      <c r="N2910" s="25"/>
      <c r="O2910" s="54"/>
      <c r="P2910"/>
      <c r="Q2910" s="25"/>
      <c r="R2910" s="54"/>
      <c r="W2910" s="23"/>
      <c r="X2910" s="23"/>
      <c r="Y2910" s="23"/>
      <c r="Z2910" s="43"/>
      <c r="AA2910" s="23"/>
      <c r="AB2910" s="23"/>
      <c r="AC2910" s="23"/>
      <c r="AD2910" s="23"/>
      <c r="AE2910" s="23"/>
      <c r="AF2910" s="23"/>
      <c r="AG2910" s="23"/>
      <c r="AH2910" s="23"/>
      <c r="AI2910" s="48"/>
    </row>
    <row r="2911" spans="1:35">
      <c r="B2911" s="42"/>
      <c r="G2911" s="43"/>
      <c r="H2911" s="44"/>
      <c r="L2911" s="42"/>
      <c r="M2911" s="42"/>
      <c r="N2911" s="25"/>
      <c r="O2911" s="54"/>
      <c r="P2911"/>
      <c r="Q2911" s="25"/>
      <c r="R2911" s="54"/>
      <c r="W2911" s="23"/>
      <c r="X2911" s="23"/>
      <c r="Y2911" s="23"/>
      <c r="Z2911" s="43"/>
      <c r="AA2911" s="23"/>
      <c r="AB2911" s="23"/>
      <c r="AC2911" s="23"/>
      <c r="AD2911" s="23"/>
      <c r="AE2911" s="23"/>
      <c r="AF2911" s="23"/>
      <c r="AG2911" s="23"/>
      <c r="AH2911" s="23"/>
      <c r="AI2911" s="48"/>
    </row>
    <row r="2912" spans="1:35">
      <c r="B2912" s="42"/>
      <c r="G2912" s="43"/>
      <c r="H2912" s="44"/>
      <c r="L2912" s="42"/>
      <c r="M2912" s="42"/>
      <c r="N2912" s="25"/>
      <c r="O2912" s="54"/>
      <c r="P2912"/>
      <c r="Q2912" s="25"/>
      <c r="R2912" s="54"/>
      <c r="W2912" s="23"/>
      <c r="X2912" s="23"/>
      <c r="Y2912" s="23"/>
      <c r="Z2912" s="43"/>
      <c r="AA2912" s="23"/>
      <c r="AB2912" s="23"/>
      <c r="AC2912" s="23"/>
      <c r="AD2912" s="23"/>
      <c r="AE2912" s="23"/>
      <c r="AF2912" s="23"/>
      <c r="AG2912" s="23"/>
      <c r="AH2912" s="23"/>
      <c r="AI2912" s="48"/>
    </row>
    <row r="2913" spans="2:35">
      <c r="B2913" s="42"/>
      <c r="G2913" s="43"/>
      <c r="H2913" s="44"/>
      <c r="L2913" s="42"/>
      <c r="M2913" s="42"/>
      <c r="N2913" s="25"/>
      <c r="O2913" s="54"/>
      <c r="P2913"/>
      <c r="Q2913" s="25"/>
      <c r="R2913" s="54"/>
      <c r="W2913" s="23"/>
      <c r="X2913" s="23"/>
      <c r="Y2913" s="23"/>
      <c r="Z2913" s="43"/>
      <c r="AA2913" s="23"/>
      <c r="AB2913" s="23"/>
      <c r="AC2913" s="23"/>
      <c r="AD2913" s="23"/>
      <c r="AE2913" s="23"/>
      <c r="AF2913" s="23"/>
      <c r="AG2913" s="23"/>
      <c r="AH2913" s="23"/>
      <c r="AI2913" s="48"/>
    </row>
    <row r="2914" spans="2:35">
      <c r="B2914" s="42"/>
      <c r="G2914" s="43"/>
      <c r="H2914" s="44"/>
      <c r="L2914" s="42"/>
      <c r="M2914" s="42"/>
      <c r="N2914" s="25"/>
      <c r="O2914" s="54"/>
      <c r="P2914"/>
      <c r="Q2914" s="25"/>
      <c r="R2914" s="54"/>
      <c r="W2914" s="23"/>
      <c r="X2914" s="23"/>
      <c r="Y2914" s="23"/>
      <c r="Z2914" s="43"/>
      <c r="AA2914" s="23"/>
      <c r="AB2914" s="23"/>
      <c r="AC2914" s="23"/>
      <c r="AD2914" s="23"/>
      <c r="AE2914" s="23"/>
      <c r="AF2914" s="23"/>
      <c r="AG2914" s="23"/>
      <c r="AH2914" s="23"/>
      <c r="AI2914" s="48"/>
    </row>
    <row r="2915" spans="2:35">
      <c r="B2915" s="42"/>
      <c r="G2915" s="43"/>
      <c r="H2915" s="44"/>
      <c r="L2915" s="42"/>
      <c r="M2915" s="42"/>
      <c r="N2915" s="25"/>
      <c r="O2915" s="54"/>
      <c r="P2915"/>
      <c r="Q2915" s="25"/>
      <c r="R2915" s="54"/>
      <c r="W2915" s="23"/>
      <c r="X2915" s="23"/>
      <c r="Y2915" s="23"/>
      <c r="Z2915" s="43"/>
      <c r="AA2915" s="23"/>
      <c r="AB2915" s="23"/>
      <c r="AC2915" s="23"/>
      <c r="AD2915" s="23"/>
      <c r="AE2915" s="23"/>
      <c r="AF2915" s="23"/>
      <c r="AG2915" s="23"/>
      <c r="AH2915" s="23"/>
      <c r="AI2915" s="48"/>
    </row>
    <row r="2916" spans="2:35">
      <c r="B2916" s="42"/>
      <c r="G2916" s="43"/>
      <c r="H2916" s="44"/>
      <c r="L2916" s="42"/>
      <c r="M2916" s="42"/>
      <c r="N2916" s="25"/>
      <c r="O2916" s="54"/>
      <c r="P2916"/>
      <c r="Q2916" s="25"/>
      <c r="R2916" s="54"/>
      <c r="W2916" s="23"/>
      <c r="X2916" s="23"/>
      <c r="Y2916" s="23"/>
      <c r="Z2916" s="43"/>
      <c r="AA2916" s="23"/>
      <c r="AB2916" s="23"/>
      <c r="AC2916" s="23"/>
      <c r="AD2916" s="23"/>
      <c r="AE2916" s="23"/>
      <c r="AF2916" s="23"/>
      <c r="AG2916" s="23"/>
      <c r="AH2916" s="23"/>
      <c r="AI2916" s="48"/>
    </row>
    <row r="2917" spans="2:35">
      <c r="B2917" s="42"/>
      <c r="G2917" s="43"/>
      <c r="H2917" s="44"/>
      <c r="L2917" s="42"/>
      <c r="M2917" s="42"/>
      <c r="N2917" s="25"/>
      <c r="O2917" s="54"/>
      <c r="P2917"/>
      <c r="Q2917" s="25"/>
      <c r="R2917" s="54"/>
      <c r="W2917" s="23"/>
      <c r="X2917" s="23"/>
      <c r="Y2917" s="23"/>
      <c r="Z2917" s="43"/>
      <c r="AA2917" s="23"/>
      <c r="AB2917" s="23"/>
      <c r="AC2917" s="23"/>
      <c r="AD2917" s="23"/>
      <c r="AE2917" s="23"/>
      <c r="AF2917" s="23"/>
      <c r="AG2917" s="23"/>
      <c r="AH2917" s="23"/>
      <c r="AI2917" s="48"/>
    </row>
    <row r="2918" spans="2:35">
      <c r="B2918" s="42"/>
      <c r="G2918" s="43"/>
      <c r="H2918" s="44"/>
      <c r="L2918" s="42"/>
      <c r="M2918" s="42"/>
      <c r="N2918" s="25"/>
      <c r="O2918" s="54"/>
      <c r="P2918"/>
      <c r="Q2918" s="25"/>
      <c r="R2918" s="54"/>
      <c r="W2918" s="23"/>
      <c r="X2918" s="23"/>
      <c r="Y2918" s="23"/>
      <c r="Z2918" s="43"/>
      <c r="AA2918" s="23"/>
      <c r="AB2918" s="23"/>
      <c r="AC2918" s="23"/>
      <c r="AD2918" s="23"/>
      <c r="AE2918" s="23"/>
      <c r="AF2918" s="23"/>
      <c r="AG2918" s="23"/>
      <c r="AH2918" s="23"/>
      <c r="AI2918" s="48"/>
    </row>
    <row r="2919" spans="2:35">
      <c r="B2919" s="42"/>
      <c r="G2919" s="43"/>
      <c r="H2919" s="44"/>
      <c r="L2919" s="42"/>
      <c r="M2919" s="42"/>
      <c r="N2919" s="25"/>
      <c r="O2919" s="54"/>
      <c r="P2919"/>
      <c r="Q2919" s="25"/>
      <c r="R2919" s="54"/>
      <c r="W2919" s="23"/>
      <c r="X2919" s="23"/>
      <c r="Y2919" s="23"/>
      <c r="Z2919" s="43"/>
      <c r="AA2919" s="23"/>
      <c r="AB2919" s="23"/>
      <c r="AC2919" s="23"/>
      <c r="AD2919" s="23"/>
      <c r="AE2919" s="23"/>
      <c r="AF2919" s="23"/>
      <c r="AG2919" s="23"/>
      <c r="AH2919" s="23"/>
      <c r="AI2919" s="48"/>
    </row>
    <row r="2920" spans="2:35">
      <c r="B2920" s="42"/>
      <c r="G2920" s="43"/>
      <c r="H2920" s="44"/>
      <c r="L2920" s="42"/>
      <c r="M2920" s="42"/>
      <c r="N2920" s="25"/>
      <c r="O2920" s="54"/>
      <c r="P2920"/>
      <c r="Q2920" s="25"/>
      <c r="R2920" s="54"/>
      <c r="W2920" s="23"/>
      <c r="X2920" s="23"/>
      <c r="Y2920" s="23"/>
      <c r="Z2920" s="43"/>
      <c r="AA2920" s="23"/>
      <c r="AB2920" s="23"/>
      <c r="AC2920" s="23"/>
      <c r="AD2920" s="23"/>
      <c r="AE2920" s="23"/>
      <c r="AF2920" s="23"/>
      <c r="AG2920" s="23"/>
      <c r="AH2920" s="23"/>
      <c r="AI2920" s="48"/>
    </row>
    <row r="2921" spans="2:35">
      <c r="B2921" s="42"/>
      <c r="G2921" s="43"/>
      <c r="H2921" s="44"/>
      <c r="L2921" s="42"/>
      <c r="M2921" s="42"/>
      <c r="N2921" s="25"/>
      <c r="O2921" s="54"/>
      <c r="P2921"/>
      <c r="Q2921" s="25"/>
      <c r="R2921" s="54"/>
      <c r="W2921" s="23"/>
      <c r="X2921" s="23"/>
      <c r="Y2921" s="23"/>
      <c r="Z2921" s="43"/>
      <c r="AA2921" s="23"/>
      <c r="AB2921" s="23"/>
      <c r="AC2921" s="23"/>
      <c r="AD2921" s="23"/>
      <c r="AE2921" s="23"/>
      <c r="AF2921" s="23"/>
      <c r="AG2921" s="23"/>
      <c r="AH2921" s="23"/>
      <c r="AI2921" s="48"/>
    </row>
    <row r="2922" spans="2:35">
      <c r="B2922" s="42"/>
      <c r="G2922" s="43"/>
      <c r="H2922" s="44"/>
      <c r="L2922" s="42"/>
      <c r="M2922" s="42"/>
      <c r="N2922" s="25"/>
      <c r="O2922" s="54"/>
      <c r="P2922"/>
      <c r="Q2922" s="25"/>
      <c r="R2922" s="54"/>
      <c r="W2922" s="23"/>
      <c r="X2922" s="23"/>
      <c r="Y2922" s="23"/>
      <c r="Z2922" s="43"/>
      <c r="AA2922" s="23"/>
      <c r="AB2922" s="23"/>
      <c r="AC2922" s="23"/>
      <c r="AD2922" s="23"/>
      <c r="AE2922" s="23"/>
      <c r="AF2922" s="23"/>
      <c r="AG2922" s="23"/>
      <c r="AH2922" s="23"/>
      <c r="AI2922" s="48"/>
    </row>
    <row r="2923" spans="2:35">
      <c r="B2923" s="42"/>
      <c r="G2923" s="43"/>
      <c r="H2923" s="44"/>
      <c r="L2923" s="42"/>
      <c r="M2923" s="42"/>
      <c r="N2923" s="25"/>
      <c r="O2923" s="54"/>
      <c r="P2923"/>
      <c r="Q2923" s="25"/>
      <c r="R2923" s="54"/>
      <c r="W2923" s="23"/>
      <c r="X2923" s="23"/>
      <c r="Y2923" s="23"/>
      <c r="Z2923" s="43"/>
      <c r="AA2923" s="23"/>
      <c r="AB2923" s="23"/>
      <c r="AC2923" s="23"/>
      <c r="AD2923" s="23"/>
      <c r="AE2923" s="23"/>
      <c r="AF2923" s="23"/>
      <c r="AG2923" s="23"/>
      <c r="AH2923" s="23"/>
      <c r="AI2923" s="48"/>
    </row>
    <row r="2924" spans="2:35">
      <c r="B2924" s="42"/>
      <c r="G2924" s="43"/>
      <c r="H2924" s="44"/>
      <c r="L2924" s="42"/>
      <c r="M2924" s="42"/>
      <c r="N2924" s="25"/>
      <c r="O2924" s="54"/>
      <c r="P2924"/>
      <c r="Q2924" s="25"/>
      <c r="R2924" s="54"/>
      <c r="W2924" s="23"/>
      <c r="X2924" s="23"/>
      <c r="Y2924" s="23"/>
      <c r="Z2924" s="43"/>
      <c r="AA2924" s="23"/>
      <c r="AB2924" s="23"/>
      <c r="AC2924" s="23"/>
      <c r="AD2924" s="23"/>
      <c r="AE2924" s="23"/>
      <c r="AF2924" s="23"/>
      <c r="AG2924" s="23"/>
      <c r="AH2924" s="23"/>
      <c r="AI2924" s="48"/>
    </row>
    <row r="2925" spans="2:35">
      <c r="B2925" s="42"/>
      <c r="G2925" s="43"/>
      <c r="H2925" s="44"/>
      <c r="L2925" s="42"/>
      <c r="M2925" s="42"/>
      <c r="N2925" s="25"/>
      <c r="O2925" s="54"/>
      <c r="P2925"/>
      <c r="Q2925" s="25"/>
      <c r="R2925" s="54"/>
      <c r="W2925" s="23"/>
      <c r="X2925" s="23"/>
      <c r="Y2925" s="23"/>
      <c r="Z2925" s="43"/>
      <c r="AA2925" s="23"/>
      <c r="AB2925" s="23"/>
      <c r="AC2925" s="23"/>
      <c r="AD2925" s="23"/>
      <c r="AE2925" s="23"/>
      <c r="AF2925" s="23"/>
      <c r="AG2925" s="23"/>
      <c r="AH2925" s="23"/>
      <c r="AI2925" s="48"/>
    </row>
    <row r="2926" spans="2:35">
      <c r="B2926" s="42"/>
      <c r="G2926" s="43"/>
      <c r="H2926" s="44"/>
      <c r="L2926" s="42"/>
      <c r="M2926" s="42"/>
      <c r="N2926" s="25"/>
      <c r="O2926" s="54"/>
      <c r="P2926"/>
      <c r="Q2926" s="25"/>
      <c r="R2926" s="54"/>
      <c r="W2926" s="23"/>
      <c r="X2926" s="23"/>
      <c r="Y2926" s="23"/>
      <c r="Z2926" s="43"/>
      <c r="AA2926" s="23"/>
      <c r="AB2926" s="23"/>
      <c r="AC2926" s="23"/>
      <c r="AD2926" s="23"/>
      <c r="AE2926" s="23"/>
      <c r="AF2926" s="23"/>
      <c r="AG2926" s="23"/>
      <c r="AH2926" s="23"/>
      <c r="AI2926" s="48"/>
    </row>
    <row r="2927" spans="2:35">
      <c r="B2927" s="42"/>
      <c r="G2927" s="43"/>
      <c r="H2927" s="44"/>
      <c r="L2927" s="42"/>
      <c r="M2927" s="42"/>
      <c r="N2927" s="25"/>
      <c r="O2927" s="54"/>
      <c r="P2927"/>
      <c r="Q2927" s="25"/>
      <c r="R2927" s="54"/>
      <c r="W2927" s="23"/>
      <c r="X2927" s="23"/>
      <c r="Y2927" s="23"/>
      <c r="Z2927" s="43"/>
      <c r="AA2927" s="23"/>
      <c r="AB2927" s="23"/>
      <c r="AC2927" s="23"/>
      <c r="AD2927" s="23"/>
      <c r="AE2927" s="23"/>
      <c r="AF2927" s="23"/>
      <c r="AG2927" s="23"/>
      <c r="AH2927" s="23"/>
      <c r="AI2927" s="48"/>
    </row>
    <row r="2928" spans="2:35">
      <c r="B2928" s="42"/>
      <c r="G2928" s="43"/>
      <c r="H2928" s="44"/>
      <c r="L2928" s="42"/>
      <c r="M2928" s="42"/>
      <c r="N2928" s="25"/>
      <c r="O2928" s="54"/>
      <c r="P2928"/>
      <c r="Q2928" s="25"/>
      <c r="R2928" s="54"/>
      <c r="W2928" s="23"/>
      <c r="X2928" s="23"/>
      <c r="Y2928" s="23"/>
      <c r="Z2928" s="43"/>
      <c r="AA2928" s="23"/>
      <c r="AB2928" s="23"/>
      <c r="AC2928" s="23"/>
      <c r="AD2928" s="23"/>
      <c r="AE2928" s="23"/>
      <c r="AF2928" s="23"/>
      <c r="AG2928" s="23"/>
      <c r="AH2928" s="23"/>
      <c r="AI2928" s="48"/>
    </row>
    <row r="2929" spans="2:35">
      <c r="B2929" s="42"/>
      <c r="G2929" s="43"/>
      <c r="H2929" s="44"/>
      <c r="L2929" s="42"/>
      <c r="M2929" s="42"/>
      <c r="N2929" s="25"/>
      <c r="O2929" s="54"/>
      <c r="P2929"/>
      <c r="Q2929" s="25"/>
      <c r="R2929" s="54"/>
      <c r="W2929" s="23"/>
      <c r="X2929" s="23"/>
      <c r="Y2929" s="23"/>
      <c r="Z2929" s="43"/>
      <c r="AA2929" s="23"/>
      <c r="AB2929" s="23"/>
      <c r="AC2929" s="23"/>
      <c r="AD2929" s="23"/>
      <c r="AE2929" s="23"/>
      <c r="AF2929" s="23"/>
      <c r="AG2929" s="23"/>
      <c r="AH2929" s="23"/>
      <c r="AI2929" s="48"/>
    </row>
    <row r="2930" spans="2:35">
      <c r="B2930" s="42"/>
      <c r="G2930" s="43"/>
      <c r="H2930" s="44"/>
      <c r="L2930" s="42"/>
      <c r="M2930" s="42"/>
      <c r="N2930" s="25"/>
      <c r="O2930" s="54"/>
      <c r="P2930"/>
      <c r="Q2930" s="25"/>
      <c r="R2930" s="54"/>
      <c r="W2930" s="23"/>
      <c r="X2930" s="23"/>
      <c r="Y2930" s="23"/>
      <c r="Z2930" s="43"/>
      <c r="AA2930" s="23"/>
      <c r="AB2930" s="23"/>
      <c r="AC2930" s="23"/>
      <c r="AD2930" s="23"/>
      <c r="AE2930" s="23"/>
      <c r="AF2930" s="23"/>
      <c r="AG2930" s="23"/>
      <c r="AH2930" s="23"/>
      <c r="AI2930" s="48"/>
    </row>
    <row r="2931" spans="2:35">
      <c r="B2931" s="42"/>
      <c r="G2931" s="43"/>
      <c r="H2931" s="44"/>
      <c r="L2931" s="42"/>
      <c r="M2931" s="42"/>
      <c r="N2931" s="25"/>
      <c r="O2931" s="54"/>
      <c r="P2931"/>
      <c r="Q2931" s="25"/>
      <c r="R2931" s="54"/>
      <c r="W2931" s="23"/>
      <c r="X2931" s="23"/>
      <c r="Y2931" s="23"/>
      <c r="Z2931" s="43"/>
      <c r="AA2931" s="23"/>
      <c r="AB2931" s="23"/>
      <c r="AC2931" s="23"/>
      <c r="AD2931" s="23"/>
      <c r="AE2931" s="23"/>
      <c r="AF2931" s="23"/>
      <c r="AG2931" s="23"/>
      <c r="AH2931" s="23"/>
      <c r="AI2931" s="48"/>
    </row>
    <row r="2932" spans="2:35">
      <c r="B2932" s="42"/>
      <c r="G2932" s="43"/>
      <c r="H2932" s="44"/>
      <c r="L2932" s="42"/>
      <c r="M2932" s="42"/>
      <c r="N2932" s="25"/>
      <c r="O2932" s="54"/>
      <c r="P2932"/>
      <c r="Q2932" s="25"/>
      <c r="R2932" s="54"/>
      <c r="W2932" s="23"/>
      <c r="X2932" s="23"/>
      <c r="Y2932" s="23"/>
      <c r="Z2932" s="43"/>
      <c r="AA2932" s="23"/>
      <c r="AB2932" s="23"/>
      <c r="AC2932" s="23"/>
      <c r="AD2932" s="23"/>
      <c r="AE2932" s="23"/>
      <c r="AF2932" s="23"/>
      <c r="AG2932" s="23"/>
      <c r="AH2932" s="23"/>
      <c r="AI2932" s="48"/>
    </row>
    <row r="2933" spans="2:35">
      <c r="B2933" s="42"/>
      <c r="G2933" s="43"/>
      <c r="H2933" s="44"/>
      <c r="L2933" s="42"/>
      <c r="M2933" s="42"/>
      <c r="N2933" s="25"/>
      <c r="O2933" s="54"/>
      <c r="P2933"/>
      <c r="Q2933" s="25"/>
      <c r="R2933" s="54"/>
      <c r="W2933" s="23"/>
      <c r="X2933" s="23"/>
      <c r="Y2933" s="23"/>
      <c r="Z2933" s="43"/>
      <c r="AA2933" s="23"/>
      <c r="AB2933" s="23"/>
      <c r="AC2933" s="23"/>
      <c r="AD2933" s="23"/>
      <c r="AE2933" s="23"/>
      <c r="AF2933" s="23"/>
      <c r="AG2933" s="23"/>
      <c r="AH2933" s="23"/>
      <c r="AI2933" s="48"/>
    </row>
    <row r="2934" spans="2:35">
      <c r="B2934" s="42"/>
      <c r="G2934" s="43"/>
      <c r="H2934" s="44"/>
      <c r="L2934" s="42"/>
      <c r="M2934" s="42"/>
      <c r="N2934" s="25"/>
      <c r="O2934" s="54"/>
      <c r="P2934"/>
      <c r="Q2934" s="25"/>
      <c r="R2934" s="54"/>
      <c r="W2934" s="23"/>
      <c r="X2934" s="23"/>
      <c r="Y2934" s="23"/>
      <c r="Z2934" s="43"/>
      <c r="AA2934" s="23"/>
      <c r="AB2934" s="23"/>
      <c r="AC2934" s="23"/>
      <c r="AD2934" s="23"/>
      <c r="AE2934" s="23"/>
      <c r="AF2934" s="23"/>
      <c r="AG2934" s="23"/>
      <c r="AH2934" s="23"/>
      <c r="AI2934" s="48"/>
    </row>
    <row r="2935" spans="2:35">
      <c r="B2935" s="42"/>
      <c r="G2935" s="43"/>
      <c r="H2935" s="44"/>
      <c r="L2935" s="42"/>
      <c r="M2935" s="42"/>
      <c r="N2935" s="25"/>
      <c r="O2935" s="54"/>
      <c r="P2935"/>
      <c r="Q2935" s="25"/>
      <c r="R2935" s="54"/>
      <c r="W2935" s="23"/>
      <c r="X2935" s="23"/>
      <c r="Y2935" s="23"/>
      <c r="Z2935" s="43"/>
      <c r="AA2935" s="23"/>
      <c r="AB2935" s="23"/>
      <c r="AC2935" s="23"/>
      <c r="AD2935" s="23"/>
      <c r="AE2935" s="23"/>
      <c r="AF2935" s="23"/>
      <c r="AG2935" s="23"/>
      <c r="AH2935" s="23"/>
      <c r="AI2935" s="48"/>
    </row>
    <row r="2936" spans="2:35">
      <c r="B2936" s="42"/>
      <c r="G2936" s="43"/>
      <c r="H2936" s="44"/>
      <c r="L2936" s="42"/>
      <c r="M2936" s="42"/>
      <c r="N2936" s="25"/>
      <c r="O2936" s="54"/>
      <c r="P2936"/>
      <c r="Q2936" s="25"/>
      <c r="R2936" s="54"/>
      <c r="W2936" s="23"/>
      <c r="X2936" s="23"/>
      <c r="Y2936" s="23"/>
      <c r="Z2936" s="43"/>
      <c r="AA2936" s="23"/>
      <c r="AB2936" s="23"/>
      <c r="AC2936" s="23"/>
      <c r="AD2936" s="23"/>
      <c r="AE2936" s="23"/>
      <c r="AF2936" s="23"/>
      <c r="AG2936" s="23"/>
      <c r="AH2936" s="23"/>
      <c r="AI2936" s="48"/>
    </row>
    <row r="2937" spans="2:35">
      <c r="B2937" s="42"/>
      <c r="G2937" s="43"/>
      <c r="H2937" s="44"/>
      <c r="L2937" s="42"/>
      <c r="M2937" s="42"/>
      <c r="N2937" s="25"/>
      <c r="O2937" s="54"/>
      <c r="P2937"/>
      <c r="Q2937" s="25"/>
      <c r="R2937" s="54"/>
      <c r="W2937" s="23"/>
      <c r="X2937" s="23"/>
      <c r="Y2937" s="23"/>
      <c r="Z2937" s="43"/>
      <c r="AA2937" s="23"/>
      <c r="AB2937" s="23"/>
      <c r="AC2937" s="23"/>
      <c r="AD2937" s="23"/>
      <c r="AE2937" s="23"/>
      <c r="AF2937" s="23"/>
      <c r="AG2937" s="23"/>
      <c r="AH2937" s="23"/>
      <c r="AI2937" s="48"/>
    </row>
    <row r="2938" spans="2:35">
      <c r="B2938" s="42"/>
      <c r="G2938" s="43"/>
      <c r="H2938" s="44"/>
      <c r="L2938" s="42"/>
      <c r="M2938" s="42"/>
      <c r="N2938" s="25"/>
      <c r="O2938" s="54"/>
      <c r="P2938"/>
      <c r="Q2938" s="25"/>
      <c r="R2938" s="54"/>
      <c r="W2938" s="23"/>
      <c r="X2938" s="23"/>
      <c r="Y2938" s="23"/>
      <c r="Z2938" s="43"/>
      <c r="AA2938" s="23"/>
      <c r="AB2938" s="23"/>
      <c r="AC2938" s="23"/>
      <c r="AD2938" s="23"/>
      <c r="AE2938" s="23"/>
      <c r="AF2938" s="23"/>
      <c r="AG2938" s="23"/>
      <c r="AH2938" s="23"/>
      <c r="AI2938" s="48"/>
    </row>
    <row r="2939" spans="2:35">
      <c r="B2939" s="42"/>
      <c r="G2939" s="43"/>
      <c r="H2939" s="44"/>
      <c r="L2939" s="42"/>
      <c r="M2939" s="42"/>
      <c r="N2939" s="25"/>
      <c r="O2939" s="54"/>
      <c r="P2939"/>
      <c r="Q2939" s="25"/>
      <c r="R2939" s="54"/>
      <c r="W2939" s="23"/>
      <c r="X2939" s="23"/>
      <c r="Y2939" s="23"/>
      <c r="Z2939" s="43"/>
      <c r="AA2939" s="23"/>
      <c r="AB2939" s="23"/>
      <c r="AC2939" s="23"/>
      <c r="AD2939" s="23"/>
      <c r="AE2939" s="23"/>
      <c r="AF2939" s="23"/>
      <c r="AG2939" s="23"/>
      <c r="AH2939" s="23"/>
      <c r="AI2939" s="48"/>
    </row>
    <row r="2940" spans="2:35">
      <c r="B2940" s="42"/>
      <c r="G2940" s="43"/>
      <c r="H2940" s="44"/>
      <c r="L2940" s="42"/>
      <c r="M2940" s="42"/>
      <c r="N2940" s="25"/>
      <c r="O2940" s="54"/>
      <c r="P2940"/>
      <c r="Q2940" s="25"/>
      <c r="R2940" s="54"/>
      <c r="W2940" s="23"/>
      <c r="X2940" s="23"/>
      <c r="Y2940" s="23"/>
      <c r="Z2940" s="43"/>
      <c r="AA2940" s="23"/>
      <c r="AB2940" s="23"/>
      <c r="AC2940" s="23"/>
      <c r="AD2940" s="23"/>
      <c r="AE2940" s="23"/>
      <c r="AF2940" s="23"/>
      <c r="AG2940" s="23"/>
      <c r="AH2940" s="23"/>
      <c r="AI2940" s="48"/>
    </row>
    <row r="2941" spans="2:35">
      <c r="B2941" s="42"/>
      <c r="G2941" s="43"/>
      <c r="H2941" s="44"/>
      <c r="L2941" s="42"/>
      <c r="M2941" s="42"/>
      <c r="N2941" s="25"/>
      <c r="O2941" s="54"/>
      <c r="P2941"/>
      <c r="Q2941" s="25"/>
      <c r="R2941" s="54"/>
      <c r="W2941" s="23"/>
      <c r="X2941" s="23"/>
      <c r="Y2941" s="23"/>
      <c r="Z2941" s="43"/>
      <c r="AA2941" s="23"/>
      <c r="AB2941" s="23"/>
      <c r="AC2941" s="23"/>
      <c r="AD2941" s="23"/>
      <c r="AE2941" s="23"/>
      <c r="AF2941" s="23"/>
      <c r="AG2941" s="23"/>
      <c r="AH2941" s="23"/>
      <c r="AI2941" s="48"/>
    </row>
    <row r="2942" spans="2:35">
      <c r="B2942" s="42"/>
      <c r="G2942" s="43"/>
      <c r="H2942" s="44"/>
      <c r="L2942" s="42"/>
      <c r="M2942" s="42"/>
      <c r="N2942" s="25"/>
      <c r="O2942" s="54"/>
      <c r="P2942"/>
      <c r="Q2942" s="25"/>
      <c r="R2942" s="54"/>
      <c r="W2942" s="23"/>
      <c r="X2942" s="23"/>
      <c r="Y2942" s="23"/>
      <c r="Z2942" s="43"/>
      <c r="AA2942" s="23"/>
      <c r="AB2942" s="23"/>
      <c r="AC2942" s="23"/>
      <c r="AD2942" s="23"/>
      <c r="AE2942" s="23"/>
      <c r="AF2942" s="23"/>
      <c r="AG2942" s="23"/>
      <c r="AH2942" s="23"/>
      <c r="AI2942" s="48"/>
    </row>
    <row r="2943" spans="2:35">
      <c r="B2943" s="42"/>
      <c r="G2943" s="43"/>
      <c r="H2943" s="44"/>
      <c r="L2943" s="42"/>
      <c r="M2943" s="42"/>
      <c r="N2943" s="25"/>
      <c r="O2943" s="54"/>
      <c r="P2943"/>
      <c r="Q2943" s="25"/>
      <c r="R2943" s="54"/>
      <c r="W2943" s="23"/>
      <c r="X2943" s="23"/>
      <c r="Y2943" s="23"/>
      <c r="Z2943" s="43"/>
      <c r="AA2943" s="23"/>
      <c r="AB2943" s="23"/>
      <c r="AC2943" s="23"/>
      <c r="AD2943" s="23"/>
      <c r="AE2943" s="23"/>
      <c r="AF2943" s="23"/>
      <c r="AG2943" s="23"/>
      <c r="AH2943" s="23"/>
      <c r="AI2943" s="48"/>
    </row>
    <row r="2944" spans="2:35">
      <c r="B2944" s="42"/>
      <c r="G2944" s="43"/>
      <c r="H2944" s="44"/>
      <c r="L2944" s="42"/>
      <c r="M2944" s="42"/>
      <c r="N2944" s="25"/>
      <c r="O2944" s="54"/>
      <c r="P2944"/>
      <c r="Q2944" s="25"/>
      <c r="R2944" s="54"/>
      <c r="W2944" s="23"/>
      <c r="X2944" s="23"/>
      <c r="Y2944" s="23"/>
      <c r="Z2944" s="43"/>
      <c r="AA2944" s="23"/>
      <c r="AB2944" s="23"/>
      <c r="AC2944" s="23"/>
      <c r="AD2944" s="23"/>
      <c r="AE2944" s="23"/>
      <c r="AF2944" s="23"/>
      <c r="AG2944" s="23"/>
      <c r="AH2944" s="23"/>
      <c r="AI2944" s="48"/>
    </row>
    <row r="2945" spans="1:35">
      <c r="B2945" s="42"/>
      <c r="G2945" s="43"/>
      <c r="H2945" s="44"/>
      <c r="L2945" s="42"/>
      <c r="M2945" s="42"/>
      <c r="N2945" s="25"/>
      <c r="O2945" s="54"/>
      <c r="P2945"/>
      <c r="Q2945" s="25"/>
      <c r="R2945" s="54"/>
      <c r="W2945" s="23"/>
      <c r="X2945" s="23"/>
      <c r="Y2945" s="23"/>
      <c r="Z2945" s="43"/>
      <c r="AA2945" s="23"/>
      <c r="AB2945" s="23"/>
      <c r="AC2945" s="23"/>
      <c r="AD2945" s="23"/>
      <c r="AE2945" s="23"/>
      <c r="AF2945" s="23"/>
      <c r="AG2945" s="23"/>
      <c r="AH2945" s="23"/>
      <c r="AI2945" s="48"/>
    </row>
    <row r="2946" spans="1:35">
      <c r="B2946" s="42"/>
      <c r="G2946" s="43"/>
      <c r="H2946" s="44"/>
      <c r="L2946" s="42"/>
      <c r="M2946" s="42"/>
      <c r="N2946" s="25"/>
      <c r="O2946" s="54"/>
      <c r="P2946"/>
      <c r="Q2946" s="25"/>
      <c r="R2946" s="54"/>
      <c r="W2946" s="23"/>
      <c r="X2946" s="23"/>
      <c r="Y2946" s="23"/>
      <c r="Z2946" s="43"/>
      <c r="AA2946" s="23"/>
      <c r="AB2946" s="23"/>
      <c r="AC2946" s="23"/>
      <c r="AD2946" s="23"/>
      <c r="AE2946" s="23"/>
      <c r="AF2946" s="23"/>
      <c r="AG2946" s="23"/>
      <c r="AH2946" s="23"/>
      <c r="AI2946" s="48"/>
    </row>
    <row r="2947" spans="1:35">
      <c r="B2947" s="42"/>
      <c r="G2947" s="43"/>
      <c r="H2947" s="44"/>
      <c r="L2947" s="42"/>
      <c r="M2947" s="42"/>
      <c r="N2947" s="25"/>
      <c r="O2947" s="54"/>
      <c r="P2947"/>
      <c r="Q2947" s="25"/>
      <c r="R2947" s="54"/>
      <c r="W2947" s="23"/>
      <c r="X2947" s="23"/>
      <c r="Y2947" s="23"/>
      <c r="Z2947" s="43"/>
      <c r="AA2947" s="23"/>
      <c r="AB2947" s="23"/>
      <c r="AC2947" s="23"/>
      <c r="AD2947" s="23"/>
      <c r="AE2947" s="23"/>
      <c r="AF2947" s="23"/>
      <c r="AG2947" s="23"/>
      <c r="AH2947" s="23"/>
      <c r="AI2947" s="48"/>
    </row>
    <row r="2948" spans="1:35">
      <c r="B2948" s="42"/>
      <c r="G2948" s="43"/>
      <c r="H2948" s="44"/>
      <c r="L2948" s="42"/>
      <c r="M2948" s="42"/>
      <c r="N2948" s="25"/>
      <c r="O2948" s="54"/>
      <c r="P2948"/>
      <c r="Q2948" s="25"/>
      <c r="R2948" s="54"/>
      <c r="W2948" s="23"/>
      <c r="X2948" s="23"/>
      <c r="Y2948" s="23"/>
      <c r="Z2948" s="43"/>
      <c r="AA2948" s="23"/>
      <c r="AB2948" s="23"/>
      <c r="AC2948" s="23"/>
      <c r="AD2948" s="23"/>
      <c r="AE2948" s="23"/>
      <c r="AF2948" s="23"/>
      <c r="AG2948" s="23"/>
      <c r="AH2948" s="23"/>
      <c r="AI2948" s="48"/>
    </row>
    <row r="2949" spans="1:35">
      <c r="B2949" s="42"/>
      <c r="G2949" s="43"/>
      <c r="H2949" s="44"/>
      <c r="L2949" s="42"/>
      <c r="M2949" s="42"/>
      <c r="N2949" s="25"/>
      <c r="O2949" s="54"/>
      <c r="P2949"/>
      <c r="Q2949" s="25"/>
      <c r="R2949" s="54"/>
      <c r="W2949" s="23"/>
      <c r="X2949" s="23"/>
      <c r="Y2949" s="23"/>
      <c r="Z2949" s="43"/>
      <c r="AA2949" s="23"/>
      <c r="AB2949" s="23"/>
      <c r="AC2949" s="23"/>
      <c r="AD2949" s="23"/>
      <c r="AE2949" s="23"/>
      <c r="AF2949" s="23"/>
      <c r="AG2949" s="23"/>
      <c r="AH2949" s="23"/>
      <c r="AI2949" s="48"/>
    </row>
    <row r="2950" spans="1:35">
      <c r="B2950" s="42"/>
      <c r="G2950" s="43"/>
      <c r="H2950" s="44"/>
      <c r="L2950" s="42"/>
      <c r="M2950" s="42"/>
      <c r="N2950" s="25"/>
      <c r="O2950" s="54"/>
      <c r="P2950"/>
      <c r="Q2950" s="25"/>
      <c r="R2950" s="54"/>
      <c r="W2950" s="23"/>
      <c r="X2950" s="23"/>
      <c r="Y2950" s="23"/>
      <c r="Z2950" s="43"/>
      <c r="AA2950" s="23"/>
      <c r="AB2950" s="23"/>
      <c r="AC2950" s="23"/>
      <c r="AD2950" s="23"/>
      <c r="AE2950" s="23"/>
      <c r="AF2950" s="23"/>
      <c r="AG2950" s="23"/>
      <c r="AH2950" s="23"/>
      <c r="AI2950" s="48"/>
    </row>
    <row r="2951" spans="1:35">
      <c r="A2951" s="23"/>
      <c r="B2951" s="42"/>
      <c r="C2951" s="49"/>
      <c r="E2951" s="49"/>
      <c r="G2951" s="43"/>
      <c r="H2951" s="44"/>
      <c r="L2951" s="42"/>
      <c r="M2951" s="42"/>
      <c r="N2951" s="25"/>
      <c r="O2951" s="54"/>
      <c r="P2951"/>
      <c r="Q2951" s="25"/>
      <c r="R2951" s="54"/>
      <c r="W2951" s="23"/>
      <c r="X2951" s="23"/>
      <c r="Y2951" s="23"/>
      <c r="Z2951" s="43"/>
      <c r="AA2951" s="23"/>
      <c r="AB2951" s="23"/>
      <c r="AC2951" s="23"/>
      <c r="AD2951" s="23"/>
      <c r="AE2951" s="23"/>
      <c r="AF2951" s="23"/>
      <c r="AG2951" s="23"/>
      <c r="AH2951" s="23"/>
      <c r="AI2951" s="49"/>
    </row>
    <row r="2952" spans="1:35">
      <c r="A2952" s="23"/>
      <c r="B2952" s="42"/>
      <c r="C2952" s="49"/>
      <c r="E2952" s="49"/>
      <c r="G2952" s="43"/>
      <c r="H2952" s="44"/>
      <c r="L2952" s="42"/>
      <c r="M2952" s="42"/>
      <c r="N2952" s="25"/>
      <c r="O2952" s="54"/>
      <c r="P2952"/>
      <c r="Q2952" s="25"/>
      <c r="R2952" s="54"/>
      <c r="W2952" s="23"/>
      <c r="X2952" s="23"/>
      <c r="Y2952" s="23"/>
      <c r="Z2952" s="43"/>
      <c r="AA2952" s="23"/>
      <c r="AB2952" s="23"/>
      <c r="AC2952" s="23"/>
      <c r="AD2952" s="23"/>
      <c r="AE2952" s="23"/>
      <c r="AF2952" s="23"/>
      <c r="AG2952" s="23"/>
      <c r="AH2952" s="23"/>
      <c r="AI2952" s="49"/>
    </row>
    <row r="2953" spans="1:35">
      <c r="A2953" s="23"/>
      <c r="B2953" s="42"/>
      <c r="C2953" s="49"/>
      <c r="E2953" s="49"/>
      <c r="G2953" s="43"/>
      <c r="H2953" s="44"/>
      <c r="L2953" s="42"/>
      <c r="M2953" s="42"/>
      <c r="N2953" s="25"/>
      <c r="O2953" s="54"/>
      <c r="P2953"/>
      <c r="Q2953" s="25"/>
      <c r="R2953" s="54"/>
      <c r="W2953" s="23"/>
      <c r="X2953" s="23"/>
      <c r="Y2953" s="23"/>
      <c r="Z2953" s="43"/>
      <c r="AA2953" s="23"/>
      <c r="AB2953" s="23"/>
      <c r="AC2953" s="23"/>
      <c r="AD2953" s="23"/>
      <c r="AE2953" s="23"/>
      <c r="AF2953" s="23"/>
      <c r="AG2953" s="23"/>
      <c r="AH2953" s="23"/>
      <c r="AI2953" s="49"/>
    </row>
    <row r="2954" spans="1:35">
      <c r="A2954" s="23"/>
      <c r="B2954" s="42"/>
      <c r="C2954" s="49"/>
      <c r="E2954" s="49"/>
      <c r="G2954" s="43"/>
      <c r="H2954" s="44"/>
      <c r="L2954" s="42"/>
      <c r="M2954" s="42"/>
      <c r="N2954" s="25"/>
      <c r="O2954" s="54"/>
      <c r="P2954"/>
      <c r="Q2954" s="25"/>
      <c r="R2954" s="54"/>
      <c r="W2954" s="23"/>
      <c r="X2954" s="23"/>
      <c r="Y2954" s="23"/>
      <c r="Z2954" s="43"/>
      <c r="AA2954" s="23"/>
      <c r="AB2954" s="23"/>
      <c r="AC2954" s="23"/>
      <c r="AD2954" s="23"/>
      <c r="AE2954" s="23"/>
      <c r="AF2954" s="23"/>
      <c r="AG2954" s="23"/>
      <c r="AH2954" s="23"/>
      <c r="AI2954" s="49"/>
    </row>
    <row r="2955" spans="1:35">
      <c r="A2955" s="23"/>
      <c r="B2955" s="42"/>
      <c r="C2955" s="49"/>
      <c r="E2955" s="49"/>
      <c r="G2955" s="43"/>
      <c r="H2955" s="44"/>
      <c r="L2955" s="42"/>
      <c r="M2955" s="42"/>
      <c r="N2955" s="25"/>
      <c r="O2955" s="54"/>
      <c r="P2955"/>
      <c r="Q2955" s="25"/>
      <c r="R2955" s="54"/>
      <c r="W2955" s="23"/>
      <c r="X2955" s="23"/>
      <c r="Y2955" s="23"/>
      <c r="Z2955" s="43"/>
      <c r="AA2955" s="23"/>
      <c r="AB2955" s="23"/>
      <c r="AC2955" s="23"/>
      <c r="AD2955" s="23"/>
      <c r="AE2955" s="23"/>
      <c r="AF2955" s="23"/>
      <c r="AG2955" s="23"/>
      <c r="AH2955" s="23"/>
      <c r="AI2955" s="49"/>
    </row>
    <row r="2956" spans="1:35">
      <c r="A2956" s="23"/>
      <c r="B2956" s="42"/>
      <c r="C2956" s="49"/>
      <c r="E2956" s="49"/>
      <c r="G2956" s="43"/>
      <c r="H2956" s="44"/>
      <c r="L2956" s="42"/>
      <c r="M2956" s="42"/>
      <c r="N2956" s="25"/>
      <c r="O2956" s="54"/>
      <c r="P2956"/>
      <c r="Q2956" s="25"/>
      <c r="R2956" s="54"/>
      <c r="W2956" s="23"/>
      <c r="X2956" s="23"/>
      <c r="Y2956" s="23"/>
      <c r="Z2956" s="43"/>
      <c r="AA2956" s="23"/>
      <c r="AB2956" s="23"/>
      <c r="AC2956" s="23"/>
      <c r="AD2956" s="23"/>
      <c r="AE2956" s="23"/>
      <c r="AF2956" s="23"/>
      <c r="AG2956" s="23"/>
      <c r="AH2956" s="23"/>
      <c r="AI2956" s="49"/>
    </row>
    <row r="2957" spans="1:35">
      <c r="A2957" s="23"/>
      <c r="B2957" s="42"/>
      <c r="C2957" s="49"/>
      <c r="E2957" s="49"/>
      <c r="G2957" s="43"/>
      <c r="H2957" s="44"/>
      <c r="L2957" s="42"/>
      <c r="M2957" s="42"/>
      <c r="N2957" s="25"/>
      <c r="O2957" s="54"/>
      <c r="P2957"/>
      <c r="Q2957" s="25"/>
      <c r="R2957" s="54"/>
      <c r="W2957" s="23"/>
      <c r="X2957" s="23"/>
      <c r="Y2957" s="23"/>
      <c r="Z2957" s="43"/>
      <c r="AA2957" s="23"/>
      <c r="AB2957" s="23"/>
      <c r="AC2957" s="23"/>
      <c r="AD2957" s="23"/>
      <c r="AE2957" s="23"/>
      <c r="AF2957" s="23"/>
      <c r="AG2957" s="23"/>
      <c r="AH2957" s="23"/>
      <c r="AI2957" s="49"/>
    </row>
    <row r="2958" spans="1:35">
      <c r="A2958" s="23"/>
      <c r="B2958" s="42"/>
      <c r="C2958" s="49"/>
      <c r="E2958" s="49"/>
      <c r="G2958" s="43"/>
      <c r="H2958" s="44"/>
      <c r="L2958" s="42"/>
      <c r="M2958" s="42"/>
      <c r="N2958" s="25"/>
      <c r="O2958" s="54"/>
      <c r="P2958"/>
      <c r="Q2958" s="25"/>
      <c r="R2958" s="54"/>
      <c r="W2958" s="23"/>
      <c r="X2958" s="23"/>
      <c r="Y2958" s="23"/>
      <c r="Z2958" s="43"/>
      <c r="AA2958" s="23"/>
      <c r="AB2958" s="23"/>
      <c r="AC2958" s="23"/>
      <c r="AD2958" s="23"/>
      <c r="AE2958" s="23"/>
      <c r="AF2958" s="23"/>
      <c r="AG2958" s="23"/>
      <c r="AH2958" s="23"/>
      <c r="AI2958" s="49"/>
    </row>
    <row r="2959" spans="1:35">
      <c r="A2959" s="23"/>
      <c r="B2959" s="42"/>
      <c r="C2959" s="49"/>
      <c r="E2959" s="49"/>
      <c r="G2959" s="43"/>
      <c r="H2959" s="44"/>
      <c r="L2959" s="42"/>
      <c r="M2959" s="42"/>
      <c r="N2959" s="25"/>
      <c r="O2959" s="54"/>
      <c r="P2959"/>
      <c r="Q2959" s="25"/>
      <c r="R2959" s="54"/>
      <c r="W2959" s="23"/>
      <c r="X2959" s="23"/>
      <c r="Y2959" s="23"/>
      <c r="Z2959" s="43"/>
      <c r="AA2959" s="23"/>
      <c r="AB2959" s="23"/>
      <c r="AC2959" s="23"/>
      <c r="AD2959" s="23"/>
      <c r="AE2959" s="23"/>
      <c r="AF2959" s="23"/>
      <c r="AG2959" s="23"/>
      <c r="AH2959" s="23"/>
      <c r="AI2959" s="49"/>
    </row>
    <row r="2960" spans="1:35">
      <c r="A2960" s="23"/>
      <c r="B2960" s="42"/>
      <c r="C2960" s="49"/>
      <c r="E2960" s="49"/>
      <c r="G2960" s="43"/>
      <c r="H2960" s="44"/>
      <c r="L2960" s="42"/>
      <c r="M2960" s="42"/>
      <c r="N2960" s="25"/>
      <c r="O2960" s="54"/>
      <c r="P2960"/>
      <c r="Q2960" s="25"/>
      <c r="R2960" s="54"/>
      <c r="W2960" s="23"/>
      <c r="X2960" s="23"/>
      <c r="Y2960" s="23"/>
      <c r="Z2960" s="43"/>
      <c r="AA2960" s="23"/>
      <c r="AB2960" s="23"/>
      <c r="AC2960" s="23"/>
      <c r="AD2960" s="23"/>
      <c r="AE2960" s="23"/>
      <c r="AF2960" s="23"/>
      <c r="AG2960" s="23"/>
      <c r="AH2960" s="23"/>
      <c r="AI2960" s="49"/>
    </row>
    <row r="2961" spans="1:35">
      <c r="A2961" s="23"/>
      <c r="B2961" s="42"/>
      <c r="C2961" s="49"/>
      <c r="E2961" s="49"/>
      <c r="G2961" s="43"/>
      <c r="H2961" s="44"/>
      <c r="L2961" s="42"/>
      <c r="M2961" s="42"/>
      <c r="N2961" s="25"/>
      <c r="O2961" s="54"/>
      <c r="P2961"/>
      <c r="Q2961" s="25"/>
      <c r="R2961" s="54"/>
      <c r="W2961" s="23"/>
      <c r="X2961" s="23"/>
      <c r="Y2961" s="23"/>
      <c r="Z2961" s="43"/>
      <c r="AA2961" s="23"/>
      <c r="AB2961" s="23"/>
      <c r="AC2961" s="23"/>
      <c r="AD2961" s="23"/>
      <c r="AE2961" s="23"/>
      <c r="AF2961" s="23"/>
      <c r="AG2961" s="23"/>
      <c r="AH2961" s="23"/>
      <c r="AI2961" s="49"/>
    </row>
    <row r="2962" spans="1:35">
      <c r="A2962" s="23"/>
      <c r="B2962" s="42"/>
      <c r="C2962" s="49"/>
      <c r="E2962" s="49"/>
      <c r="G2962" s="43"/>
      <c r="H2962" s="44"/>
      <c r="L2962" s="42"/>
      <c r="M2962" s="42"/>
      <c r="N2962" s="25"/>
      <c r="O2962" s="54"/>
      <c r="P2962"/>
      <c r="Q2962" s="25"/>
      <c r="R2962" s="54"/>
      <c r="W2962" s="23"/>
      <c r="X2962" s="23"/>
      <c r="Y2962" s="23"/>
      <c r="Z2962" s="43"/>
      <c r="AA2962" s="23"/>
      <c r="AB2962" s="23"/>
      <c r="AC2962" s="23"/>
      <c r="AD2962" s="23"/>
      <c r="AE2962" s="23"/>
      <c r="AF2962" s="23"/>
      <c r="AG2962" s="23"/>
      <c r="AH2962" s="23"/>
      <c r="AI2962" s="49"/>
    </row>
    <row r="2963" spans="1:35">
      <c r="B2963" s="42"/>
      <c r="C2963" s="49"/>
      <c r="E2963" s="49"/>
      <c r="G2963" s="43"/>
      <c r="H2963" s="44"/>
      <c r="L2963" s="42"/>
      <c r="M2963" s="42"/>
      <c r="N2963" s="25"/>
      <c r="O2963" s="54"/>
      <c r="P2963"/>
      <c r="Q2963" s="25"/>
      <c r="R2963" s="54"/>
      <c r="W2963" s="23"/>
      <c r="X2963" s="23"/>
      <c r="Y2963" s="23"/>
      <c r="Z2963" s="43"/>
      <c r="AA2963" s="23"/>
      <c r="AB2963" s="23"/>
      <c r="AC2963" s="23"/>
      <c r="AD2963" s="23"/>
      <c r="AE2963" s="23"/>
      <c r="AF2963" s="23"/>
      <c r="AG2963" s="23"/>
      <c r="AH2963" s="23"/>
      <c r="AI2963" s="23"/>
    </row>
    <row r="2964" spans="1:35">
      <c r="B2964" s="42"/>
      <c r="C2964" s="49"/>
      <c r="E2964" s="49"/>
      <c r="G2964" s="43"/>
      <c r="H2964" s="44"/>
      <c r="L2964" s="42"/>
      <c r="M2964" s="42"/>
      <c r="N2964" s="25"/>
      <c r="O2964" s="54"/>
      <c r="P2964"/>
      <c r="Q2964" s="25"/>
      <c r="R2964" s="54"/>
      <c r="W2964" s="23"/>
      <c r="X2964" s="23"/>
      <c r="Y2964" s="23"/>
      <c r="Z2964" s="43"/>
      <c r="AA2964" s="23"/>
      <c r="AB2964" s="23"/>
      <c r="AC2964" s="23"/>
      <c r="AD2964" s="23"/>
      <c r="AE2964" s="23"/>
      <c r="AF2964" s="23"/>
      <c r="AG2964" s="23"/>
      <c r="AH2964" s="23"/>
      <c r="AI2964" s="23"/>
    </row>
    <row r="2965" spans="1:35">
      <c r="B2965" s="42"/>
      <c r="C2965" s="49"/>
      <c r="E2965" s="49"/>
      <c r="G2965" s="43"/>
      <c r="H2965" s="44"/>
      <c r="L2965" s="42"/>
      <c r="M2965" s="42"/>
      <c r="N2965" s="25"/>
      <c r="O2965" s="54"/>
      <c r="P2965"/>
      <c r="Q2965" s="25"/>
      <c r="R2965" s="54"/>
      <c r="W2965" s="23"/>
      <c r="X2965" s="23"/>
      <c r="Y2965" s="23"/>
      <c r="Z2965" s="43"/>
      <c r="AA2965" s="23"/>
      <c r="AB2965" s="23"/>
      <c r="AC2965" s="23"/>
      <c r="AD2965" s="23"/>
      <c r="AE2965" s="23"/>
      <c r="AF2965" s="23"/>
      <c r="AG2965" s="23"/>
      <c r="AH2965" s="23"/>
      <c r="AI2965" s="23"/>
    </row>
    <row r="2966" spans="1:35">
      <c r="B2966" s="42"/>
      <c r="C2966" s="49"/>
      <c r="E2966" s="49"/>
      <c r="G2966" s="43"/>
      <c r="H2966" s="44"/>
      <c r="L2966" s="42"/>
      <c r="M2966" s="42"/>
      <c r="N2966" s="25"/>
      <c r="O2966" s="54"/>
      <c r="P2966"/>
      <c r="Q2966" s="25"/>
      <c r="R2966" s="54"/>
      <c r="W2966" s="23"/>
      <c r="X2966" s="23"/>
      <c r="Y2966" s="23"/>
      <c r="Z2966" s="43"/>
      <c r="AA2966" s="23"/>
      <c r="AB2966" s="23"/>
      <c r="AC2966" s="23"/>
      <c r="AD2966" s="23"/>
      <c r="AE2966" s="23"/>
      <c r="AF2966" s="23"/>
      <c r="AG2966" s="23"/>
      <c r="AH2966" s="23"/>
      <c r="AI2966" s="23"/>
    </row>
    <row r="2967" spans="1:35">
      <c r="B2967" s="42"/>
      <c r="C2967" s="49"/>
      <c r="E2967" s="49"/>
      <c r="G2967" s="43"/>
      <c r="H2967" s="44"/>
      <c r="L2967" s="42"/>
      <c r="M2967" s="42"/>
      <c r="N2967" s="25"/>
      <c r="O2967" s="54"/>
      <c r="P2967"/>
      <c r="Q2967" s="25"/>
      <c r="R2967" s="54"/>
      <c r="W2967" s="23"/>
      <c r="X2967" s="23"/>
      <c r="Y2967" s="23"/>
      <c r="Z2967" s="43"/>
      <c r="AA2967" s="23"/>
      <c r="AB2967" s="23"/>
      <c r="AC2967" s="23"/>
      <c r="AD2967" s="23"/>
      <c r="AE2967" s="23"/>
      <c r="AF2967" s="23"/>
      <c r="AG2967" s="23"/>
      <c r="AH2967" s="23"/>
      <c r="AI2967" s="23"/>
    </row>
    <row r="2968" spans="1:35">
      <c r="B2968" s="42"/>
      <c r="C2968" s="49"/>
      <c r="E2968" s="49"/>
      <c r="G2968" s="43"/>
      <c r="H2968" s="44"/>
      <c r="L2968" s="42"/>
      <c r="M2968" s="42"/>
      <c r="N2968" s="25"/>
      <c r="O2968" s="54"/>
      <c r="P2968"/>
      <c r="Q2968" s="25"/>
      <c r="R2968" s="54"/>
      <c r="W2968" s="23"/>
      <c r="X2968" s="23"/>
      <c r="Y2968" s="23"/>
      <c r="Z2968" s="43"/>
      <c r="AA2968" s="23"/>
      <c r="AB2968" s="23"/>
      <c r="AC2968" s="23"/>
      <c r="AD2968" s="23"/>
      <c r="AE2968" s="23"/>
      <c r="AF2968" s="23"/>
      <c r="AG2968" s="23"/>
      <c r="AH2968" s="23"/>
      <c r="AI2968" s="23"/>
    </row>
    <row r="2969" spans="1:35">
      <c r="B2969" s="42"/>
      <c r="C2969" s="49"/>
      <c r="E2969" s="49"/>
      <c r="G2969" s="43"/>
      <c r="H2969" s="44"/>
      <c r="L2969" s="42"/>
      <c r="M2969" s="42"/>
      <c r="N2969" s="25"/>
      <c r="O2969" s="54"/>
      <c r="P2969"/>
      <c r="Q2969" s="25"/>
      <c r="R2969" s="54"/>
      <c r="W2969" s="23"/>
      <c r="X2969" s="23"/>
      <c r="Y2969" s="23"/>
      <c r="Z2969" s="43"/>
      <c r="AA2969" s="23"/>
      <c r="AB2969" s="23"/>
      <c r="AC2969" s="23"/>
      <c r="AD2969" s="23"/>
      <c r="AE2969" s="23"/>
      <c r="AF2969" s="23"/>
      <c r="AG2969" s="23"/>
      <c r="AH2969" s="23"/>
      <c r="AI2969" s="23"/>
    </row>
    <row r="2970" spans="1:35">
      <c r="B2970" s="42"/>
      <c r="C2970" s="49"/>
      <c r="E2970" s="49"/>
      <c r="G2970" s="43"/>
      <c r="H2970" s="44"/>
      <c r="L2970" s="42"/>
      <c r="M2970" s="42"/>
      <c r="N2970" s="25"/>
      <c r="O2970" s="54"/>
      <c r="P2970"/>
      <c r="Q2970" s="25"/>
      <c r="R2970" s="54"/>
      <c r="W2970" s="23"/>
      <c r="X2970" s="23"/>
      <c r="Y2970" s="23"/>
      <c r="Z2970" s="43"/>
      <c r="AA2970" s="23"/>
      <c r="AB2970" s="23"/>
      <c r="AC2970" s="23"/>
      <c r="AD2970" s="23"/>
      <c r="AE2970" s="23"/>
      <c r="AF2970" s="23"/>
      <c r="AG2970" s="23"/>
      <c r="AH2970" s="23"/>
      <c r="AI2970" s="23"/>
    </row>
    <row r="2971" spans="1:35">
      <c r="B2971" s="42"/>
      <c r="C2971" s="49"/>
      <c r="E2971" s="49"/>
      <c r="G2971" s="43"/>
      <c r="H2971" s="44"/>
      <c r="L2971" s="42"/>
      <c r="M2971" s="42"/>
      <c r="N2971" s="25"/>
      <c r="O2971" s="54"/>
      <c r="P2971"/>
      <c r="Q2971" s="25"/>
      <c r="R2971" s="54"/>
      <c r="W2971" s="23"/>
      <c r="X2971" s="23"/>
      <c r="Y2971" s="23"/>
      <c r="Z2971" s="43"/>
      <c r="AA2971" s="23"/>
      <c r="AB2971" s="23"/>
      <c r="AC2971" s="23"/>
      <c r="AD2971" s="23"/>
      <c r="AE2971" s="23"/>
      <c r="AF2971" s="23"/>
      <c r="AG2971" s="23"/>
      <c r="AH2971" s="23"/>
      <c r="AI2971" s="23"/>
    </row>
    <row r="2972" spans="1:35">
      <c r="B2972" s="42"/>
      <c r="C2972" s="49"/>
      <c r="E2972" s="49"/>
      <c r="G2972" s="43"/>
      <c r="H2972" s="44"/>
      <c r="L2972" s="42"/>
      <c r="M2972" s="42"/>
      <c r="N2972" s="25"/>
      <c r="O2972" s="54"/>
      <c r="P2972"/>
      <c r="Q2972" s="25"/>
      <c r="R2972" s="54"/>
      <c r="W2972" s="23"/>
      <c r="X2972" s="23"/>
      <c r="Y2972" s="23"/>
      <c r="Z2972" s="43"/>
      <c r="AA2972" s="23"/>
      <c r="AB2972" s="23"/>
      <c r="AC2972" s="23"/>
      <c r="AD2972" s="23"/>
      <c r="AE2972" s="23"/>
      <c r="AF2972" s="23"/>
      <c r="AG2972" s="23"/>
      <c r="AH2972" s="23"/>
      <c r="AI2972" s="23"/>
    </row>
    <row r="2973" spans="1:35">
      <c r="B2973" s="42"/>
      <c r="C2973" s="49"/>
      <c r="E2973" s="49"/>
      <c r="G2973" s="43"/>
      <c r="H2973" s="44"/>
      <c r="L2973" s="42"/>
      <c r="M2973" s="42"/>
      <c r="N2973" s="25"/>
      <c r="O2973" s="54"/>
      <c r="P2973"/>
      <c r="Q2973" s="25"/>
      <c r="R2973" s="54"/>
      <c r="W2973" s="23"/>
      <c r="X2973" s="23"/>
      <c r="Y2973" s="23"/>
      <c r="Z2973" s="43"/>
      <c r="AA2973" s="23"/>
      <c r="AB2973" s="23"/>
      <c r="AC2973" s="23"/>
      <c r="AD2973" s="23"/>
      <c r="AE2973" s="23"/>
      <c r="AF2973" s="23"/>
      <c r="AG2973" s="23"/>
      <c r="AH2973" s="23"/>
      <c r="AI2973" s="23"/>
    </row>
    <row r="2974" spans="1:35">
      <c r="B2974" s="42"/>
      <c r="C2974" s="49"/>
      <c r="E2974" s="49"/>
      <c r="G2974" s="43"/>
      <c r="H2974" s="44"/>
      <c r="L2974" s="42"/>
      <c r="M2974" s="42"/>
      <c r="N2974" s="25"/>
      <c r="O2974" s="54"/>
      <c r="P2974"/>
      <c r="Q2974" s="25"/>
      <c r="R2974" s="54"/>
      <c r="W2974" s="23"/>
      <c r="X2974" s="23"/>
      <c r="Y2974" s="23"/>
      <c r="Z2974" s="43"/>
      <c r="AA2974" s="23"/>
      <c r="AB2974" s="23"/>
      <c r="AC2974" s="23"/>
      <c r="AD2974" s="23"/>
      <c r="AE2974" s="23"/>
      <c r="AF2974" s="23"/>
      <c r="AG2974" s="23"/>
      <c r="AH2974" s="23"/>
      <c r="AI2974" s="23"/>
    </row>
    <row r="2975" spans="1:35">
      <c r="B2975" s="42"/>
      <c r="C2975" s="49"/>
      <c r="E2975" s="49"/>
      <c r="G2975" s="43"/>
      <c r="H2975" s="44"/>
      <c r="L2975" s="42"/>
      <c r="M2975" s="42"/>
      <c r="N2975" s="25"/>
      <c r="O2975" s="54"/>
      <c r="P2975"/>
      <c r="Q2975" s="25"/>
      <c r="R2975" s="54"/>
      <c r="W2975" s="23"/>
      <c r="X2975" s="23"/>
      <c r="Y2975" s="23"/>
      <c r="Z2975" s="43"/>
      <c r="AA2975" s="23"/>
      <c r="AB2975" s="23"/>
      <c r="AC2975" s="23"/>
      <c r="AD2975" s="23"/>
      <c r="AE2975" s="23"/>
      <c r="AF2975" s="23"/>
      <c r="AG2975" s="23"/>
      <c r="AH2975" s="23"/>
      <c r="AI2975" s="23"/>
    </row>
    <row r="2976" spans="1:35">
      <c r="B2976" s="42"/>
      <c r="C2976" s="49"/>
      <c r="E2976" s="49"/>
      <c r="G2976" s="43"/>
      <c r="H2976" s="44"/>
      <c r="L2976" s="42"/>
      <c r="M2976" s="42"/>
      <c r="N2976" s="25"/>
      <c r="O2976" s="54"/>
      <c r="P2976"/>
      <c r="Q2976" s="25"/>
      <c r="R2976" s="54"/>
      <c r="W2976" s="23"/>
      <c r="X2976" s="23"/>
      <c r="Y2976" s="23"/>
      <c r="Z2976" s="43"/>
      <c r="AA2976" s="23"/>
      <c r="AB2976" s="23"/>
      <c r="AC2976" s="23"/>
      <c r="AD2976" s="23"/>
      <c r="AE2976" s="23"/>
      <c r="AF2976" s="23"/>
      <c r="AG2976" s="23"/>
      <c r="AH2976" s="23"/>
      <c r="AI2976" s="23"/>
    </row>
    <row r="2977" spans="1:35">
      <c r="B2977" s="42"/>
      <c r="C2977" s="49"/>
      <c r="E2977" s="49"/>
      <c r="G2977" s="43"/>
      <c r="H2977" s="44"/>
      <c r="L2977" s="42"/>
      <c r="M2977" s="42"/>
      <c r="N2977" s="25"/>
      <c r="O2977" s="54"/>
      <c r="P2977"/>
      <c r="Q2977" s="25"/>
      <c r="R2977" s="54"/>
      <c r="W2977" s="23"/>
      <c r="X2977" s="23"/>
      <c r="Y2977" s="23"/>
      <c r="Z2977" s="43"/>
      <c r="AA2977" s="23"/>
      <c r="AB2977" s="23"/>
      <c r="AC2977" s="23"/>
      <c r="AD2977" s="23"/>
      <c r="AE2977" s="23"/>
      <c r="AF2977" s="23"/>
      <c r="AG2977" s="23"/>
      <c r="AH2977" s="23"/>
      <c r="AI2977" s="23"/>
    </row>
    <row r="2978" spans="1:35">
      <c r="B2978" s="42"/>
      <c r="C2978" s="49"/>
      <c r="E2978" s="49"/>
      <c r="G2978" s="43"/>
      <c r="H2978" s="44"/>
      <c r="L2978" s="42"/>
      <c r="M2978" s="42"/>
      <c r="N2978" s="25"/>
      <c r="O2978" s="54"/>
      <c r="P2978"/>
      <c r="Q2978" s="25"/>
      <c r="R2978" s="54"/>
      <c r="W2978" s="23"/>
      <c r="X2978" s="23"/>
      <c r="Y2978" s="23"/>
      <c r="Z2978" s="43"/>
      <c r="AA2978" s="23"/>
      <c r="AB2978" s="23"/>
      <c r="AC2978" s="23"/>
      <c r="AD2978" s="23"/>
      <c r="AE2978" s="23"/>
      <c r="AF2978" s="23"/>
      <c r="AG2978" s="23"/>
      <c r="AH2978" s="23"/>
      <c r="AI2978" s="23"/>
    </row>
    <row r="2979" spans="1:35">
      <c r="B2979" s="42"/>
      <c r="C2979" s="49"/>
      <c r="E2979" s="49"/>
      <c r="G2979" s="43"/>
      <c r="H2979" s="44"/>
      <c r="L2979" s="42"/>
      <c r="M2979" s="42"/>
      <c r="N2979" s="25"/>
      <c r="O2979" s="54"/>
      <c r="P2979"/>
      <c r="Q2979" s="25"/>
      <c r="R2979" s="54"/>
      <c r="W2979" s="23"/>
      <c r="X2979" s="23"/>
      <c r="Y2979" s="23"/>
      <c r="Z2979" s="43"/>
      <c r="AA2979" s="23"/>
      <c r="AB2979" s="23"/>
      <c r="AC2979" s="23"/>
      <c r="AD2979" s="23"/>
      <c r="AE2979" s="23"/>
      <c r="AF2979" s="23"/>
      <c r="AG2979" s="23"/>
      <c r="AH2979" s="23"/>
      <c r="AI2979" s="23"/>
    </row>
    <row r="2980" spans="1:35">
      <c r="B2980" s="42"/>
      <c r="C2980" s="49"/>
      <c r="E2980" s="49"/>
      <c r="G2980" s="43"/>
      <c r="H2980" s="44"/>
      <c r="L2980" s="42"/>
      <c r="M2980" s="42"/>
      <c r="N2980" s="25"/>
      <c r="O2980" s="54"/>
      <c r="P2980"/>
      <c r="Q2980" s="25"/>
      <c r="R2980" s="54"/>
      <c r="W2980" s="23"/>
      <c r="X2980" s="23"/>
      <c r="Y2980" s="23"/>
      <c r="Z2980" s="43"/>
      <c r="AA2980" s="23"/>
      <c r="AB2980" s="23"/>
      <c r="AC2980" s="23"/>
      <c r="AD2980" s="23"/>
      <c r="AE2980" s="23"/>
      <c r="AF2980" s="23"/>
      <c r="AG2980" s="23"/>
      <c r="AH2980" s="23"/>
      <c r="AI2980" s="23"/>
    </row>
    <row r="2981" spans="1:35">
      <c r="B2981" s="42"/>
      <c r="C2981" s="49"/>
      <c r="E2981" s="49"/>
      <c r="G2981" s="43"/>
      <c r="H2981" s="44"/>
      <c r="L2981" s="42"/>
      <c r="M2981" s="42"/>
      <c r="N2981" s="25"/>
      <c r="O2981" s="54"/>
      <c r="P2981"/>
      <c r="Q2981" s="25"/>
      <c r="R2981" s="54"/>
      <c r="W2981" s="23"/>
      <c r="X2981" s="23"/>
      <c r="Y2981" s="23"/>
      <c r="Z2981" s="43"/>
      <c r="AA2981" s="23"/>
      <c r="AB2981" s="23"/>
      <c r="AC2981" s="23"/>
      <c r="AD2981" s="23"/>
      <c r="AE2981" s="23"/>
      <c r="AF2981" s="23"/>
      <c r="AG2981" s="23"/>
      <c r="AH2981" s="23"/>
      <c r="AI2981" s="23"/>
    </row>
    <row r="2982" spans="1:35">
      <c r="B2982" s="42"/>
      <c r="C2982" s="49"/>
      <c r="E2982" s="49"/>
      <c r="G2982" s="43"/>
      <c r="H2982" s="44"/>
      <c r="L2982" s="42"/>
      <c r="M2982" s="42"/>
      <c r="N2982" s="25"/>
      <c r="O2982" s="54"/>
      <c r="P2982"/>
      <c r="Q2982" s="25"/>
      <c r="R2982" s="54"/>
      <c r="W2982" s="23"/>
      <c r="X2982" s="23"/>
      <c r="Y2982" s="23"/>
      <c r="Z2982" s="43"/>
      <c r="AA2982" s="23"/>
      <c r="AB2982" s="23"/>
      <c r="AC2982" s="23"/>
      <c r="AD2982" s="23"/>
      <c r="AE2982" s="23"/>
      <c r="AF2982" s="23"/>
      <c r="AG2982" s="23"/>
      <c r="AH2982" s="23"/>
      <c r="AI2982" s="23"/>
    </row>
    <row r="2983" spans="1:35">
      <c r="B2983" s="42"/>
      <c r="C2983" s="49"/>
      <c r="E2983" s="49"/>
      <c r="G2983" s="43"/>
      <c r="H2983" s="44"/>
      <c r="L2983" s="42"/>
      <c r="M2983" s="42"/>
      <c r="N2983" s="25"/>
      <c r="O2983" s="54"/>
      <c r="P2983"/>
      <c r="Q2983" s="25"/>
      <c r="R2983" s="54"/>
      <c r="W2983" s="23"/>
      <c r="X2983" s="23"/>
      <c r="Y2983" s="23"/>
      <c r="Z2983" s="43"/>
      <c r="AA2983" s="23"/>
      <c r="AB2983" s="23"/>
      <c r="AC2983" s="23"/>
      <c r="AD2983" s="23"/>
      <c r="AE2983" s="23"/>
      <c r="AF2983" s="23"/>
      <c r="AG2983" s="23"/>
      <c r="AH2983" s="23"/>
      <c r="AI2983" s="23"/>
    </row>
    <row r="2984" spans="1:35">
      <c r="B2984" s="42"/>
      <c r="C2984" s="49"/>
      <c r="E2984" s="49"/>
      <c r="G2984" s="43"/>
      <c r="H2984" s="44"/>
      <c r="L2984" s="42"/>
      <c r="M2984" s="42"/>
      <c r="N2984" s="25"/>
      <c r="O2984" s="54"/>
      <c r="P2984"/>
      <c r="Q2984" s="25"/>
      <c r="R2984" s="54"/>
      <c r="W2984" s="23"/>
      <c r="X2984" s="23"/>
      <c r="Y2984" s="23"/>
      <c r="Z2984" s="43"/>
      <c r="AA2984" s="23"/>
      <c r="AB2984" s="23"/>
      <c r="AC2984" s="23"/>
      <c r="AD2984" s="23"/>
      <c r="AE2984" s="23"/>
      <c r="AF2984" s="23"/>
      <c r="AG2984" s="23"/>
      <c r="AH2984" s="23"/>
      <c r="AI2984" s="23"/>
    </row>
    <row r="2985" spans="1:35">
      <c r="B2985" s="42"/>
      <c r="C2985" s="49"/>
      <c r="E2985" s="49"/>
      <c r="G2985" s="43"/>
      <c r="H2985" s="44"/>
      <c r="L2985" s="42"/>
      <c r="M2985" s="42"/>
      <c r="N2985" s="25"/>
      <c r="O2985" s="54"/>
      <c r="P2985"/>
      <c r="Q2985" s="25"/>
      <c r="R2985" s="54"/>
      <c r="W2985" s="23"/>
      <c r="X2985" s="23"/>
      <c r="Y2985" s="23"/>
      <c r="Z2985" s="43"/>
      <c r="AA2985" s="23"/>
      <c r="AB2985" s="23"/>
      <c r="AC2985" s="23"/>
      <c r="AD2985" s="23"/>
      <c r="AE2985" s="23"/>
      <c r="AF2985" s="23"/>
      <c r="AG2985" s="23"/>
      <c r="AH2985" s="23"/>
      <c r="AI2985" s="23"/>
    </row>
    <row r="2986" spans="1:35">
      <c r="B2986" s="42"/>
      <c r="C2986" s="49"/>
      <c r="E2986" s="49"/>
      <c r="G2986" s="43"/>
      <c r="H2986" s="44"/>
      <c r="L2986" s="42"/>
      <c r="M2986" s="42"/>
      <c r="N2986" s="25"/>
      <c r="O2986" s="54"/>
      <c r="P2986"/>
      <c r="Q2986" s="25"/>
      <c r="R2986" s="54"/>
      <c r="W2986" s="23"/>
      <c r="X2986" s="23"/>
      <c r="Y2986" s="23"/>
      <c r="Z2986" s="43"/>
      <c r="AA2986" s="23"/>
      <c r="AB2986" s="23"/>
      <c r="AC2986" s="23"/>
      <c r="AD2986" s="23"/>
      <c r="AE2986" s="23"/>
      <c r="AF2986" s="23"/>
      <c r="AG2986" s="23"/>
      <c r="AH2986" s="23"/>
      <c r="AI2986" s="23"/>
    </row>
    <row r="2987" spans="1:35">
      <c r="B2987" s="42"/>
      <c r="C2987" s="49"/>
      <c r="E2987" s="49"/>
      <c r="G2987" s="43"/>
      <c r="H2987" s="44"/>
      <c r="L2987" s="42"/>
      <c r="M2987" s="42"/>
      <c r="N2987" s="25"/>
      <c r="O2987" s="54"/>
      <c r="P2987"/>
      <c r="Q2987" s="25"/>
      <c r="R2987" s="54"/>
      <c r="W2987" s="23"/>
      <c r="X2987" s="23"/>
      <c r="Y2987" s="23"/>
      <c r="Z2987" s="43"/>
      <c r="AA2987" s="23"/>
      <c r="AB2987" s="23"/>
      <c r="AC2987" s="23"/>
      <c r="AD2987" s="23"/>
      <c r="AE2987" s="23"/>
      <c r="AF2987" s="23"/>
      <c r="AG2987" s="23"/>
      <c r="AH2987" s="23"/>
      <c r="AI2987" s="23"/>
    </row>
    <row r="2988" spans="1:35">
      <c r="B2988" s="42"/>
      <c r="C2988" s="49"/>
      <c r="E2988" s="49"/>
      <c r="G2988" s="43"/>
      <c r="H2988" s="44"/>
      <c r="L2988" s="42"/>
      <c r="M2988" s="42"/>
      <c r="N2988" s="25"/>
      <c r="O2988" s="54"/>
      <c r="P2988"/>
      <c r="Q2988" s="25"/>
      <c r="R2988" s="54"/>
      <c r="W2988" s="23"/>
      <c r="X2988" s="23"/>
      <c r="Y2988" s="23"/>
      <c r="Z2988" s="43"/>
      <c r="AA2988" s="23"/>
      <c r="AB2988" s="23"/>
      <c r="AC2988" s="23"/>
      <c r="AD2988" s="23"/>
      <c r="AE2988" s="23"/>
      <c r="AF2988" s="23"/>
      <c r="AG2988" s="23"/>
      <c r="AH2988" s="23"/>
      <c r="AI2988" s="23"/>
    </row>
    <row r="2989" spans="1:35">
      <c r="B2989" s="42"/>
      <c r="C2989" s="49"/>
      <c r="E2989" s="49"/>
      <c r="G2989" s="43"/>
      <c r="H2989" s="44"/>
      <c r="L2989" s="42"/>
      <c r="M2989" s="42"/>
      <c r="N2989" s="25"/>
      <c r="O2989" s="54"/>
      <c r="P2989"/>
      <c r="Q2989" s="25"/>
      <c r="R2989" s="54"/>
      <c r="W2989" s="23"/>
      <c r="X2989" s="23"/>
      <c r="Y2989" s="23"/>
      <c r="Z2989" s="43"/>
      <c r="AA2989" s="23"/>
      <c r="AB2989" s="23"/>
      <c r="AC2989" s="23"/>
      <c r="AD2989" s="23"/>
      <c r="AE2989" s="23"/>
      <c r="AF2989" s="23"/>
      <c r="AG2989" s="23"/>
      <c r="AH2989" s="23"/>
      <c r="AI2989" s="23"/>
    </row>
    <row r="2990" spans="1:35">
      <c r="B2990" s="42"/>
      <c r="C2990" s="49"/>
      <c r="E2990" s="49"/>
      <c r="G2990" s="43"/>
      <c r="H2990" s="44"/>
      <c r="L2990" s="42"/>
      <c r="M2990" s="42"/>
      <c r="N2990" s="25"/>
      <c r="O2990" s="54"/>
      <c r="P2990"/>
      <c r="Q2990" s="25"/>
      <c r="R2990" s="54"/>
      <c r="W2990" s="23"/>
      <c r="X2990" s="23"/>
      <c r="Y2990" s="23"/>
      <c r="Z2990" s="43"/>
      <c r="AA2990" s="23"/>
      <c r="AB2990" s="23"/>
      <c r="AC2990" s="23"/>
      <c r="AD2990" s="23"/>
      <c r="AE2990" s="23"/>
      <c r="AF2990" s="23"/>
      <c r="AG2990" s="23"/>
      <c r="AH2990" s="23"/>
      <c r="AI2990" s="23"/>
    </row>
    <row r="2991" spans="1:35">
      <c r="B2991" s="42"/>
      <c r="C2991" s="49"/>
      <c r="E2991" s="49"/>
      <c r="G2991" s="43"/>
      <c r="H2991" s="44"/>
      <c r="L2991" s="42"/>
      <c r="M2991" s="42"/>
      <c r="N2991" s="25"/>
      <c r="O2991" s="54"/>
      <c r="P2991"/>
      <c r="Q2991" s="25"/>
      <c r="R2991" s="54"/>
      <c r="W2991" s="23"/>
      <c r="X2991" s="23"/>
      <c r="Y2991" s="23"/>
      <c r="Z2991" s="43"/>
      <c r="AA2991" s="23"/>
      <c r="AB2991" s="23"/>
      <c r="AC2991" s="23"/>
      <c r="AD2991" s="23"/>
      <c r="AE2991" s="23"/>
      <c r="AF2991" s="23"/>
      <c r="AG2991" s="23"/>
      <c r="AH2991" s="23"/>
      <c r="AI2991" s="23"/>
    </row>
    <row r="2992" spans="1:35">
      <c r="A2992" s="23"/>
      <c r="B2992" s="42"/>
      <c r="C2992" s="49"/>
      <c r="E2992" s="49"/>
      <c r="G2992" s="43"/>
      <c r="H2992" s="44"/>
      <c r="L2992" s="42"/>
      <c r="M2992" s="42"/>
      <c r="N2992" s="25"/>
      <c r="O2992" s="54"/>
      <c r="P2992"/>
      <c r="Q2992" s="25"/>
      <c r="R2992" s="54"/>
      <c r="W2992" s="23"/>
      <c r="X2992" s="23"/>
      <c r="Y2992" s="23"/>
      <c r="Z2992" s="43"/>
      <c r="AA2992" s="23"/>
      <c r="AB2992" s="23"/>
      <c r="AC2992" s="23"/>
      <c r="AD2992" s="23"/>
      <c r="AE2992" s="23"/>
      <c r="AF2992" s="23"/>
      <c r="AG2992" s="23"/>
      <c r="AH2992" s="23"/>
      <c r="AI2992" s="49"/>
    </row>
    <row r="2993" spans="1:35">
      <c r="A2993" s="23"/>
      <c r="B2993" s="42"/>
      <c r="C2993" s="49"/>
      <c r="E2993" s="49"/>
      <c r="G2993" s="43"/>
      <c r="H2993" s="44"/>
      <c r="L2993" s="42"/>
      <c r="M2993" s="42"/>
      <c r="N2993" s="25"/>
      <c r="O2993" s="54"/>
      <c r="P2993"/>
      <c r="Q2993" s="25"/>
      <c r="R2993" s="54"/>
      <c r="W2993" s="23"/>
      <c r="X2993" s="23"/>
      <c r="Y2993" s="23"/>
      <c r="Z2993" s="43"/>
      <c r="AA2993" s="23"/>
      <c r="AB2993" s="23"/>
      <c r="AC2993" s="23"/>
      <c r="AD2993" s="23"/>
      <c r="AE2993" s="23"/>
      <c r="AF2993" s="23"/>
      <c r="AG2993" s="23"/>
      <c r="AH2993" s="23"/>
      <c r="AI2993" s="49"/>
    </row>
    <row r="2994" spans="1:35">
      <c r="A2994" s="23"/>
      <c r="B2994" s="42"/>
      <c r="C2994" s="49"/>
      <c r="E2994" s="49"/>
      <c r="G2994" s="43"/>
      <c r="H2994" s="44"/>
      <c r="L2994" s="42"/>
      <c r="M2994" s="42"/>
      <c r="N2994" s="25"/>
      <c r="O2994" s="54"/>
      <c r="P2994"/>
      <c r="Q2994" s="25"/>
      <c r="R2994" s="54"/>
      <c r="W2994" s="23"/>
      <c r="X2994" s="23"/>
      <c r="Y2994" s="23"/>
      <c r="Z2994" s="43"/>
      <c r="AA2994" s="23"/>
      <c r="AB2994" s="23"/>
      <c r="AC2994" s="23"/>
      <c r="AD2994" s="23"/>
      <c r="AE2994" s="23"/>
      <c r="AF2994" s="23"/>
      <c r="AG2994" s="23"/>
      <c r="AH2994" s="23"/>
      <c r="AI2994" s="49"/>
    </row>
    <row r="2995" spans="1:35">
      <c r="A2995" s="23"/>
      <c r="B2995" s="42"/>
      <c r="C2995" s="49"/>
      <c r="E2995" s="49"/>
      <c r="G2995" s="43"/>
      <c r="H2995" s="44"/>
      <c r="L2995" s="42"/>
      <c r="M2995" s="42"/>
      <c r="N2995" s="25"/>
      <c r="O2995" s="54"/>
      <c r="P2995"/>
      <c r="Q2995" s="25"/>
      <c r="R2995" s="54"/>
      <c r="W2995" s="23"/>
      <c r="X2995" s="23"/>
      <c r="Y2995" s="23"/>
      <c r="Z2995" s="43"/>
      <c r="AA2995" s="23"/>
      <c r="AB2995" s="23"/>
      <c r="AC2995" s="23"/>
      <c r="AD2995" s="23"/>
      <c r="AE2995" s="23"/>
      <c r="AF2995" s="23"/>
      <c r="AG2995" s="23"/>
      <c r="AH2995" s="23"/>
      <c r="AI2995" s="49"/>
    </row>
    <row r="2996" spans="1:35">
      <c r="A2996" s="23"/>
      <c r="B2996" s="42"/>
      <c r="C2996" s="49"/>
      <c r="E2996" s="49"/>
      <c r="G2996" s="43"/>
      <c r="H2996" s="44"/>
      <c r="L2996" s="42"/>
      <c r="M2996" s="42"/>
      <c r="N2996" s="25"/>
      <c r="O2996" s="54"/>
      <c r="P2996"/>
      <c r="Q2996" s="25"/>
      <c r="R2996" s="54"/>
      <c r="W2996" s="23"/>
      <c r="X2996" s="23"/>
      <c r="Y2996" s="23"/>
      <c r="Z2996" s="43"/>
      <c r="AA2996" s="23"/>
      <c r="AB2996" s="23"/>
      <c r="AC2996" s="23"/>
      <c r="AD2996" s="23"/>
      <c r="AE2996" s="23"/>
      <c r="AF2996" s="23"/>
      <c r="AG2996" s="23"/>
      <c r="AH2996" s="23"/>
      <c r="AI2996" s="49"/>
    </row>
    <row r="2997" spans="1:35">
      <c r="A2997" s="23"/>
      <c r="B2997" s="42"/>
      <c r="C2997" s="49"/>
      <c r="E2997" s="49"/>
      <c r="G2997" s="43"/>
      <c r="H2997" s="44"/>
      <c r="L2997" s="42"/>
      <c r="M2997" s="42"/>
      <c r="N2997" s="25"/>
      <c r="O2997" s="54"/>
      <c r="P2997"/>
      <c r="Q2997" s="25"/>
      <c r="R2997" s="54"/>
      <c r="W2997" s="23"/>
      <c r="X2997" s="23"/>
      <c r="Y2997" s="23"/>
      <c r="Z2997" s="43"/>
      <c r="AA2997" s="23"/>
      <c r="AB2997" s="23"/>
      <c r="AC2997" s="23"/>
      <c r="AD2997" s="23"/>
      <c r="AE2997" s="23"/>
      <c r="AF2997" s="23"/>
      <c r="AG2997" s="23"/>
      <c r="AH2997" s="23"/>
      <c r="AI2997" s="49"/>
    </row>
    <row r="2998" spans="1:35">
      <c r="A2998" s="23"/>
      <c r="B2998" s="42"/>
      <c r="C2998" s="49"/>
      <c r="E2998" s="49"/>
      <c r="G2998" s="43"/>
      <c r="H2998" s="44"/>
      <c r="L2998" s="42"/>
      <c r="M2998" s="42"/>
      <c r="N2998" s="25"/>
      <c r="O2998" s="54"/>
      <c r="P2998"/>
      <c r="Q2998" s="25"/>
      <c r="R2998" s="54"/>
      <c r="W2998" s="23"/>
      <c r="X2998" s="23"/>
      <c r="Y2998" s="23"/>
      <c r="Z2998" s="43"/>
      <c r="AA2998" s="23"/>
      <c r="AB2998" s="23"/>
      <c r="AC2998" s="23"/>
      <c r="AD2998" s="23"/>
      <c r="AE2998" s="23"/>
      <c r="AF2998" s="23"/>
      <c r="AG2998" s="23"/>
      <c r="AH2998" s="23"/>
      <c r="AI2998" s="49"/>
    </row>
    <row r="2999" spans="1:35">
      <c r="A2999" s="23"/>
      <c r="B2999" s="42"/>
      <c r="C2999" s="49"/>
      <c r="E2999" s="49"/>
      <c r="G2999" s="43"/>
      <c r="H2999" s="44"/>
      <c r="L2999" s="42"/>
      <c r="M2999" s="42"/>
      <c r="N2999" s="25"/>
      <c r="O2999" s="54"/>
      <c r="P2999"/>
      <c r="Q2999" s="25"/>
      <c r="R2999" s="54"/>
      <c r="W2999" s="23"/>
      <c r="X2999" s="23"/>
      <c r="Y2999" s="23"/>
      <c r="Z2999" s="43"/>
      <c r="AA2999" s="23"/>
      <c r="AB2999" s="23"/>
      <c r="AC2999" s="23"/>
      <c r="AD2999" s="23"/>
      <c r="AE2999" s="23"/>
      <c r="AF2999" s="23"/>
      <c r="AG2999" s="23"/>
      <c r="AH2999" s="23"/>
      <c r="AI2999" s="49"/>
    </row>
    <row r="3000" spans="1:35">
      <c r="A3000" s="23"/>
      <c r="B3000" s="42"/>
      <c r="C3000" s="49"/>
      <c r="E3000" s="49"/>
      <c r="G3000" s="43"/>
      <c r="H3000" s="44"/>
      <c r="L3000" s="42"/>
      <c r="M3000" s="42"/>
      <c r="N3000" s="25"/>
      <c r="O3000" s="54"/>
      <c r="P3000"/>
      <c r="Q3000" s="25"/>
      <c r="R3000" s="54"/>
      <c r="W3000" s="23"/>
      <c r="X3000" s="23"/>
      <c r="Y3000" s="23"/>
      <c r="Z3000" s="43"/>
      <c r="AA3000" s="23"/>
      <c r="AB3000" s="23"/>
      <c r="AC3000" s="23"/>
      <c r="AD3000" s="23"/>
      <c r="AE3000" s="23"/>
      <c r="AF3000" s="23"/>
      <c r="AG3000" s="23"/>
      <c r="AH3000" s="23"/>
      <c r="AI3000" s="49"/>
    </row>
    <row r="3001" spans="1:35">
      <c r="A3001" s="23"/>
      <c r="B3001" s="42"/>
      <c r="C3001" s="49"/>
      <c r="E3001" s="49"/>
      <c r="G3001" s="43"/>
      <c r="H3001" s="44"/>
      <c r="L3001" s="42"/>
      <c r="M3001" s="42"/>
      <c r="N3001" s="25"/>
      <c r="O3001" s="54"/>
      <c r="P3001"/>
      <c r="Q3001" s="25"/>
      <c r="R3001" s="54"/>
      <c r="W3001" s="23"/>
      <c r="X3001" s="23"/>
      <c r="Y3001" s="23"/>
      <c r="Z3001" s="43"/>
      <c r="AA3001" s="23"/>
      <c r="AB3001" s="23"/>
      <c r="AC3001" s="23"/>
      <c r="AD3001" s="23"/>
      <c r="AE3001" s="23"/>
      <c r="AF3001" s="23"/>
      <c r="AG3001" s="23"/>
      <c r="AH3001" s="23"/>
      <c r="AI3001" s="49"/>
    </row>
    <row r="3002" spans="1:35">
      <c r="A3002" s="23"/>
      <c r="B3002" s="42"/>
      <c r="C3002" s="49"/>
      <c r="E3002" s="49"/>
      <c r="G3002" s="43"/>
      <c r="H3002" s="44"/>
      <c r="L3002" s="42"/>
      <c r="M3002" s="42"/>
      <c r="N3002" s="25"/>
      <c r="O3002" s="54"/>
      <c r="P3002"/>
      <c r="Q3002" s="25"/>
      <c r="R3002" s="54"/>
      <c r="W3002" s="23"/>
      <c r="X3002" s="23"/>
      <c r="Y3002" s="23"/>
      <c r="Z3002" s="43"/>
      <c r="AA3002" s="23"/>
      <c r="AB3002" s="23"/>
      <c r="AC3002" s="23"/>
      <c r="AD3002" s="23"/>
      <c r="AE3002" s="23"/>
      <c r="AF3002" s="23"/>
      <c r="AG3002" s="23"/>
      <c r="AH3002" s="23"/>
      <c r="AI3002" s="49"/>
    </row>
    <row r="3003" spans="1:35">
      <c r="A3003" s="23"/>
      <c r="B3003" s="42"/>
      <c r="C3003" s="49"/>
      <c r="E3003" s="49"/>
      <c r="G3003" s="43"/>
      <c r="H3003" s="44"/>
      <c r="L3003" s="42"/>
      <c r="M3003" s="42"/>
      <c r="N3003" s="25"/>
      <c r="O3003" s="54"/>
      <c r="P3003"/>
      <c r="Q3003" s="25"/>
      <c r="R3003" s="54"/>
      <c r="W3003" s="23"/>
      <c r="X3003" s="23"/>
      <c r="Y3003" s="23"/>
      <c r="Z3003" s="43"/>
      <c r="AA3003" s="23"/>
      <c r="AB3003" s="23"/>
      <c r="AC3003" s="23"/>
      <c r="AD3003" s="23"/>
      <c r="AE3003" s="23"/>
      <c r="AF3003" s="23"/>
      <c r="AG3003" s="23"/>
      <c r="AH3003" s="23"/>
      <c r="AI3003" s="49"/>
    </row>
    <row r="3004" spans="1:35">
      <c r="A3004" s="23"/>
      <c r="B3004" s="42"/>
      <c r="C3004" s="49"/>
      <c r="E3004" s="49"/>
      <c r="G3004" s="43"/>
      <c r="H3004" s="44"/>
      <c r="L3004" s="42"/>
      <c r="M3004" s="42"/>
      <c r="N3004" s="25"/>
      <c r="O3004" s="54"/>
      <c r="P3004"/>
      <c r="Q3004" s="25"/>
      <c r="R3004" s="54"/>
      <c r="W3004" s="23"/>
      <c r="X3004" s="23"/>
      <c r="Y3004" s="23"/>
      <c r="Z3004" s="43"/>
      <c r="AA3004" s="23"/>
      <c r="AB3004" s="23"/>
      <c r="AC3004" s="23"/>
      <c r="AD3004" s="23"/>
      <c r="AE3004" s="23"/>
      <c r="AF3004" s="23"/>
      <c r="AG3004" s="23"/>
      <c r="AH3004" s="23"/>
      <c r="AI3004" s="49"/>
    </row>
    <row r="3005" spans="1:35">
      <c r="A3005" s="23"/>
      <c r="B3005" s="42"/>
      <c r="C3005" s="49"/>
      <c r="E3005" s="49"/>
      <c r="G3005" s="43"/>
      <c r="H3005" s="44"/>
      <c r="L3005" s="42"/>
      <c r="M3005" s="42"/>
      <c r="N3005" s="25"/>
      <c r="O3005" s="54"/>
      <c r="P3005"/>
      <c r="Q3005" s="25"/>
      <c r="R3005" s="54"/>
      <c r="W3005" s="23"/>
      <c r="X3005" s="23"/>
      <c r="Y3005" s="23"/>
      <c r="Z3005" s="43"/>
      <c r="AA3005" s="23"/>
      <c r="AB3005" s="23"/>
      <c r="AC3005" s="23"/>
      <c r="AD3005" s="23"/>
      <c r="AE3005" s="23"/>
      <c r="AF3005" s="23"/>
      <c r="AG3005" s="23"/>
      <c r="AH3005" s="23"/>
      <c r="AI3005" s="49"/>
    </row>
    <row r="3006" spans="1:35">
      <c r="A3006" s="23"/>
      <c r="B3006" s="42"/>
      <c r="C3006" s="49"/>
      <c r="E3006" s="49"/>
      <c r="G3006" s="43"/>
      <c r="H3006" s="44"/>
      <c r="L3006" s="42"/>
      <c r="M3006" s="42"/>
      <c r="N3006" s="25"/>
      <c r="O3006" s="54"/>
      <c r="P3006"/>
      <c r="Q3006" s="25"/>
      <c r="R3006" s="54"/>
      <c r="W3006" s="23"/>
      <c r="X3006" s="23"/>
      <c r="Y3006" s="23"/>
      <c r="Z3006" s="43"/>
      <c r="AA3006" s="23"/>
      <c r="AB3006" s="23"/>
      <c r="AC3006" s="23"/>
      <c r="AD3006" s="23"/>
      <c r="AE3006" s="23"/>
      <c r="AF3006" s="23"/>
      <c r="AG3006" s="23"/>
      <c r="AH3006" s="23"/>
      <c r="AI3006" s="49"/>
    </row>
    <row r="3007" spans="1:35">
      <c r="A3007" s="23"/>
      <c r="B3007" s="42"/>
      <c r="C3007" s="49"/>
      <c r="E3007" s="49"/>
      <c r="G3007" s="43"/>
      <c r="H3007" s="44"/>
      <c r="L3007" s="42"/>
      <c r="M3007" s="42"/>
      <c r="N3007" s="25"/>
      <c r="O3007" s="54"/>
      <c r="P3007"/>
      <c r="Q3007" s="25"/>
      <c r="R3007" s="54"/>
      <c r="W3007" s="23"/>
      <c r="X3007" s="23"/>
      <c r="Y3007" s="23"/>
      <c r="Z3007" s="43"/>
      <c r="AA3007" s="23"/>
      <c r="AB3007" s="23"/>
      <c r="AC3007" s="23"/>
      <c r="AD3007" s="23"/>
      <c r="AE3007" s="23"/>
      <c r="AF3007" s="23"/>
      <c r="AG3007" s="23"/>
      <c r="AH3007" s="23"/>
      <c r="AI3007" s="49"/>
    </row>
    <row r="3008" spans="1:35">
      <c r="A3008" s="23"/>
      <c r="B3008" s="42"/>
      <c r="C3008" s="49"/>
      <c r="E3008" s="49"/>
      <c r="G3008" s="43"/>
      <c r="H3008" s="44"/>
      <c r="L3008" s="42"/>
      <c r="M3008" s="42"/>
      <c r="N3008" s="25"/>
      <c r="O3008" s="54"/>
      <c r="P3008"/>
      <c r="Q3008" s="25"/>
      <c r="R3008" s="54"/>
      <c r="W3008" s="23"/>
      <c r="X3008" s="23"/>
      <c r="Y3008" s="23"/>
      <c r="Z3008" s="43"/>
      <c r="AA3008" s="23"/>
      <c r="AB3008" s="23"/>
      <c r="AC3008" s="23"/>
      <c r="AD3008" s="23"/>
      <c r="AE3008" s="23"/>
      <c r="AF3008" s="23"/>
      <c r="AG3008" s="23"/>
      <c r="AH3008" s="23"/>
      <c r="AI3008" s="49"/>
    </row>
    <row r="3009" spans="1:35">
      <c r="A3009" s="23"/>
      <c r="B3009" s="42"/>
      <c r="C3009" s="49"/>
      <c r="E3009" s="49"/>
      <c r="G3009" s="43"/>
      <c r="H3009" s="44"/>
      <c r="L3009" s="42"/>
      <c r="M3009" s="42"/>
      <c r="N3009" s="25"/>
      <c r="O3009" s="54"/>
      <c r="P3009"/>
      <c r="Q3009" s="25"/>
      <c r="R3009" s="54"/>
      <c r="W3009" s="23"/>
      <c r="X3009" s="23"/>
      <c r="Y3009" s="23"/>
      <c r="Z3009" s="43"/>
      <c r="AA3009" s="23"/>
      <c r="AB3009" s="23"/>
      <c r="AC3009" s="23"/>
      <c r="AD3009" s="23"/>
      <c r="AE3009" s="23"/>
      <c r="AF3009" s="23"/>
      <c r="AG3009" s="23"/>
      <c r="AH3009" s="23"/>
      <c r="AI3009" s="49"/>
    </row>
    <row r="3010" spans="1:35">
      <c r="A3010" s="23"/>
      <c r="B3010" s="42"/>
      <c r="C3010" s="49"/>
      <c r="E3010" s="49"/>
      <c r="G3010" s="43"/>
      <c r="H3010" s="44"/>
      <c r="L3010" s="42"/>
      <c r="M3010" s="42"/>
      <c r="N3010" s="25"/>
      <c r="O3010" s="54"/>
      <c r="P3010"/>
      <c r="Q3010" s="25"/>
      <c r="R3010" s="54"/>
      <c r="W3010" s="23"/>
      <c r="X3010" s="23"/>
      <c r="Y3010" s="23"/>
      <c r="Z3010" s="43"/>
      <c r="AA3010" s="23"/>
      <c r="AB3010" s="23"/>
      <c r="AC3010" s="23"/>
      <c r="AD3010" s="23"/>
      <c r="AE3010" s="23"/>
      <c r="AF3010" s="23"/>
      <c r="AG3010" s="23"/>
      <c r="AH3010" s="23"/>
      <c r="AI3010" s="49"/>
    </row>
    <row r="3011" spans="1:35">
      <c r="A3011" s="23"/>
      <c r="B3011" s="42"/>
      <c r="C3011" s="49"/>
      <c r="E3011" s="49"/>
      <c r="G3011" s="43"/>
      <c r="H3011" s="44"/>
      <c r="L3011" s="42"/>
      <c r="M3011" s="42"/>
      <c r="N3011" s="25"/>
      <c r="O3011" s="54"/>
      <c r="P3011"/>
      <c r="Q3011" s="25"/>
      <c r="R3011" s="54"/>
      <c r="W3011" s="23"/>
      <c r="X3011" s="23"/>
      <c r="Y3011" s="23"/>
      <c r="Z3011" s="43"/>
      <c r="AA3011" s="23"/>
      <c r="AB3011" s="23"/>
      <c r="AC3011" s="23"/>
      <c r="AD3011" s="23"/>
      <c r="AE3011" s="23"/>
      <c r="AF3011" s="23"/>
      <c r="AG3011" s="23"/>
      <c r="AH3011" s="23"/>
      <c r="AI3011" s="49"/>
    </row>
    <row r="3012" spans="1:35">
      <c r="A3012" s="23"/>
      <c r="B3012" s="42"/>
      <c r="C3012" s="49"/>
      <c r="E3012" s="49"/>
      <c r="G3012" s="43"/>
      <c r="H3012" s="44"/>
      <c r="L3012" s="42"/>
      <c r="M3012" s="42"/>
      <c r="N3012" s="25"/>
      <c r="O3012" s="54"/>
      <c r="P3012"/>
      <c r="Q3012" s="25"/>
      <c r="R3012" s="54"/>
      <c r="W3012" s="23"/>
      <c r="X3012" s="23"/>
      <c r="Y3012" s="23"/>
      <c r="Z3012" s="43"/>
      <c r="AA3012" s="23"/>
      <c r="AB3012" s="23"/>
      <c r="AC3012" s="23"/>
      <c r="AD3012" s="23"/>
      <c r="AE3012" s="23"/>
      <c r="AF3012" s="23"/>
      <c r="AG3012" s="23"/>
      <c r="AH3012" s="23"/>
      <c r="AI3012" s="49"/>
    </row>
    <row r="3013" spans="1:35">
      <c r="A3013" s="23"/>
      <c r="B3013" s="42"/>
      <c r="C3013" s="49"/>
      <c r="E3013" s="49"/>
      <c r="G3013" s="43"/>
      <c r="H3013" s="44"/>
      <c r="L3013" s="42"/>
      <c r="M3013" s="42"/>
      <c r="N3013" s="25"/>
      <c r="O3013" s="54"/>
      <c r="P3013"/>
      <c r="Q3013" s="25"/>
      <c r="R3013" s="54"/>
      <c r="W3013" s="23"/>
      <c r="X3013" s="23"/>
      <c r="Y3013" s="23"/>
      <c r="Z3013" s="43"/>
      <c r="AA3013" s="23"/>
      <c r="AB3013" s="23"/>
      <c r="AC3013" s="23"/>
      <c r="AD3013" s="23"/>
      <c r="AE3013" s="23"/>
      <c r="AF3013" s="23"/>
      <c r="AG3013" s="23"/>
      <c r="AH3013" s="23"/>
      <c r="AI3013" s="49"/>
    </row>
    <row r="3014" spans="1:35">
      <c r="A3014" s="23"/>
      <c r="B3014" s="42"/>
      <c r="C3014" s="49"/>
      <c r="E3014" s="49"/>
      <c r="G3014" s="43"/>
      <c r="H3014" s="44"/>
      <c r="L3014" s="42"/>
      <c r="M3014" s="42"/>
      <c r="N3014" s="25"/>
      <c r="O3014" s="54"/>
      <c r="P3014"/>
      <c r="Q3014" s="25"/>
      <c r="R3014" s="54"/>
      <c r="W3014" s="23"/>
      <c r="X3014" s="23"/>
      <c r="Y3014" s="23"/>
      <c r="Z3014" s="43"/>
      <c r="AA3014" s="23"/>
      <c r="AB3014" s="23"/>
      <c r="AC3014" s="23"/>
      <c r="AD3014" s="23"/>
      <c r="AE3014" s="23"/>
      <c r="AF3014" s="23"/>
      <c r="AG3014" s="23"/>
      <c r="AH3014" s="23"/>
      <c r="AI3014" s="49"/>
    </row>
    <row r="3015" spans="1:35">
      <c r="A3015" s="23"/>
      <c r="B3015" s="42"/>
      <c r="C3015" s="49"/>
      <c r="E3015" s="49"/>
      <c r="G3015" s="43"/>
      <c r="H3015" s="44"/>
      <c r="L3015" s="42"/>
      <c r="M3015" s="42"/>
      <c r="N3015" s="25"/>
      <c r="O3015" s="54"/>
      <c r="P3015"/>
      <c r="Q3015" s="25"/>
      <c r="R3015" s="54"/>
      <c r="W3015" s="23"/>
      <c r="X3015" s="23"/>
      <c r="Y3015" s="23"/>
      <c r="Z3015" s="43"/>
      <c r="AA3015" s="23"/>
      <c r="AB3015" s="23"/>
      <c r="AC3015" s="23"/>
      <c r="AD3015" s="23"/>
      <c r="AE3015" s="23"/>
      <c r="AF3015" s="23"/>
      <c r="AG3015" s="23"/>
      <c r="AH3015" s="23"/>
      <c r="AI3015" s="49"/>
    </row>
    <row r="3016" spans="1:35">
      <c r="A3016" s="23"/>
      <c r="B3016" s="42"/>
      <c r="C3016" s="49"/>
      <c r="E3016" s="49"/>
      <c r="G3016" s="43"/>
      <c r="H3016" s="44"/>
      <c r="L3016" s="42"/>
      <c r="M3016" s="42"/>
      <c r="N3016" s="25"/>
      <c r="O3016" s="54"/>
      <c r="P3016"/>
      <c r="Q3016" s="25"/>
      <c r="R3016" s="54"/>
      <c r="W3016" s="23"/>
      <c r="X3016" s="23"/>
      <c r="Y3016" s="23"/>
      <c r="Z3016" s="43"/>
      <c r="AA3016" s="23"/>
      <c r="AB3016" s="23"/>
      <c r="AC3016" s="23"/>
      <c r="AD3016" s="23"/>
      <c r="AE3016" s="23"/>
      <c r="AF3016" s="23"/>
      <c r="AG3016" s="23"/>
      <c r="AH3016" s="23"/>
      <c r="AI3016" s="49"/>
    </row>
    <row r="3017" spans="1:35">
      <c r="A3017" s="23"/>
      <c r="B3017" s="42"/>
      <c r="C3017" s="49"/>
      <c r="E3017" s="49"/>
      <c r="G3017" s="43"/>
      <c r="H3017" s="44"/>
      <c r="L3017" s="42"/>
      <c r="M3017" s="42"/>
      <c r="N3017" s="25"/>
      <c r="O3017" s="54"/>
      <c r="P3017"/>
      <c r="Q3017" s="25"/>
      <c r="R3017" s="54"/>
      <c r="W3017" s="23"/>
      <c r="X3017" s="23"/>
      <c r="Y3017" s="23"/>
      <c r="Z3017" s="43"/>
      <c r="AA3017" s="23"/>
      <c r="AB3017" s="23"/>
      <c r="AC3017" s="23"/>
      <c r="AD3017" s="23"/>
      <c r="AE3017" s="23"/>
      <c r="AF3017" s="23"/>
      <c r="AG3017" s="23"/>
      <c r="AH3017" s="23"/>
      <c r="AI3017" s="49"/>
    </row>
    <row r="3018" spans="1:35">
      <c r="A3018" s="23"/>
      <c r="B3018" s="42"/>
      <c r="C3018" s="49"/>
      <c r="E3018" s="49"/>
      <c r="G3018" s="43"/>
      <c r="H3018" s="44"/>
      <c r="L3018" s="42"/>
      <c r="M3018" s="42"/>
      <c r="N3018" s="25"/>
      <c r="O3018" s="54"/>
      <c r="P3018"/>
      <c r="Q3018" s="25"/>
      <c r="R3018" s="54"/>
      <c r="W3018" s="23"/>
      <c r="X3018" s="23"/>
      <c r="Y3018" s="23"/>
      <c r="Z3018" s="43"/>
      <c r="AA3018" s="23"/>
      <c r="AB3018" s="23"/>
      <c r="AC3018" s="23"/>
      <c r="AD3018" s="23"/>
      <c r="AE3018" s="23"/>
      <c r="AF3018" s="23"/>
      <c r="AG3018" s="23"/>
      <c r="AH3018" s="23"/>
      <c r="AI3018" s="49"/>
    </row>
    <row r="3019" spans="1:35">
      <c r="A3019" s="23"/>
      <c r="B3019" s="42"/>
      <c r="C3019" s="49"/>
      <c r="E3019" s="49"/>
      <c r="G3019" s="43"/>
      <c r="H3019" s="44"/>
      <c r="L3019" s="42"/>
      <c r="M3019" s="42"/>
      <c r="N3019" s="25"/>
      <c r="O3019" s="54"/>
      <c r="P3019"/>
      <c r="Q3019" s="25"/>
      <c r="R3019" s="54"/>
      <c r="W3019" s="23"/>
      <c r="X3019" s="23"/>
      <c r="Y3019" s="23"/>
      <c r="Z3019" s="43"/>
      <c r="AA3019" s="23"/>
      <c r="AB3019" s="23"/>
      <c r="AC3019" s="23"/>
      <c r="AD3019" s="23"/>
      <c r="AE3019" s="23"/>
      <c r="AF3019" s="23"/>
      <c r="AG3019" s="23"/>
      <c r="AH3019" s="23"/>
      <c r="AI3019" s="49"/>
    </row>
    <row r="3020" spans="1:35">
      <c r="A3020" s="23"/>
      <c r="B3020" s="42"/>
      <c r="C3020" s="49"/>
      <c r="E3020" s="49"/>
      <c r="G3020" s="43"/>
      <c r="H3020" s="44"/>
      <c r="L3020" s="42"/>
      <c r="M3020" s="42"/>
      <c r="N3020" s="25"/>
      <c r="O3020" s="54"/>
      <c r="P3020"/>
      <c r="Q3020" s="25"/>
      <c r="R3020" s="54"/>
      <c r="W3020" s="23"/>
      <c r="X3020" s="23"/>
      <c r="Y3020" s="23"/>
      <c r="Z3020" s="43"/>
      <c r="AA3020" s="23"/>
      <c r="AB3020" s="23"/>
      <c r="AC3020" s="23"/>
      <c r="AD3020" s="23"/>
      <c r="AE3020" s="23"/>
      <c r="AF3020" s="23"/>
      <c r="AG3020" s="23"/>
      <c r="AH3020" s="23"/>
      <c r="AI3020" s="49"/>
    </row>
    <row r="3021" spans="1:35">
      <c r="A3021" s="23"/>
      <c r="B3021" s="42"/>
      <c r="C3021" s="49"/>
      <c r="E3021" s="49"/>
      <c r="G3021" s="43"/>
      <c r="H3021" s="44"/>
      <c r="L3021" s="42"/>
      <c r="M3021" s="42"/>
      <c r="N3021" s="25"/>
      <c r="O3021" s="54"/>
      <c r="P3021"/>
      <c r="Q3021" s="25"/>
      <c r="R3021" s="54"/>
      <c r="W3021" s="23"/>
      <c r="X3021" s="23"/>
      <c r="Y3021" s="23"/>
      <c r="Z3021" s="43"/>
      <c r="AA3021" s="23"/>
      <c r="AB3021" s="23"/>
      <c r="AC3021" s="23"/>
      <c r="AD3021" s="23"/>
      <c r="AE3021" s="23"/>
      <c r="AF3021" s="23"/>
      <c r="AG3021" s="23"/>
      <c r="AH3021" s="23"/>
      <c r="AI3021" s="49"/>
    </row>
    <row r="3022" spans="1:35">
      <c r="A3022" s="23"/>
      <c r="B3022" s="42"/>
      <c r="C3022" s="49"/>
      <c r="E3022" s="49"/>
      <c r="G3022" s="43"/>
      <c r="H3022" s="44"/>
      <c r="L3022" s="42"/>
      <c r="M3022" s="42"/>
      <c r="N3022" s="25"/>
      <c r="O3022" s="54"/>
      <c r="P3022"/>
      <c r="Q3022" s="25"/>
      <c r="R3022" s="54"/>
      <c r="W3022" s="23"/>
      <c r="X3022" s="23"/>
      <c r="Y3022" s="23"/>
      <c r="Z3022" s="43"/>
      <c r="AA3022" s="23"/>
      <c r="AB3022" s="23"/>
      <c r="AC3022" s="23"/>
      <c r="AD3022" s="23"/>
      <c r="AE3022" s="23"/>
      <c r="AF3022" s="23"/>
      <c r="AG3022" s="23"/>
      <c r="AH3022" s="23"/>
      <c r="AI3022" s="49"/>
    </row>
    <row r="3023" spans="1:35">
      <c r="A3023" s="23"/>
      <c r="B3023" s="42"/>
      <c r="C3023" s="49"/>
      <c r="E3023" s="49"/>
      <c r="G3023" s="43"/>
      <c r="H3023" s="44"/>
      <c r="L3023" s="42"/>
      <c r="M3023" s="42"/>
      <c r="N3023" s="25"/>
      <c r="O3023" s="54"/>
      <c r="P3023"/>
      <c r="Q3023" s="25"/>
      <c r="R3023" s="54"/>
      <c r="W3023" s="23"/>
      <c r="X3023" s="23"/>
      <c r="Y3023" s="23"/>
      <c r="Z3023" s="43"/>
      <c r="AA3023" s="23"/>
      <c r="AB3023" s="23"/>
      <c r="AC3023" s="23"/>
      <c r="AD3023" s="23"/>
      <c r="AE3023" s="23"/>
      <c r="AF3023" s="23"/>
      <c r="AG3023" s="23"/>
      <c r="AH3023" s="23"/>
      <c r="AI3023" s="49"/>
    </row>
    <row r="3024" spans="1:35">
      <c r="A3024" s="23"/>
      <c r="B3024" s="42"/>
      <c r="C3024" s="49"/>
      <c r="E3024" s="49"/>
      <c r="G3024" s="43"/>
      <c r="H3024" s="44"/>
      <c r="L3024" s="42"/>
      <c r="M3024" s="42"/>
      <c r="N3024" s="25"/>
      <c r="O3024" s="54"/>
      <c r="P3024"/>
      <c r="Q3024" s="25"/>
      <c r="R3024" s="54"/>
      <c r="W3024" s="23"/>
      <c r="X3024" s="23"/>
      <c r="Y3024" s="23"/>
      <c r="Z3024" s="43"/>
      <c r="AA3024" s="23"/>
      <c r="AB3024" s="23"/>
      <c r="AC3024" s="23"/>
      <c r="AD3024" s="23"/>
      <c r="AE3024" s="23"/>
      <c r="AF3024" s="23"/>
      <c r="AG3024" s="23"/>
      <c r="AH3024" s="23"/>
      <c r="AI3024" s="49"/>
    </row>
    <row r="3025" spans="1:35">
      <c r="A3025" s="23"/>
      <c r="B3025" s="42"/>
      <c r="C3025" s="49"/>
      <c r="E3025" s="49"/>
      <c r="G3025" s="43"/>
      <c r="H3025" s="44"/>
      <c r="L3025" s="42"/>
      <c r="M3025" s="42"/>
      <c r="N3025" s="25"/>
      <c r="O3025" s="54"/>
      <c r="P3025"/>
      <c r="Q3025" s="25"/>
      <c r="R3025" s="54"/>
      <c r="W3025" s="23"/>
      <c r="X3025" s="23"/>
      <c r="Y3025" s="23"/>
      <c r="Z3025" s="43"/>
      <c r="AA3025" s="23"/>
      <c r="AB3025" s="23"/>
      <c r="AC3025" s="23"/>
      <c r="AD3025" s="23"/>
      <c r="AE3025" s="23"/>
      <c r="AF3025" s="23"/>
      <c r="AG3025" s="23"/>
      <c r="AH3025" s="23"/>
      <c r="AI3025" s="49"/>
    </row>
    <row r="3026" spans="1:35">
      <c r="A3026" s="23"/>
      <c r="B3026" s="42"/>
      <c r="C3026" s="49"/>
      <c r="E3026" s="49"/>
      <c r="G3026" s="43"/>
      <c r="H3026" s="44"/>
      <c r="L3026" s="42"/>
      <c r="M3026" s="42"/>
      <c r="N3026" s="25"/>
      <c r="O3026" s="54"/>
      <c r="P3026"/>
      <c r="Q3026" s="25"/>
      <c r="R3026" s="54"/>
      <c r="W3026" s="23"/>
      <c r="X3026" s="23"/>
      <c r="Y3026" s="23"/>
      <c r="Z3026" s="43"/>
      <c r="AA3026" s="23"/>
      <c r="AB3026" s="23"/>
      <c r="AC3026" s="23"/>
      <c r="AD3026" s="23"/>
      <c r="AE3026" s="23"/>
      <c r="AF3026" s="23"/>
      <c r="AG3026" s="23"/>
      <c r="AH3026" s="23"/>
      <c r="AI3026" s="49"/>
    </row>
    <row r="3027" spans="1:35">
      <c r="A3027" s="23"/>
      <c r="B3027" s="42"/>
      <c r="C3027" s="49"/>
      <c r="E3027" s="49"/>
      <c r="G3027" s="43"/>
      <c r="H3027" s="44"/>
      <c r="L3027" s="42"/>
      <c r="M3027" s="42"/>
      <c r="N3027" s="25"/>
      <c r="O3027" s="54"/>
      <c r="P3027"/>
      <c r="Q3027" s="25"/>
      <c r="R3027" s="54"/>
      <c r="W3027" s="23"/>
      <c r="X3027" s="23"/>
      <c r="Y3027" s="23"/>
      <c r="Z3027" s="43"/>
      <c r="AA3027" s="23"/>
      <c r="AB3027" s="23"/>
      <c r="AC3027" s="23"/>
      <c r="AD3027" s="23"/>
      <c r="AE3027" s="23"/>
      <c r="AF3027" s="23"/>
      <c r="AG3027" s="23"/>
      <c r="AH3027" s="23"/>
      <c r="AI3027" s="49"/>
    </row>
    <row r="3028" spans="1:35">
      <c r="A3028" s="23"/>
      <c r="B3028" s="42"/>
      <c r="C3028" s="49"/>
      <c r="E3028" s="49"/>
      <c r="G3028" s="43"/>
      <c r="H3028" s="44"/>
      <c r="L3028" s="42"/>
      <c r="M3028" s="42"/>
      <c r="N3028" s="25"/>
      <c r="O3028" s="54"/>
      <c r="P3028"/>
      <c r="Q3028" s="25"/>
      <c r="R3028" s="54"/>
      <c r="W3028" s="23"/>
      <c r="X3028" s="23"/>
      <c r="Y3028" s="23"/>
      <c r="Z3028" s="43"/>
      <c r="AA3028" s="23"/>
      <c r="AB3028" s="23"/>
      <c r="AC3028" s="23"/>
      <c r="AD3028" s="23"/>
      <c r="AE3028" s="23"/>
      <c r="AF3028" s="23"/>
      <c r="AG3028" s="23"/>
      <c r="AH3028" s="23"/>
      <c r="AI3028" s="49"/>
    </row>
    <row r="3029" spans="1:35">
      <c r="A3029" s="23"/>
      <c r="B3029" s="42"/>
      <c r="C3029" s="49"/>
      <c r="E3029" s="49"/>
      <c r="G3029" s="43"/>
      <c r="H3029" s="44"/>
      <c r="L3029" s="42"/>
      <c r="M3029" s="42"/>
      <c r="N3029" s="25"/>
      <c r="O3029" s="54"/>
      <c r="P3029"/>
      <c r="Q3029" s="25"/>
      <c r="R3029" s="54"/>
      <c r="W3029" s="23"/>
      <c r="X3029" s="23"/>
      <c r="Y3029" s="23"/>
      <c r="Z3029" s="43"/>
      <c r="AA3029" s="23"/>
      <c r="AB3029" s="23"/>
      <c r="AC3029" s="23"/>
      <c r="AD3029" s="23"/>
      <c r="AE3029" s="23"/>
      <c r="AF3029" s="23"/>
      <c r="AG3029" s="23"/>
      <c r="AH3029" s="23"/>
      <c r="AI3029" s="49"/>
    </row>
    <row r="3030" spans="1:35">
      <c r="A3030" s="23"/>
      <c r="B3030" s="42"/>
      <c r="C3030" s="49"/>
      <c r="E3030" s="49"/>
      <c r="G3030" s="43"/>
      <c r="H3030" s="44"/>
      <c r="L3030" s="42"/>
      <c r="M3030" s="42"/>
      <c r="N3030" s="25"/>
      <c r="O3030" s="54"/>
      <c r="P3030"/>
      <c r="Q3030" s="25"/>
      <c r="R3030" s="54"/>
      <c r="W3030" s="23"/>
      <c r="X3030" s="23"/>
      <c r="Y3030" s="23"/>
      <c r="Z3030" s="43"/>
      <c r="AA3030" s="23"/>
      <c r="AB3030" s="23"/>
      <c r="AC3030" s="23"/>
      <c r="AD3030" s="23"/>
      <c r="AE3030" s="23"/>
      <c r="AF3030" s="23"/>
      <c r="AG3030" s="23"/>
      <c r="AH3030" s="23"/>
      <c r="AI3030" s="49"/>
    </row>
    <row r="3031" spans="1:35">
      <c r="A3031" s="23"/>
      <c r="B3031" s="42"/>
      <c r="C3031" s="49"/>
      <c r="E3031" s="49"/>
      <c r="G3031" s="43"/>
      <c r="H3031" s="44"/>
      <c r="L3031" s="42"/>
      <c r="M3031" s="42"/>
      <c r="N3031" s="25"/>
      <c r="O3031" s="54"/>
      <c r="P3031"/>
      <c r="Q3031" s="25"/>
      <c r="R3031" s="54"/>
      <c r="W3031" s="23"/>
      <c r="X3031" s="23"/>
      <c r="Y3031" s="23"/>
      <c r="Z3031" s="43"/>
      <c r="AA3031" s="23"/>
      <c r="AB3031" s="23"/>
      <c r="AC3031" s="23"/>
      <c r="AD3031" s="23"/>
      <c r="AE3031" s="23"/>
      <c r="AF3031" s="23"/>
      <c r="AG3031" s="23"/>
      <c r="AH3031" s="23"/>
      <c r="AI3031" s="49"/>
    </row>
    <row r="3032" spans="1:35">
      <c r="A3032" s="23"/>
      <c r="B3032" s="42"/>
      <c r="C3032" s="49"/>
      <c r="E3032" s="49"/>
      <c r="G3032" s="43"/>
      <c r="H3032" s="44"/>
      <c r="L3032" s="42"/>
      <c r="M3032" s="42"/>
      <c r="N3032" s="25"/>
      <c r="O3032" s="54"/>
      <c r="P3032"/>
      <c r="Q3032" s="25"/>
      <c r="R3032" s="54"/>
      <c r="W3032" s="23"/>
      <c r="X3032" s="23"/>
      <c r="Y3032" s="23"/>
      <c r="Z3032" s="43"/>
      <c r="AA3032" s="23"/>
      <c r="AB3032" s="23"/>
      <c r="AC3032" s="23"/>
      <c r="AD3032" s="23"/>
      <c r="AE3032" s="23"/>
      <c r="AF3032" s="23"/>
      <c r="AG3032" s="23"/>
      <c r="AH3032" s="23"/>
      <c r="AI3032" s="49"/>
    </row>
    <row r="3033" spans="1:35">
      <c r="A3033" s="23"/>
      <c r="B3033" s="42"/>
      <c r="C3033" s="49"/>
      <c r="E3033" s="49"/>
      <c r="G3033" s="43"/>
      <c r="H3033" s="44"/>
      <c r="L3033" s="42"/>
      <c r="M3033" s="42"/>
      <c r="N3033" s="25"/>
      <c r="O3033" s="54"/>
      <c r="P3033"/>
      <c r="Q3033" s="25"/>
      <c r="R3033" s="54"/>
      <c r="W3033" s="23"/>
      <c r="X3033" s="23"/>
      <c r="Y3033" s="23"/>
      <c r="Z3033" s="43"/>
      <c r="AA3033" s="23"/>
      <c r="AB3033" s="23"/>
      <c r="AC3033" s="23"/>
      <c r="AD3033" s="23"/>
      <c r="AE3033" s="23"/>
      <c r="AF3033" s="23"/>
      <c r="AG3033" s="23"/>
      <c r="AH3033" s="23"/>
      <c r="AI3033" s="49"/>
    </row>
    <row r="3034" spans="1:35">
      <c r="A3034" s="23"/>
      <c r="B3034" s="42"/>
      <c r="C3034" s="49"/>
      <c r="E3034" s="49"/>
      <c r="G3034" s="43"/>
      <c r="H3034" s="44"/>
      <c r="L3034" s="42"/>
      <c r="M3034" s="42"/>
      <c r="N3034" s="25"/>
      <c r="O3034" s="54"/>
      <c r="P3034"/>
      <c r="Q3034" s="25"/>
      <c r="R3034" s="54"/>
      <c r="W3034" s="23"/>
      <c r="X3034" s="23"/>
      <c r="Y3034" s="23"/>
      <c r="Z3034" s="43"/>
      <c r="AA3034" s="23"/>
      <c r="AB3034" s="23"/>
      <c r="AC3034" s="23"/>
      <c r="AD3034" s="23"/>
      <c r="AE3034" s="23"/>
      <c r="AF3034" s="23"/>
      <c r="AG3034" s="23"/>
      <c r="AH3034" s="23"/>
      <c r="AI3034" s="49"/>
    </row>
    <row r="3035" spans="1:35">
      <c r="A3035" s="23"/>
      <c r="B3035" s="42"/>
      <c r="C3035" s="49"/>
      <c r="E3035" s="49"/>
      <c r="G3035" s="43"/>
      <c r="H3035" s="44"/>
      <c r="L3035" s="42"/>
      <c r="M3035" s="42"/>
      <c r="N3035" s="25"/>
      <c r="O3035" s="54"/>
      <c r="P3035"/>
      <c r="Q3035" s="25"/>
      <c r="R3035" s="54"/>
      <c r="W3035" s="23"/>
      <c r="X3035" s="23"/>
      <c r="Y3035" s="23"/>
      <c r="Z3035" s="43"/>
      <c r="AA3035" s="23"/>
      <c r="AB3035" s="23"/>
      <c r="AC3035" s="23"/>
      <c r="AD3035" s="23"/>
      <c r="AE3035" s="23"/>
      <c r="AF3035" s="23"/>
      <c r="AG3035" s="23"/>
      <c r="AH3035" s="23"/>
      <c r="AI3035" s="49"/>
    </row>
    <row r="3036" spans="1:35">
      <c r="A3036" s="23"/>
      <c r="B3036" s="42"/>
      <c r="C3036" s="49"/>
      <c r="E3036" s="49"/>
      <c r="G3036" s="43"/>
      <c r="H3036" s="44"/>
      <c r="L3036" s="42"/>
      <c r="M3036" s="42"/>
      <c r="N3036" s="25"/>
      <c r="O3036" s="54"/>
      <c r="P3036"/>
      <c r="Q3036" s="25"/>
      <c r="R3036" s="54"/>
      <c r="W3036" s="23"/>
      <c r="X3036" s="23"/>
      <c r="Y3036" s="23"/>
      <c r="Z3036" s="43"/>
      <c r="AA3036" s="23"/>
      <c r="AB3036" s="23"/>
      <c r="AC3036" s="23"/>
      <c r="AD3036" s="23"/>
      <c r="AE3036" s="23"/>
      <c r="AF3036" s="23"/>
      <c r="AG3036" s="23"/>
      <c r="AH3036" s="23"/>
      <c r="AI3036" s="49"/>
    </row>
    <row r="3037" spans="1:35">
      <c r="A3037" s="23"/>
      <c r="B3037" s="42"/>
      <c r="C3037" s="49"/>
      <c r="E3037" s="49"/>
      <c r="G3037" s="43"/>
      <c r="H3037" s="44"/>
      <c r="L3037" s="42"/>
      <c r="M3037" s="42"/>
      <c r="N3037" s="25"/>
      <c r="O3037" s="54"/>
      <c r="P3037"/>
      <c r="Q3037" s="25"/>
      <c r="R3037" s="54"/>
      <c r="W3037" s="23"/>
      <c r="X3037" s="23"/>
      <c r="Y3037" s="23"/>
      <c r="Z3037" s="43"/>
      <c r="AA3037" s="23"/>
      <c r="AB3037" s="23"/>
      <c r="AC3037" s="23"/>
      <c r="AD3037" s="23"/>
      <c r="AE3037" s="23"/>
      <c r="AF3037" s="23"/>
      <c r="AG3037" s="23"/>
      <c r="AH3037" s="23"/>
      <c r="AI3037" s="49"/>
    </row>
    <row r="3038" spans="1:35">
      <c r="A3038" s="23"/>
      <c r="B3038" s="42"/>
      <c r="C3038" s="49"/>
      <c r="E3038" s="49"/>
      <c r="G3038" s="43"/>
      <c r="H3038" s="44"/>
      <c r="L3038" s="42"/>
      <c r="M3038" s="42"/>
      <c r="N3038" s="25"/>
      <c r="O3038" s="54"/>
      <c r="P3038"/>
      <c r="Q3038" s="25"/>
      <c r="R3038" s="54"/>
      <c r="W3038" s="23"/>
      <c r="X3038" s="23"/>
      <c r="Y3038" s="23"/>
      <c r="Z3038" s="43"/>
      <c r="AA3038" s="23"/>
      <c r="AB3038" s="23"/>
      <c r="AC3038" s="23"/>
      <c r="AD3038" s="23"/>
      <c r="AE3038" s="23"/>
      <c r="AF3038" s="23"/>
      <c r="AG3038" s="23"/>
      <c r="AH3038" s="23"/>
      <c r="AI3038" s="49"/>
    </row>
    <row r="3039" spans="1:35">
      <c r="A3039" s="23"/>
      <c r="B3039" s="42"/>
      <c r="C3039" s="49"/>
      <c r="E3039" s="49"/>
      <c r="G3039" s="43"/>
      <c r="H3039" s="44"/>
      <c r="L3039" s="42"/>
      <c r="M3039" s="42"/>
      <c r="N3039" s="25"/>
      <c r="O3039" s="54"/>
      <c r="P3039"/>
      <c r="Q3039" s="25"/>
      <c r="R3039" s="54"/>
      <c r="W3039" s="23"/>
      <c r="X3039" s="23"/>
      <c r="Y3039" s="23"/>
      <c r="Z3039" s="43"/>
      <c r="AA3039" s="23"/>
      <c r="AB3039" s="23"/>
      <c r="AC3039" s="23"/>
      <c r="AD3039" s="23"/>
      <c r="AE3039" s="23"/>
      <c r="AF3039" s="23"/>
      <c r="AG3039" s="23"/>
      <c r="AH3039" s="23"/>
      <c r="AI3039" s="49"/>
    </row>
    <row r="3040" spans="1:35">
      <c r="A3040" s="23"/>
      <c r="B3040" s="42"/>
      <c r="C3040" s="49"/>
      <c r="E3040" s="49"/>
      <c r="G3040" s="43"/>
      <c r="H3040" s="44"/>
      <c r="L3040" s="42"/>
      <c r="M3040" s="42"/>
      <c r="N3040" s="25"/>
      <c r="O3040" s="54"/>
      <c r="P3040"/>
      <c r="Q3040" s="25"/>
      <c r="R3040" s="54"/>
      <c r="W3040" s="23"/>
      <c r="X3040" s="23"/>
      <c r="Y3040" s="23"/>
      <c r="Z3040" s="43"/>
      <c r="AA3040" s="23"/>
      <c r="AB3040" s="23"/>
      <c r="AC3040" s="23"/>
      <c r="AD3040" s="23"/>
      <c r="AE3040" s="23"/>
      <c r="AF3040" s="23"/>
      <c r="AG3040" s="23"/>
      <c r="AH3040" s="23"/>
      <c r="AI3040" s="49"/>
    </row>
    <row r="3041" spans="1:35">
      <c r="A3041" s="23"/>
      <c r="B3041" s="42"/>
      <c r="C3041" s="49"/>
      <c r="E3041" s="49"/>
      <c r="G3041" s="43"/>
      <c r="H3041" s="44"/>
      <c r="L3041" s="42"/>
      <c r="M3041" s="42"/>
      <c r="N3041" s="25"/>
      <c r="O3041" s="54"/>
      <c r="P3041"/>
      <c r="Q3041" s="25"/>
      <c r="R3041" s="54"/>
      <c r="W3041" s="23"/>
      <c r="X3041" s="23"/>
      <c r="Y3041" s="23"/>
      <c r="Z3041" s="43"/>
      <c r="AA3041" s="23"/>
      <c r="AB3041" s="23"/>
      <c r="AC3041" s="23"/>
      <c r="AD3041" s="23"/>
      <c r="AE3041" s="23"/>
      <c r="AF3041" s="23"/>
      <c r="AG3041" s="23"/>
      <c r="AH3041" s="23"/>
      <c r="AI3041" s="49"/>
    </row>
    <row r="3042" spans="1:35">
      <c r="A3042" s="23"/>
      <c r="B3042" s="42"/>
      <c r="C3042" s="49"/>
      <c r="E3042" s="49"/>
      <c r="G3042" s="43"/>
      <c r="H3042" s="44"/>
      <c r="L3042" s="42"/>
      <c r="M3042" s="42"/>
      <c r="N3042" s="25"/>
      <c r="O3042" s="54"/>
      <c r="P3042"/>
      <c r="Q3042" s="25"/>
      <c r="R3042" s="54"/>
      <c r="W3042" s="23"/>
      <c r="X3042" s="23"/>
      <c r="Y3042" s="23"/>
      <c r="Z3042" s="43"/>
      <c r="AA3042" s="23"/>
      <c r="AB3042" s="23"/>
      <c r="AC3042" s="23"/>
      <c r="AD3042" s="23"/>
      <c r="AE3042" s="23"/>
      <c r="AF3042" s="23"/>
      <c r="AG3042" s="23"/>
      <c r="AH3042" s="23"/>
      <c r="AI3042" s="49"/>
    </row>
    <row r="3043" spans="1:35">
      <c r="A3043" s="23"/>
      <c r="B3043" s="42"/>
      <c r="C3043" s="49"/>
      <c r="E3043" s="49"/>
      <c r="G3043" s="43"/>
      <c r="H3043" s="44"/>
      <c r="L3043" s="42"/>
      <c r="M3043" s="42"/>
      <c r="N3043" s="25"/>
      <c r="O3043" s="54"/>
      <c r="P3043"/>
      <c r="Q3043" s="25"/>
      <c r="R3043" s="54"/>
      <c r="W3043" s="23"/>
      <c r="X3043" s="23"/>
      <c r="Y3043" s="23"/>
      <c r="Z3043" s="43"/>
      <c r="AA3043" s="23"/>
      <c r="AB3043" s="23"/>
      <c r="AC3043" s="23"/>
      <c r="AD3043" s="23"/>
      <c r="AE3043" s="23"/>
      <c r="AF3043" s="23"/>
      <c r="AG3043" s="23"/>
      <c r="AH3043" s="23"/>
      <c r="AI3043" s="49"/>
    </row>
    <row r="3044" spans="1:35">
      <c r="A3044" s="23"/>
      <c r="B3044" s="42"/>
      <c r="C3044" s="49"/>
      <c r="E3044" s="49"/>
      <c r="G3044" s="43"/>
      <c r="H3044" s="44"/>
      <c r="L3044" s="42"/>
      <c r="M3044" s="42"/>
      <c r="N3044" s="25"/>
      <c r="O3044" s="54"/>
      <c r="P3044"/>
      <c r="Q3044" s="25"/>
      <c r="R3044" s="54"/>
      <c r="W3044" s="23"/>
      <c r="X3044" s="23"/>
      <c r="Y3044" s="23"/>
      <c r="Z3044" s="43"/>
      <c r="AA3044" s="23"/>
      <c r="AB3044" s="23"/>
      <c r="AC3044" s="23"/>
      <c r="AD3044" s="23"/>
      <c r="AE3044" s="23"/>
      <c r="AF3044" s="23"/>
      <c r="AG3044" s="23"/>
      <c r="AH3044" s="23"/>
      <c r="AI3044" s="49"/>
    </row>
    <row r="3045" spans="1:35">
      <c r="A3045" s="23"/>
      <c r="B3045" s="42"/>
      <c r="C3045" s="49"/>
      <c r="E3045" s="49"/>
      <c r="G3045" s="43"/>
      <c r="H3045" s="44"/>
      <c r="L3045" s="42"/>
      <c r="M3045" s="42"/>
      <c r="N3045" s="25"/>
      <c r="O3045" s="54"/>
      <c r="P3045"/>
      <c r="Q3045" s="25"/>
      <c r="R3045" s="54"/>
      <c r="W3045" s="23"/>
      <c r="X3045" s="23"/>
      <c r="Y3045" s="23"/>
      <c r="Z3045" s="43"/>
      <c r="AA3045" s="23"/>
      <c r="AB3045" s="23"/>
      <c r="AC3045" s="23"/>
      <c r="AD3045" s="23"/>
      <c r="AE3045" s="23"/>
      <c r="AF3045" s="23"/>
      <c r="AG3045" s="23"/>
      <c r="AH3045" s="23"/>
      <c r="AI3045" s="49"/>
    </row>
    <row r="3046" spans="1:35">
      <c r="A3046" s="23"/>
      <c r="B3046" s="42"/>
      <c r="C3046" s="49"/>
      <c r="E3046" s="49"/>
      <c r="G3046" s="43"/>
      <c r="H3046" s="44"/>
      <c r="L3046" s="42"/>
      <c r="M3046" s="42"/>
      <c r="N3046" s="25"/>
      <c r="O3046" s="54"/>
      <c r="P3046"/>
      <c r="Q3046" s="25"/>
      <c r="R3046" s="54"/>
      <c r="W3046" s="23"/>
      <c r="X3046" s="23"/>
      <c r="Y3046" s="23"/>
      <c r="Z3046" s="43"/>
      <c r="AA3046" s="23"/>
      <c r="AB3046" s="23"/>
      <c r="AC3046" s="23"/>
      <c r="AD3046" s="23"/>
      <c r="AE3046" s="23"/>
      <c r="AF3046" s="23"/>
      <c r="AG3046" s="23"/>
      <c r="AH3046" s="23"/>
      <c r="AI3046" s="49"/>
    </row>
    <row r="3047" spans="1:35">
      <c r="A3047" s="23"/>
      <c r="B3047" s="42"/>
      <c r="C3047" s="49"/>
      <c r="E3047" s="49"/>
      <c r="G3047" s="43"/>
      <c r="H3047" s="44"/>
      <c r="L3047" s="42"/>
      <c r="M3047" s="42"/>
      <c r="N3047" s="25"/>
      <c r="O3047" s="54"/>
      <c r="P3047"/>
      <c r="Q3047" s="25"/>
      <c r="R3047" s="54"/>
      <c r="W3047" s="23"/>
      <c r="X3047" s="23"/>
      <c r="Y3047" s="23"/>
      <c r="Z3047" s="43"/>
      <c r="AA3047" s="23"/>
      <c r="AB3047" s="23"/>
      <c r="AC3047" s="23"/>
      <c r="AD3047" s="23"/>
      <c r="AE3047" s="23"/>
      <c r="AF3047" s="23"/>
      <c r="AG3047" s="23"/>
      <c r="AH3047" s="23"/>
      <c r="AI3047" s="49"/>
    </row>
    <row r="3048" spans="1:35">
      <c r="A3048" s="23"/>
      <c r="B3048" s="42"/>
      <c r="C3048" s="49"/>
      <c r="E3048" s="49"/>
      <c r="G3048" s="43"/>
      <c r="H3048" s="44"/>
      <c r="L3048" s="42"/>
      <c r="M3048" s="42"/>
      <c r="N3048" s="25"/>
      <c r="O3048" s="54"/>
      <c r="P3048"/>
      <c r="Q3048" s="25"/>
      <c r="R3048" s="54"/>
      <c r="W3048" s="23"/>
      <c r="X3048" s="23"/>
      <c r="Y3048" s="23"/>
      <c r="Z3048" s="43"/>
      <c r="AA3048" s="23"/>
      <c r="AB3048" s="23"/>
      <c r="AC3048" s="23"/>
      <c r="AD3048" s="23"/>
      <c r="AE3048" s="23"/>
      <c r="AF3048" s="23"/>
      <c r="AG3048" s="23"/>
      <c r="AH3048" s="23"/>
      <c r="AI3048" s="49"/>
    </row>
    <row r="3049" spans="1:35">
      <c r="A3049" s="23"/>
      <c r="B3049" s="42"/>
      <c r="C3049" s="49"/>
      <c r="E3049" s="49"/>
      <c r="G3049" s="43"/>
      <c r="H3049" s="44"/>
      <c r="L3049" s="42"/>
      <c r="M3049" s="42"/>
      <c r="N3049" s="25"/>
      <c r="O3049" s="54"/>
      <c r="P3049"/>
      <c r="Q3049" s="25"/>
      <c r="R3049" s="54"/>
      <c r="W3049" s="23"/>
      <c r="X3049" s="23"/>
      <c r="Y3049" s="23"/>
      <c r="Z3049" s="43"/>
      <c r="AA3049" s="23"/>
      <c r="AB3049" s="23"/>
      <c r="AC3049" s="23"/>
      <c r="AD3049" s="23"/>
      <c r="AE3049" s="23"/>
      <c r="AF3049" s="23"/>
      <c r="AG3049" s="23"/>
      <c r="AH3049" s="23"/>
      <c r="AI3049" s="49"/>
    </row>
    <row r="3050" spans="1:35">
      <c r="A3050" s="23"/>
      <c r="B3050" s="42"/>
      <c r="C3050" s="49"/>
      <c r="E3050" s="49"/>
      <c r="G3050" s="43"/>
      <c r="H3050" s="44"/>
      <c r="L3050" s="42"/>
      <c r="M3050" s="42"/>
      <c r="N3050" s="25"/>
      <c r="O3050" s="54"/>
      <c r="P3050"/>
      <c r="Q3050" s="25"/>
      <c r="R3050" s="54"/>
      <c r="W3050" s="23"/>
      <c r="X3050" s="23"/>
      <c r="Y3050" s="23"/>
      <c r="Z3050" s="43"/>
      <c r="AA3050" s="23"/>
      <c r="AB3050" s="23"/>
      <c r="AC3050" s="23"/>
      <c r="AD3050" s="23"/>
      <c r="AE3050" s="23"/>
      <c r="AF3050" s="23"/>
      <c r="AG3050" s="23"/>
      <c r="AH3050" s="23"/>
      <c r="AI3050" s="49"/>
    </row>
    <row r="3051" spans="1:35">
      <c r="A3051" s="23"/>
      <c r="B3051" s="42"/>
      <c r="C3051" s="49"/>
      <c r="E3051" s="49"/>
      <c r="G3051" s="43"/>
      <c r="H3051" s="44"/>
      <c r="L3051" s="42"/>
      <c r="M3051" s="42"/>
      <c r="N3051" s="25"/>
      <c r="O3051" s="54"/>
      <c r="P3051"/>
      <c r="Q3051" s="25"/>
      <c r="R3051" s="54"/>
      <c r="W3051" s="23"/>
      <c r="X3051" s="23"/>
      <c r="Y3051" s="23"/>
      <c r="Z3051" s="43"/>
      <c r="AA3051" s="23"/>
      <c r="AB3051" s="23"/>
      <c r="AC3051" s="23"/>
      <c r="AD3051" s="23"/>
      <c r="AE3051" s="23"/>
      <c r="AF3051" s="23"/>
      <c r="AG3051" s="23"/>
      <c r="AH3051" s="23"/>
      <c r="AI3051" s="49"/>
    </row>
    <row r="3052" spans="1:35">
      <c r="A3052" s="23"/>
      <c r="B3052" s="42"/>
      <c r="C3052" s="49"/>
      <c r="E3052" s="49"/>
      <c r="G3052" s="43"/>
      <c r="H3052" s="44"/>
      <c r="L3052" s="42"/>
      <c r="M3052" s="42"/>
      <c r="N3052" s="25"/>
      <c r="O3052" s="54"/>
      <c r="P3052"/>
      <c r="Q3052" s="25"/>
      <c r="R3052" s="54"/>
      <c r="W3052" s="23"/>
      <c r="X3052" s="23"/>
      <c r="Y3052" s="23"/>
      <c r="Z3052" s="43"/>
      <c r="AA3052" s="23"/>
      <c r="AB3052" s="23"/>
      <c r="AC3052" s="23"/>
      <c r="AD3052" s="23"/>
      <c r="AE3052" s="23"/>
      <c r="AF3052" s="23"/>
      <c r="AG3052" s="23"/>
      <c r="AH3052" s="23"/>
      <c r="AI3052" s="49"/>
    </row>
    <row r="3053" spans="1:35">
      <c r="A3053" s="23"/>
      <c r="B3053" s="42"/>
      <c r="C3053" s="49"/>
      <c r="E3053" s="49"/>
      <c r="G3053" s="43"/>
      <c r="H3053" s="44"/>
      <c r="L3053" s="42"/>
      <c r="M3053" s="42"/>
      <c r="N3053" s="25"/>
      <c r="O3053" s="54"/>
      <c r="P3053"/>
      <c r="Q3053" s="25"/>
      <c r="R3053" s="54"/>
      <c r="W3053" s="23"/>
      <c r="X3053" s="23"/>
      <c r="Y3053" s="23"/>
      <c r="Z3053" s="43"/>
      <c r="AA3053" s="23"/>
      <c r="AB3053" s="23"/>
      <c r="AC3053" s="23"/>
      <c r="AD3053" s="23"/>
      <c r="AE3053" s="23"/>
      <c r="AF3053" s="23"/>
      <c r="AG3053" s="23"/>
      <c r="AH3053" s="23"/>
      <c r="AI3053" s="49"/>
    </row>
    <row r="3054" spans="1:35">
      <c r="A3054" s="23"/>
      <c r="B3054" s="42"/>
      <c r="C3054" s="49"/>
      <c r="E3054" s="49"/>
      <c r="G3054" s="43"/>
      <c r="H3054" s="44"/>
      <c r="L3054" s="42"/>
      <c r="M3054" s="42"/>
      <c r="N3054" s="25"/>
      <c r="O3054" s="54"/>
      <c r="P3054"/>
      <c r="Q3054" s="25"/>
      <c r="R3054" s="54"/>
      <c r="W3054" s="23"/>
      <c r="X3054" s="23"/>
      <c r="Y3054" s="23"/>
      <c r="Z3054" s="43"/>
      <c r="AA3054" s="23"/>
      <c r="AB3054" s="23"/>
      <c r="AC3054" s="23"/>
      <c r="AD3054" s="23"/>
      <c r="AE3054" s="23"/>
      <c r="AF3054" s="23"/>
      <c r="AG3054" s="23"/>
      <c r="AH3054" s="23"/>
      <c r="AI3054" s="49"/>
    </row>
    <row r="3055" spans="1:35">
      <c r="A3055" s="23"/>
      <c r="B3055" s="42"/>
      <c r="C3055" s="49"/>
      <c r="E3055" s="49"/>
      <c r="G3055" s="43"/>
      <c r="H3055" s="44"/>
      <c r="L3055" s="42"/>
      <c r="M3055" s="42"/>
      <c r="N3055" s="25"/>
      <c r="O3055" s="54"/>
      <c r="P3055"/>
      <c r="Q3055" s="25"/>
      <c r="R3055" s="54"/>
      <c r="W3055" s="23"/>
      <c r="X3055" s="23"/>
      <c r="Y3055" s="23"/>
      <c r="Z3055" s="43"/>
      <c r="AA3055" s="23"/>
      <c r="AB3055" s="23"/>
      <c r="AC3055" s="23"/>
      <c r="AD3055" s="23"/>
      <c r="AE3055" s="23"/>
      <c r="AF3055" s="23"/>
      <c r="AG3055" s="23"/>
      <c r="AH3055" s="23"/>
      <c r="AI3055" s="49"/>
    </row>
    <row r="3056" spans="1:35">
      <c r="A3056" s="23"/>
      <c r="B3056" s="42"/>
      <c r="C3056" s="49"/>
      <c r="E3056" s="49"/>
      <c r="G3056" s="43"/>
      <c r="H3056" s="44"/>
      <c r="L3056" s="42"/>
      <c r="M3056" s="42"/>
      <c r="N3056" s="25"/>
      <c r="O3056" s="54"/>
      <c r="P3056"/>
      <c r="Q3056" s="25"/>
      <c r="R3056" s="54"/>
      <c r="W3056" s="23"/>
      <c r="X3056" s="23"/>
      <c r="Y3056" s="23"/>
      <c r="Z3056" s="43"/>
      <c r="AA3056" s="23"/>
      <c r="AB3056" s="23"/>
      <c r="AC3056" s="23"/>
      <c r="AD3056" s="23"/>
      <c r="AE3056" s="23"/>
      <c r="AF3056" s="23"/>
      <c r="AG3056" s="23"/>
      <c r="AH3056" s="23"/>
      <c r="AI3056" s="49"/>
    </row>
    <row r="3057" spans="1:35">
      <c r="A3057" s="23"/>
      <c r="B3057" s="42"/>
      <c r="C3057" s="49"/>
      <c r="E3057" s="49"/>
      <c r="G3057" s="43"/>
      <c r="H3057" s="44"/>
      <c r="L3057" s="42"/>
      <c r="M3057" s="42"/>
      <c r="N3057" s="25"/>
      <c r="O3057" s="54"/>
      <c r="P3057"/>
      <c r="Q3057" s="25"/>
      <c r="R3057" s="54"/>
      <c r="W3057" s="23"/>
      <c r="X3057" s="23"/>
      <c r="Y3057" s="23"/>
      <c r="Z3057" s="43"/>
      <c r="AA3057" s="23"/>
      <c r="AB3057" s="23"/>
      <c r="AC3057" s="23"/>
      <c r="AD3057" s="23"/>
      <c r="AE3057" s="23"/>
      <c r="AF3057" s="23"/>
      <c r="AG3057" s="23"/>
      <c r="AH3057" s="23"/>
      <c r="AI3057" s="49"/>
    </row>
    <row r="3058" spans="1:35">
      <c r="A3058" s="23"/>
      <c r="B3058" s="42"/>
      <c r="C3058" s="49"/>
      <c r="E3058" s="49"/>
      <c r="G3058" s="43"/>
      <c r="H3058" s="44"/>
      <c r="L3058" s="42"/>
      <c r="M3058" s="42"/>
      <c r="N3058" s="25"/>
      <c r="O3058" s="54"/>
      <c r="P3058"/>
      <c r="Q3058" s="25"/>
      <c r="R3058" s="54"/>
      <c r="W3058" s="23"/>
      <c r="X3058" s="23"/>
      <c r="Y3058" s="23"/>
      <c r="Z3058" s="43"/>
      <c r="AA3058" s="23"/>
      <c r="AB3058" s="23"/>
      <c r="AC3058" s="23"/>
      <c r="AD3058" s="23"/>
      <c r="AE3058" s="23"/>
      <c r="AF3058" s="23"/>
      <c r="AG3058" s="23"/>
      <c r="AH3058" s="23"/>
      <c r="AI3058" s="49"/>
    </row>
    <row r="3059" spans="1:35">
      <c r="A3059" s="23"/>
      <c r="B3059" s="42"/>
      <c r="C3059" s="49"/>
      <c r="E3059" s="49"/>
      <c r="G3059" s="43"/>
      <c r="H3059" s="44"/>
      <c r="L3059" s="42"/>
      <c r="M3059" s="42"/>
      <c r="N3059" s="25"/>
      <c r="O3059" s="54"/>
      <c r="P3059"/>
      <c r="Q3059" s="25"/>
      <c r="R3059" s="54"/>
      <c r="W3059" s="23"/>
      <c r="X3059" s="23"/>
      <c r="Y3059" s="23"/>
      <c r="Z3059" s="43"/>
      <c r="AA3059" s="23"/>
      <c r="AB3059" s="23"/>
      <c r="AC3059" s="23"/>
      <c r="AD3059" s="23"/>
      <c r="AE3059" s="23"/>
      <c r="AF3059" s="23"/>
      <c r="AG3059" s="23"/>
      <c r="AH3059" s="23"/>
      <c r="AI3059" s="49"/>
    </row>
    <row r="3060" spans="1:35">
      <c r="A3060" s="23"/>
      <c r="B3060" s="42"/>
      <c r="C3060" s="49"/>
      <c r="E3060" s="49"/>
      <c r="G3060" s="43"/>
      <c r="H3060" s="44"/>
      <c r="L3060" s="42"/>
      <c r="M3060" s="42"/>
      <c r="N3060" s="25"/>
      <c r="O3060" s="54"/>
      <c r="P3060"/>
      <c r="Q3060" s="25"/>
      <c r="R3060" s="54"/>
      <c r="W3060" s="23"/>
      <c r="X3060" s="23"/>
      <c r="Y3060" s="23"/>
      <c r="Z3060" s="43"/>
      <c r="AA3060" s="23"/>
      <c r="AB3060" s="23"/>
      <c r="AC3060" s="23"/>
      <c r="AD3060" s="23"/>
      <c r="AE3060" s="23"/>
      <c r="AF3060" s="23"/>
      <c r="AG3060" s="23"/>
      <c r="AH3060" s="23"/>
      <c r="AI3060" s="49"/>
    </row>
    <row r="3061" spans="1:35">
      <c r="A3061" s="23"/>
      <c r="B3061" s="42"/>
      <c r="C3061" s="49"/>
      <c r="E3061" s="49"/>
      <c r="G3061" s="43"/>
      <c r="H3061" s="44"/>
      <c r="L3061" s="42"/>
      <c r="M3061" s="42"/>
      <c r="N3061" s="25"/>
      <c r="O3061" s="54"/>
      <c r="P3061"/>
      <c r="Q3061" s="25"/>
      <c r="R3061" s="54"/>
      <c r="W3061" s="23"/>
      <c r="X3061" s="23"/>
      <c r="Y3061" s="23"/>
      <c r="Z3061" s="43"/>
      <c r="AA3061" s="23"/>
      <c r="AB3061" s="23"/>
      <c r="AC3061" s="23"/>
      <c r="AD3061" s="23"/>
      <c r="AE3061" s="23"/>
      <c r="AF3061" s="23"/>
      <c r="AG3061" s="23"/>
      <c r="AH3061" s="23"/>
      <c r="AI3061" s="49"/>
    </row>
    <row r="3062" spans="1:35">
      <c r="A3062" s="23"/>
      <c r="B3062" s="42"/>
      <c r="C3062" s="49"/>
      <c r="E3062" s="49"/>
      <c r="G3062" s="43"/>
      <c r="H3062" s="44"/>
      <c r="L3062" s="42"/>
      <c r="M3062" s="42"/>
      <c r="N3062" s="25"/>
      <c r="O3062" s="54"/>
      <c r="P3062"/>
      <c r="Q3062" s="25"/>
      <c r="R3062" s="54"/>
      <c r="W3062" s="23"/>
      <c r="X3062" s="23"/>
      <c r="Y3062" s="23"/>
      <c r="Z3062" s="43"/>
      <c r="AA3062" s="23"/>
      <c r="AB3062" s="23"/>
      <c r="AC3062" s="23"/>
      <c r="AD3062" s="23"/>
      <c r="AE3062" s="23"/>
      <c r="AF3062" s="23"/>
      <c r="AG3062" s="23"/>
      <c r="AH3062" s="23"/>
      <c r="AI3062" s="49"/>
    </row>
    <row r="3063" spans="1:35">
      <c r="A3063" s="23"/>
      <c r="B3063" s="42"/>
      <c r="C3063" s="49"/>
      <c r="E3063" s="49"/>
      <c r="G3063" s="43"/>
      <c r="H3063" s="44"/>
      <c r="L3063" s="42"/>
      <c r="M3063" s="42"/>
      <c r="N3063" s="25"/>
      <c r="O3063" s="54"/>
      <c r="P3063"/>
      <c r="Q3063" s="25"/>
      <c r="R3063" s="54"/>
      <c r="W3063" s="23"/>
      <c r="X3063" s="23"/>
      <c r="Y3063" s="23"/>
      <c r="Z3063" s="43"/>
      <c r="AA3063" s="23"/>
      <c r="AB3063" s="23"/>
      <c r="AC3063" s="23"/>
      <c r="AD3063" s="23"/>
      <c r="AE3063" s="23"/>
      <c r="AF3063" s="23"/>
      <c r="AG3063" s="23"/>
      <c r="AH3063" s="23"/>
      <c r="AI3063" s="49"/>
    </row>
    <row r="3064" spans="1:35">
      <c r="A3064" s="23"/>
      <c r="B3064" s="42"/>
      <c r="C3064" s="49"/>
      <c r="E3064" s="49"/>
      <c r="G3064" s="43"/>
      <c r="H3064" s="44"/>
      <c r="L3064" s="42"/>
      <c r="M3064" s="42"/>
      <c r="N3064" s="25"/>
      <c r="O3064" s="54"/>
      <c r="P3064"/>
      <c r="Q3064" s="25"/>
      <c r="R3064" s="54"/>
      <c r="W3064" s="23"/>
      <c r="X3064" s="23"/>
      <c r="Y3064" s="23"/>
      <c r="Z3064" s="43"/>
      <c r="AA3064" s="23"/>
      <c r="AB3064" s="23"/>
      <c r="AC3064" s="23"/>
      <c r="AD3064" s="23"/>
      <c r="AE3064" s="23"/>
      <c r="AF3064" s="23"/>
      <c r="AG3064" s="23"/>
      <c r="AH3064" s="23"/>
      <c r="AI3064" s="49"/>
    </row>
    <row r="3065" spans="1:35">
      <c r="A3065" s="23"/>
      <c r="B3065" s="42"/>
      <c r="C3065" s="49"/>
      <c r="E3065" s="49"/>
      <c r="G3065" s="43"/>
      <c r="H3065" s="44"/>
      <c r="L3065" s="42"/>
      <c r="M3065" s="42"/>
      <c r="N3065" s="25"/>
      <c r="O3065" s="54"/>
      <c r="P3065"/>
      <c r="Q3065" s="25"/>
      <c r="R3065" s="54"/>
      <c r="W3065" s="23"/>
      <c r="X3065" s="23"/>
      <c r="Y3065" s="23"/>
      <c r="Z3065" s="43"/>
      <c r="AA3065" s="23"/>
      <c r="AB3065" s="23"/>
      <c r="AC3065" s="23"/>
      <c r="AD3065" s="23"/>
      <c r="AE3065" s="23"/>
      <c r="AF3065" s="23"/>
      <c r="AG3065" s="23"/>
      <c r="AH3065" s="23"/>
      <c r="AI3065" s="49"/>
    </row>
    <row r="3066" spans="1:35">
      <c r="A3066" s="23"/>
      <c r="B3066" s="42"/>
      <c r="C3066" s="49"/>
      <c r="E3066" s="49"/>
      <c r="G3066" s="43"/>
      <c r="H3066" s="44"/>
      <c r="L3066" s="42"/>
      <c r="M3066" s="42"/>
      <c r="N3066" s="25"/>
      <c r="O3066" s="54"/>
      <c r="P3066"/>
      <c r="Q3066" s="25"/>
      <c r="R3066" s="54"/>
      <c r="W3066" s="23"/>
      <c r="X3066" s="23"/>
      <c r="Y3066" s="23"/>
      <c r="Z3066" s="43"/>
      <c r="AA3066" s="23"/>
      <c r="AB3066" s="23"/>
      <c r="AC3066" s="23"/>
      <c r="AD3066" s="23"/>
      <c r="AE3066" s="23"/>
      <c r="AF3066" s="23"/>
      <c r="AG3066" s="23"/>
      <c r="AH3066" s="23"/>
      <c r="AI3066" s="49"/>
    </row>
    <row r="3067" spans="1:35">
      <c r="A3067" s="23"/>
      <c r="B3067" s="42"/>
      <c r="C3067" s="49"/>
      <c r="E3067" s="49"/>
      <c r="G3067" s="43"/>
      <c r="H3067" s="44"/>
      <c r="L3067" s="42"/>
      <c r="M3067" s="42"/>
      <c r="N3067" s="25"/>
      <c r="O3067" s="54"/>
      <c r="P3067"/>
      <c r="Q3067" s="25"/>
      <c r="R3067" s="54"/>
      <c r="W3067" s="23"/>
      <c r="X3067" s="23"/>
      <c r="Y3067" s="23"/>
      <c r="Z3067" s="43"/>
      <c r="AA3067" s="23"/>
      <c r="AB3067" s="23"/>
      <c r="AC3067" s="23"/>
      <c r="AD3067" s="23"/>
      <c r="AE3067" s="23"/>
      <c r="AF3067" s="23"/>
      <c r="AG3067" s="23"/>
      <c r="AH3067" s="23"/>
      <c r="AI3067" s="49"/>
    </row>
    <row r="3068" spans="1:35">
      <c r="A3068" s="23"/>
      <c r="B3068" s="42"/>
      <c r="C3068" s="49"/>
      <c r="E3068" s="49"/>
      <c r="G3068" s="43"/>
      <c r="H3068" s="44"/>
      <c r="L3068" s="42"/>
      <c r="M3068" s="42"/>
      <c r="N3068" s="25"/>
      <c r="O3068" s="54"/>
      <c r="P3068"/>
      <c r="Q3068" s="25"/>
      <c r="R3068" s="54"/>
      <c r="W3068" s="23"/>
      <c r="X3068" s="23"/>
      <c r="Y3068" s="23"/>
      <c r="Z3068" s="43"/>
      <c r="AA3068" s="23"/>
      <c r="AB3068" s="23"/>
      <c r="AC3068" s="23"/>
      <c r="AD3068" s="23"/>
      <c r="AE3068" s="23"/>
      <c r="AF3068" s="23"/>
      <c r="AG3068" s="23"/>
      <c r="AH3068" s="23"/>
      <c r="AI3068" s="49"/>
    </row>
    <row r="3069" spans="1:35">
      <c r="A3069" s="23"/>
      <c r="B3069" s="42"/>
      <c r="C3069" s="49"/>
      <c r="E3069" s="49"/>
      <c r="G3069" s="43"/>
      <c r="H3069" s="44"/>
      <c r="L3069" s="42"/>
      <c r="M3069" s="42"/>
      <c r="N3069" s="25"/>
      <c r="O3069" s="54"/>
      <c r="P3069"/>
      <c r="Q3069" s="25"/>
      <c r="R3069" s="54"/>
      <c r="W3069" s="23"/>
      <c r="X3069" s="23"/>
      <c r="Y3069" s="23"/>
      <c r="Z3069" s="43"/>
      <c r="AA3069" s="23"/>
      <c r="AB3069" s="23"/>
      <c r="AC3069" s="23"/>
      <c r="AD3069" s="23"/>
      <c r="AE3069" s="23"/>
      <c r="AF3069" s="23"/>
      <c r="AG3069" s="23"/>
      <c r="AH3069" s="23"/>
      <c r="AI3069" s="49"/>
    </row>
    <row r="3070" spans="1:35">
      <c r="A3070" s="23"/>
      <c r="B3070" s="42"/>
      <c r="C3070" s="49"/>
      <c r="E3070" s="49"/>
      <c r="G3070" s="43"/>
      <c r="H3070" s="44"/>
      <c r="L3070" s="42"/>
      <c r="M3070" s="42"/>
      <c r="N3070" s="25"/>
      <c r="O3070" s="54"/>
      <c r="P3070"/>
      <c r="Q3070" s="25"/>
      <c r="R3070" s="54"/>
      <c r="W3070" s="23"/>
      <c r="X3070" s="23"/>
      <c r="Y3070" s="23"/>
      <c r="Z3070" s="43"/>
      <c r="AA3070" s="23"/>
      <c r="AB3070" s="23"/>
      <c r="AC3070" s="23"/>
      <c r="AD3070" s="23"/>
      <c r="AE3070" s="23"/>
      <c r="AF3070" s="23"/>
      <c r="AG3070" s="23"/>
      <c r="AH3070" s="23"/>
      <c r="AI3070" s="49"/>
    </row>
    <row r="3071" spans="1:35">
      <c r="A3071" s="23"/>
      <c r="B3071" s="42"/>
      <c r="C3071" s="49"/>
      <c r="E3071" s="49"/>
      <c r="G3071" s="43"/>
      <c r="H3071" s="44"/>
      <c r="L3071" s="42"/>
      <c r="M3071" s="42"/>
      <c r="N3071" s="25"/>
      <c r="O3071" s="54"/>
      <c r="P3071"/>
      <c r="Q3071" s="25"/>
      <c r="R3071" s="54"/>
      <c r="W3071" s="23"/>
      <c r="X3071" s="23"/>
      <c r="Y3071" s="23"/>
      <c r="Z3071" s="43"/>
      <c r="AA3071" s="23"/>
      <c r="AB3071" s="23"/>
      <c r="AC3071" s="23"/>
      <c r="AD3071" s="23"/>
      <c r="AE3071" s="23"/>
      <c r="AF3071" s="23"/>
      <c r="AG3071" s="23"/>
      <c r="AH3071" s="23"/>
      <c r="AI3071" s="49"/>
    </row>
    <row r="3072" spans="1:35">
      <c r="B3072" s="42"/>
      <c r="G3072" s="43"/>
      <c r="H3072" s="44"/>
      <c r="L3072" s="42"/>
      <c r="M3072" s="42"/>
      <c r="N3072" s="25"/>
      <c r="O3072" s="54"/>
      <c r="P3072"/>
      <c r="Q3072" s="25"/>
      <c r="R3072" s="54"/>
      <c r="W3072" s="23"/>
      <c r="X3072" s="23"/>
      <c r="Y3072" s="23"/>
      <c r="Z3072" s="43"/>
      <c r="AA3072" s="23"/>
      <c r="AB3072" s="23"/>
      <c r="AC3072" s="23"/>
      <c r="AD3072" s="23"/>
      <c r="AE3072" s="23"/>
      <c r="AF3072" s="23"/>
      <c r="AG3072" s="23"/>
      <c r="AH3072" s="23"/>
      <c r="AI3072" s="48"/>
    </row>
    <row r="3073" spans="1:35">
      <c r="A3073" s="23"/>
      <c r="B3073" s="42"/>
      <c r="C3073" s="49"/>
      <c r="E3073" s="49"/>
      <c r="G3073" s="43"/>
      <c r="H3073" s="44"/>
      <c r="L3073" s="42"/>
      <c r="M3073" s="42"/>
      <c r="N3073" s="25"/>
      <c r="O3073" s="54"/>
      <c r="P3073"/>
      <c r="Q3073" s="25"/>
      <c r="R3073" s="54"/>
      <c r="W3073" s="23"/>
      <c r="X3073" s="23"/>
      <c r="Y3073" s="23"/>
      <c r="Z3073" s="43"/>
      <c r="AA3073" s="23"/>
      <c r="AB3073" s="23"/>
      <c r="AC3073" s="23"/>
      <c r="AD3073" s="23"/>
      <c r="AE3073" s="23"/>
      <c r="AF3073" s="23"/>
      <c r="AG3073" s="23"/>
      <c r="AH3073" s="23"/>
      <c r="AI3073" s="49"/>
    </row>
    <row r="3074" spans="1:35">
      <c r="A3074" s="23"/>
      <c r="B3074" s="42"/>
      <c r="C3074" s="49"/>
      <c r="E3074" s="49"/>
      <c r="G3074" s="43"/>
      <c r="H3074" s="44"/>
      <c r="L3074" s="42"/>
      <c r="M3074" s="42"/>
      <c r="N3074" s="25"/>
      <c r="O3074" s="54"/>
      <c r="P3074"/>
      <c r="Q3074" s="25"/>
      <c r="R3074" s="54"/>
      <c r="W3074" s="23"/>
      <c r="X3074" s="23"/>
      <c r="Y3074" s="23"/>
      <c r="Z3074" s="43"/>
      <c r="AA3074" s="23"/>
      <c r="AB3074" s="23"/>
      <c r="AC3074" s="23"/>
      <c r="AD3074" s="23"/>
      <c r="AE3074" s="23"/>
      <c r="AF3074" s="23"/>
      <c r="AG3074" s="23"/>
      <c r="AH3074" s="23"/>
      <c r="AI3074" s="49"/>
    </row>
    <row r="3075" spans="1:35">
      <c r="A3075" s="23"/>
      <c r="B3075" s="42"/>
      <c r="C3075" s="49"/>
      <c r="E3075" s="49"/>
      <c r="G3075" s="43"/>
      <c r="H3075" s="44"/>
      <c r="L3075" s="42"/>
      <c r="M3075" s="42"/>
      <c r="N3075" s="25"/>
      <c r="O3075" s="54"/>
      <c r="P3075"/>
      <c r="Q3075" s="25"/>
      <c r="R3075" s="54"/>
      <c r="W3075" s="23"/>
      <c r="X3075" s="23"/>
      <c r="Y3075" s="23"/>
      <c r="Z3075" s="43"/>
      <c r="AA3075" s="23"/>
      <c r="AB3075" s="23"/>
      <c r="AC3075" s="23"/>
      <c r="AD3075" s="23"/>
      <c r="AE3075" s="23"/>
      <c r="AF3075" s="23"/>
      <c r="AG3075" s="23"/>
      <c r="AH3075" s="23"/>
      <c r="AI3075" s="49"/>
    </row>
    <row r="3076" spans="1:35">
      <c r="A3076" s="23"/>
      <c r="B3076" s="42"/>
      <c r="C3076" s="49"/>
      <c r="E3076" s="49"/>
      <c r="G3076" s="43"/>
      <c r="H3076" s="44"/>
      <c r="L3076" s="42"/>
      <c r="M3076" s="42"/>
      <c r="N3076" s="25"/>
      <c r="O3076" s="54"/>
      <c r="P3076"/>
      <c r="Q3076" s="25"/>
      <c r="R3076" s="54"/>
      <c r="W3076" s="23"/>
      <c r="X3076" s="23"/>
      <c r="Y3076" s="23"/>
      <c r="Z3076" s="43"/>
      <c r="AA3076" s="23"/>
      <c r="AB3076" s="23"/>
      <c r="AC3076" s="23"/>
      <c r="AD3076" s="23"/>
      <c r="AE3076" s="23"/>
      <c r="AF3076" s="23"/>
      <c r="AG3076" s="23"/>
      <c r="AH3076" s="23"/>
      <c r="AI3076" s="49"/>
    </row>
    <row r="3077" spans="1:35">
      <c r="A3077" s="23"/>
      <c r="B3077" s="42"/>
      <c r="C3077" s="49"/>
      <c r="E3077" s="49"/>
      <c r="G3077" s="43"/>
      <c r="H3077" s="44"/>
      <c r="L3077" s="42"/>
      <c r="M3077" s="42"/>
      <c r="N3077" s="25"/>
      <c r="O3077" s="54"/>
      <c r="P3077"/>
      <c r="Q3077" s="25"/>
      <c r="R3077" s="54"/>
      <c r="W3077" s="23"/>
      <c r="X3077" s="23"/>
      <c r="Y3077" s="23"/>
      <c r="Z3077" s="43"/>
      <c r="AA3077" s="23"/>
      <c r="AB3077" s="23"/>
      <c r="AC3077" s="23"/>
      <c r="AD3077" s="23"/>
      <c r="AE3077" s="23"/>
      <c r="AF3077" s="23"/>
      <c r="AG3077" s="23"/>
      <c r="AH3077" s="23"/>
      <c r="AI3077" s="49"/>
    </row>
    <row r="3078" spans="1:35">
      <c r="A3078" s="23"/>
      <c r="B3078" s="42"/>
      <c r="C3078" s="49"/>
      <c r="E3078" s="49"/>
      <c r="G3078" s="43"/>
      <c r="H3078" s="44"/>
      <c r="L3078" s="42"/>
      <c r="M3078" s="42"/>
      <c r="N3078" s="25"/>
      <c r="O3078" s="54"/>
      <c r="P3078"/>
      <c r="Q3078" s="25"/>
      <c r="R3078" s="54"/>
      <c r="W3078" s="23"/>
      <c r="X3078" s="23"/>
      <c r="Y3078" s="23"/>
      <c r="Z3078" s="43"/>
      <c r="AA3078" s="23"/>
      <c r="AB3078" s="23"/>
      <c r="AC3078" s="23"/>
      <c r="AD3078" s="23"/>
      <c r="AE3078" s="23"/>
      <c r="AF3078" s="23"/>
      <c r="AG3078" s="23"/>
      <c r="AH3078" s="23"/>
      <c r="AI3078" s="49"/>
    </row>
    <row r="3079" spans="1:35">
      <c r="A3079" s="23"/>
      <c r="B3079" s="42"/>
      <c r="C3079" s="49"/>
      <c r="E3079" s="49"/>
      <c r="G3079" s="43"/>
      <c r="H3079" s="44"/>
      <c r="L3079" s="42"/>
      <c r="M3079" s="42"/>
      <c r="N3079" s="25"/>
      <c r="O3079" s="54"/>
      <c r="P3079"/>
      <c r="Q3079" s="25"/>
      <c r="R3079" s="54"/>
      <c r="W3079" s="23"/>
      <c r="X3079" s="23"/>
      <c r="Y3079" s="23"/>
      <c r="Z3079" s="43"/>
      <c r="AA3079" s="23"/>
      <c r="AB3079" s="23"/>
      <c r="AC3079" s="23"/>
      <c r="AD3079" s="23"/>
      <c r="AE3079" s="23"/>
      <c r="AF3079" s="23"/>
      <c r="AG3079" s="23"/>
      <c r="AH3079" s="23"/>
      <c r="AI3079" s="49"/>
    </row>
    <row r="3080" spans="1:35">
      <c r="A3080" s="23"/>
      <c r="B3080" s="42"/>
      <c r="C3080" s="49"/>
      <c r="E3080" s="49"/>
      <c r="G3080" s="43"/>
      <c r="H3080" s="44"/>
      <c r="L3080" s="42"/>
      <c r="M3080" s="42"/>
      <c r="N3080" s="25"/>
      <c r="O3080" s="54"/>
      <c r="P3080"/>
      <c r="Q3080" s="25"/>
      <c r="R3080" s="54"/>
      <c r="W3080" s="23"/>
      <c r="X3080" s="23"/>
      <c r="Y3080" s="23"/>
      <c r="Z3080" s="43"/>
      <c r="AA3080" s="23"/>
      <c r="AB3080" s="23"/>
      <c r="AC3080" s="23"/>
      <c r="AD3080" s="23"/>
      <c r="AE3080" s="23"/>
      <c r="AF3080" s="23"/>
      <c r="AG3080" s="23"/>
      <c r="AH3080" s="23"/>
      <c r="AI3080" s="49"/>
    </row>
    <row r="3081" spans="1:35">
      <c r="A3081" s="23"/>
      <c r="B3081" s="42"/>
      <c r="C3081" s="49"/>
      <c r="E3081" s="49"/>
      <c r="G3081" s="43"/>
      <c r="H3081" s="44"/>
      <c r="L3081" s="42"/>
      <c r="M3081" s="42"/>
      <c r="N3081" s="25"/>
      <c r="O3081" s="54"/>
      <c r="P3081"/>
      <c r="Q3081" s="25"/>
      <c r="R3081" s="54"/>
      <c r="W3081" s="23"/>
      <c r="X3081" s="23"/>
      <c r="Y3081" s="23"/>
      <c r="Z3081" s="43"/>
      <c r="AA3081" s="23"/>
      <c r="AB3081" s="23"/>
      <c r="AC3081" s="23"/>
      <c r="AD3081" s="23"/>
      <c r="AE3081" s="23"/>
      <c r="AF3081" s="23"/>
      <c r="AG3081" s="23"/>
      <c r="AH3081" s="23"/>
      <c r="AI3081" s="49"/>
    </row>
    <row r="3082" spans="1:35">
      <c r="A3082" s="23"/>
      <c r="B3082" s="42"/>
      <c r="C3082" s="49"/>
      <c r="E3082" s="49"/>
      <c r="G3082" s="43"/>
      <c r="H3082" s="44"/>
      <c r="L3082" s="42"/>
      <c r="M3082" s="42"/>
      <c r="N3082" s="25"/>
      <c r="O3082" s="54"/>
      <c r="P3082"/>
      <c r="Q3082" s="25"/>
      <c r="R3082" s="54"/>
      <c r="W3082" s="23"/>
      <c r="X3082" s="23"/>
      <c r="Y3082" s="23"/>
      <c r="Z3082" s="43"/>
      <c r="AA3082" s="23"/>
      <c r="AB3082" s="23"/>
      <c r="AC3082" s="23"/>
      <c r="AD3082" s="23"/>
      <c r="AE3082" s="23"/>
      <c r="AF3082" s="23"/>
      <c r="AG3082" s="23"/>
      <c r="AH3082" s="23"/>
      <c r="AI3082" s="49"/>
    </row>
    <row r="3083" spans="1:35">
      <c r="A3083" s="23"/>
      <c r="B3083" s="42"/>
      <c r="C3083" s="49"/>
      <c r="E3083" s="49"/>
      <c r="G3083" s="43"/>
      <c r="H3083" s="44"/>
      <c r="L3083" s="42"/>
      <c r="M3083" s="42"/>
      <c r="N3083" s="25"/>
      <c r="O3083" s="54"/>
      <c r="P3083"/>
      <c r="Q3083" s="25"/>
      <c r="R3083" s="54"/>
      <c r="W3083" s="23"/>
      <c r="X3083" s="23"/>
      <c r="Y3083" s="23"/>
      <c r="Z3083" s="43"/>
      <c r="AA3083" s="23"/>
      <c r="AB3083" s="23"/>
      <c r="AC3083" s="23"/>
      <c r="AD3083" s="23"/>
      <c r="AE3083" s="23"/>
      <c r="AF3083" s="23"/>
      <c r="AG3083" s="23"/>
      <c r="AH3083" s="23"/>
      <c r="AI3083" s="49"/>
    </row>
    <row r="3084" spans="1:35">
      <c r="A3084" s="23"/>
      <c r="B3084" s="42"/>
      <c r="C3084" s="49"/>
      <c r="E3084" s="49"/>
      <c r="G3084" s="43"/>
      <c r="H3084" s="44"/>
      <c r="L3084" s="42"/>
      <c r="M3084" s="42"/>
      <c r="N3084" s="25"/>
      <c r="O3084" s="54"/>
      <c r="P3084"/>
      <c r="Q3084" s="25"/>
      <c r="R3084" s="54"/>
      <c r="W3084" s="23"/>
      <c r="X3084" s="23"/>
      <c r="Y3084" s="23"/>
      <c r="Z3084" s="43"/>
      <c r="AA3084" s="23"/>
      <c r="AB3084" s="23"/>
      <c r="AC3084" s="23"/>
      <c r="AD3084" s="23"/>
      <c r="AE3084" s="23"/>
      <c r="AF3084" s="23"/>
      <c r="AG3084" s="23"/>
      <c r="AH3084" s="23"/>
      <c r="AI3084" s="49"/>
    </row>
    <row r="3085" spans="1:35">
      <c r="A3085" s="23"/>
      <c r="B3085" s="42"/>
      <c r="C3085" s="49"/>
      <c r="E3085" s="49"/>
      <c r="G3085" s="43"/>
      <c r="H3085" s="44"/>
      <c r="L3085" s="42"/>
      <c r="M3085" s="42"/>
      <c r="N3085" s="25"/>
      <c r="O3085" s="54"/>
      <c r="P3085"/>
      <c r="Q3085" s="25"/>
      <c r="R3085" s="54"/>
      <c r="W3085" s="23"/>
      <c r="X3085" s="23"/>
      <c r="Y3085" s="23"/>
      <c r="Z3085" s="43"/>
      <c r="AA3085" s="23"/>
      <c r="AB3085" s="23"/>
      <c r="AC3085" s="23"/>
      <c r="AD3085" s="23"/>
      <c r="AE3085" s="23"/>
      <c r="AF3085" s="23"/>
      <c r="AG3085" s="23"/>
      <c r="AH3085" s="23"/>
      <c r="AI3085" s="49"/>
    </row>
    <row r="3086" spans="1:35">
      <c r="A3086" s="23"/>
      <c r="B3086" s="42"/>
      <c r="C3086" s="49"/>
      <c r="E3086" s="49"/>
      <c r="G3086" s="43"/>
      <c r="H3086" s="44"/>
      <c r="L3086" s="42"/>
      <c r="M3086" s="42"/>
      <c r="N3086" s="25"/>
      <c r="O3086" s="54"/>
      <c r="P3086"/>
      <c r="Q3086" s="25"/>
      <c r="R3086" s="54"/>
      <c r="W3086" s="23"/>
      <c r="X3086" s="23"/>
      <c r="Y3086" s="23"/>
      <c r="Z3086" s="43"/>
      <c r="AA3086" s="23"/>
      <c r="AB3086" s="23"/>
      <c r="AC3086" s="23"/>
      <c r="AD3086" s="23"/>
      <c r="AE3086" s="23"/>
      <c r="AF3086" s="23"/>
      <c r="AG3086" s="23"/>
      <c r="AH3086" s="23"/>
      <c r="AI3086" s="49"/>
    </row>
    <row r="3087" spans="1:35">
      <c r="A3087" s="23"/>
      <c r="B3087" s="42"/>
      <c r="C3087" s="49"/>
      <c r="E3087" s="49"/>
      <c r="G3087" s="43"/>
      <c r="H3087" s="44"/>
      <c r="L3087" s="42"/>
      <c r="M3087" s="42"/>
      <c r="N3087" s="25"/>
      <c r="O3087" s="54"/>
      <c r="P3087"/>
      <c r="Q3087" s="25"/>
      <c r="R3087" s="54"/>
      <c r="W3087" s="23"/>
      <c r="X3087" s="23"/>
      <c r="Y3087" s="23"/>
      <c r="Z3087" s="43"/>
      <c r="AA3087" s="23"/>
      <c r="AB3087" s="23"/>
      <c r="AC3087" s="23"/>
      <c r="AD3087" s="23"/>
      <c r="AE3087" s="23"/>
      <c r="AF3087" s="23"/>
      <c r="AG3087" s="23"/>
      <c r="AH3087" s="23"/>
      <c r="AI3087" s="49"/>
    </row>
    <row r="3088" spans="1:35">
      <c r="A3088" s="23"/>
      <c r="B3088" s="42"/>
      <c r="C3088" s="49"/>
      <c r="E3088" s="49"/>
      <c r="G3088" s="43"/>
      <c r="H3088" s="44"/>
      <c r="L3088" s="42"/>
      <c r="M3088" s="42"/>
      <c r="N3088" s="25"/>
      <c r="O3088" s="54"/>
      <c r="P3088"/>
      <c r="Q3088" s="25"/>
      <c r="R3088" s="54"/>
      <c r="W3088" s="23"/>
      <c r="X3088" s="23"/>
      <c r="Y3088" s="23"/>
      <c r="Z3088" s="43"/>
      <c r="AA3088" s="23"/>
      <c r="AB3088" s="23"/>
      <c r="AC3088" s="23"/>
      <c r="AD3088" s="23"/>
      <c r="AE3088" s="23"/>
      <c r="AF3088" s="23"/>
      <c r="AG3088" s="23"/>
      <c r="AH3088" s="23"/>
      <c r="AI3088" s="49"/>
    </row>
    <row r="3089" spans="1:35">
      <c r="A3089" s="23"/>
      <c r="B3089" s="42"/>
      <c r="C3089" s="49"/>
      <c r="E3089" s="49"/>
      <c r="G3089" s="43"/>
      <c r="H3089" s="44"/>
      <c r="L3089" s="42"/>
      <c r="M3089" s="42"/>
      <c r="N3089" s="25"/>
      <c r="O3089" s="54"/>
      <c r="P3089"/>
      <c r="Q3089" s="25"/>
      <c r="R3089" s="54"/>
      <c r="W3089" s="23"/>
      <c r="X3089" s="23"/>
      <c r="Y3089" s="23"/>
      <c r="Z3089" s="43"/>
      <c r="AA3089" s="23"/>
      <c r="AB3089" s="23"/>
      <c r="AC3089" s="23"/>
      <c r="AD3089" s="23"/>
      <c r="AE3089" s="23"/>
      <c r="AF3089" s="23"/>
      <c r="AG3089" s="23"/>
      <c r="AH3089" s="23"/>
      <c r="AI3089" s="49"/>
    </row>
    <row r="3090" spans="1:35">
      <c r="A3090" s="23"/>
      <c r="B3090" s="42"/>
      <c r="C3090" s="49"/>
      <c r="E3090" s="49"/>
      <c r="G3090" s="43"/>
      <c r="H3090" s="44"/>
      <c r="L3090" s="42"/>
      <c r="M3090" s="42"/>
      <c r="N3090" s="25"/>
      <c r="O3090" s="54"/>
      <c r="P3090"/>
      <c r="Q3090" s="25"/>
      <c r="R3090" s="54"/>
      <c r="W3090" s="23"/>
      <c r="X3090" s="23"/>
      <c r="Y3090" s="23"/>
      <c r="Z3090" s="43"/>
      <c r="AA3090" s="23"/>
      <c r="AB3090" s="23"/>
      <c r="AC3090" s="23"/>
      <c r="AD3090" s="23"/>
      <c r="AE3090" s="23"/>
      <c r="AF3090" s="23"/>
      <c r="AG3090" s="23"/>
      <c r="AH3090" s="23"/>
      <c r="AI3090" s="49"/>
    </row>
    <row r="3091" spans="1:35">
      <c r="A3091" s="23"/>
      <c r="B3091" s="42"/>
      <c r="C3091" s="49"/>
      <c r="E3091" s="49"/>
      <c r="G3091" s="43"/>
      <c r="H3091" s="44"/>
      <c r="L3091" s="42"/>
      <c r="M3091" s="42"/>
      <c r="N3091" s="25"/>
      <c r="O3091" s="54"/>
      <c r="P3091"/>
      <c r="Q3091" s="25"/>
      <c r="R3091" s="54"/>
      <c r="W3091" s="23"/>
      <c r="X3091" s="23"/>
      <c r="Y3091" s="23"/>
      <c r="Z3091" s="43"/>
      <c r="AA3091" s="23"/>
      <c r="AB3091" s="23"/>
      <c r="AC3091" s="23"/>
      <c r="AD3091" s="23"/>
      <c r="AE3091" s="23"/>
      <c r="AF3091" s="23"/>
      <c r="AG3091" s="23"/>
      <c r="AH3091" s="23"/>
      <c r="AI3091" s="49"/>
    </row>
    <row r="3092" spans="1:35">
      <c r="A3092" s="23"/>
      <c r="B3092" s="42"/>
      <c r="C3092" s="49"/>
      <c r="E3092" s="49"/>
      <c r="G3092" s="43"/>
      <c r="H3092" s="44"/>
      <c r="L3092" s="42"/>
      <c r="M3092" s="42"/>
      <c r="N3092" s="25"/>
      <c r="O3092" s="54"/>
      <c r="P3092"/>
      <c r="Q3092" s="25"/>
      <c r="R3092" s="54"/>
      <c r="W3092" s="23"/>
      <c r="X3092" s="23"/>
      <c r="Y3092" s="23"/>
      <c r="Z3092" s="43"/>
      <c r="AA3092" s="23"/>
      <c r="AB3092" s="23"/>
      <c r="AC3092" s="23"/>
      <c r="AD3092" s="23"/>
      <c r="AE3092" s="23"/>
      <c r="AF3092" s="23"/>
      <c r="AG3092" s="23"/>
      <c r="AH3092" s="23"/>
      <c r="AI3092" s="49"/>
    </row>
    <row r="3093" spans="1:35">
      <c r="A3093" s="23"/>
      <c r="B3093" s="42"/>
      <c r="C3093" s="49"/>
      <c r="E3093" s="49"/>
      <c r="G3093" s="43"/>
      <c r="H3093" s="44"/>
      <c r="L3093" s="42"/>
      <c r="M3093" s="42"/>
      <c r="N3093" s="25"/>
      <c r="O3093" s="54"/>
      <c r="P3093"/>
      <c r="Q3093" s="25"/>
      <c r="R3093" s="54"/>
      <c r="W3093" s="23"/>
      <c r="X3093" s="23"/>
      <c r="Y3093" s="23"/>
      <c r="Z3093" s="43"/>
      <c r="AA3093" s="23"/>
      <c r="AB3093" s="23"/>
      <c r="AC3093" s="23"/>
      <c r="AD3093" s="23"/>
      <c r="AE3093" s="23"/>
      <c r="AF3093" s="23"/>
      <c r="AG3093" s="23"/>
      <c r="AH3093" s="23"/>
      <c r="AI3093" s="49"/>
    </row>
    <row r="3094" spans="1:35">
      <c r="A3094" s="23"/>
      <c r="B3094" s="42"/>
      <c r="C3094" s="49"/>
      <c r="E3094" s="49"/>
      <c r="G3094" s="43"/>
      <c r="H3094" s="44"/>
      <c r="L3094" s="42"/>
      <c r="M3094" s="42"/>
      <c r="N3094" s="25"/>
      <c r="O3094" s="54"/>
      <c r="P3094"/>
      <c r="Q3094" s="25"/>
      <c r="R3094" s="54"/>
      <c r="W3094" s="23"/>
      <c r="X3094" s="23"/>
      <c r="Y3094" s="23"/>
      <c r="Z3094" s="43"/>
      <c r="AA3094" s="23"/>
      <c r="AB3094" s="23"/>
      <c r="AC3094" s="23"/>
      <c r="AD3094" s="23"/>
      <c r="AE3094" s="23"/>
      <c r="AF3094" s="23"/>
      <c r="AG3094" s="23"/>
      <c r="AH3094" s="23"/>
      <c r="AI3094" s="49"/>
    </row>
    <row r="3095" spans="1:35">
      <c r="A3095" s="23"/>
      <c r="B3095" s="42"/>
      <c r="C3095" s="49"/>
      <c r="E3095" s="49"/>
      <c r="G3095" s="43"/>
      <c r="H3095" s="44"/>
      <c r="L3095" s="42"/>
      <c r="M3095" s="42"/>
      <c r="N3095" s="25"/>
      <c r="O3095" s="54"/>
      <c r="P3095"/>
      <c r="Q3095" s="25"/>
      <c r="R3095" s="54"/>
      <c r="W3095" s="23"/>
      <c r="X3095" s="23"/>
      <c r="Y3095" s="23"/>
      <c r="Z3095" s="43"/>
      <c r="AA3095" s="23"/>
      <c r="AB3095" s="23"/>
      <c r="AC3095" s="23"/>
      <c r="AD3095" s="23"/>
      <c r="AE3095" s="23"/>
      <c r="AF3095" s="23"/>
      <c r="AG3095" s="23"/>
      <c r="AH3095" s="23"/>
      <c r="AI3095" s="49"/>
    </row>
    <row r="3096" spans="1:35">
      <c r="A3096" s="23"/>
      <c r="B3096" s="42"/>
      <c r="C3096" s="49"/>
      <c r="E3096" s="49"/>
      <c r="G3096" s="43"/>
      <c r="H3096" s="44"/>
      <c r="L3096" s="42"/>
      <c r="M3096" s="42"/>
      <c r="N3096" s="25"/>
      <c r="O3096" s="54"/>
      <c r="P3096"/>
      <c r="Q3096" s="25"/>
      <c r="R3096" s="54"/>
      <c r="W3096" s="23"/>
      <c r="X3096" s="23"/>
      <c r="Y3096" s="23"/>
      <c r="Z3096" s="43"/>
      <c r="AA3096" s="23"/>
      <c r="AB3096" s="23"/>
      <c r="AC3096" s="23"/>
      <c r="AD3096" s="23"/>
      <c r="AE3096" s="23"/>
      <c r="AF3096" s="23"/>
      <c r="AG3096" s="23"/>
      <c r="AH3096" s="23"/>
      <c r="AI3096" s="49"/>
    </row>
    <row r="3097" spans="1:35">
      <c r="A3097" s="23"/>
      <c r="B3097" s="42"/>
      <c r="C3097" s="49"/>
      <c r="E3097" s="49"/>
      <c r="G3097" s="43"/>
      <c r="H3097" s="44"/>
      <c r="L3097" s="42"/>
      <c r="M3097" s="42"/>
      <c r="N3097" s="25"/>
      <c r="O3097" s="54"/>
      <c r="P3097"/>
      <c r="Q3097" s="25"/>
      <c r="R3097" s="54"/>
      <c r="W3097" s="23"/>
      <c r="X3097" s="23"/>
      <c r="Y3097" s="23"/>
      <c r="Z3097" s="43"/>
      <c r="AA3097" s="23"/>
      <c r="AB3097" s="23"/>
      <c r="AC3097" s="23"/>
      <c r="AD3097" s="23"/>
      <c r="AE3097" s="23"/>
      <c r="AF3097" s="23"/>
      <c r="AG3097" s="23"/>
      <c r="AH3097" s="23"/>
      <c r="AI3097" s="49"/>
    </row>
    <row r="3098" spans="1:35">
      <c r="A3098" s="23"/>
      <c r="B3098" s="42"/>
      <c r="C3098" s="49"/>
      <c r="E3098" s="49"/>
      <c r="G3098" s="43"/>
      <c r="H3098" s="44"/>
      <c r="L3098" s="42"/>
      <c r="M3098" s="42"/>
      <c r="N3098" s="25"/>
      <c r="O3098" s="54"/>
      <c r="P3098"/>
      <c r="Q3098" s="25"/>
      <c r="R3098" s="54"/>
      <c r="W3098" s="23"/>
      <c r="X3098" s="23"/>
      <c r="Y3098" s="23"/>
      <c r="Z3098" s="43"/>
      <c r="AA3098" s="23"/>
      <c r="AB3098" s="23"/>
      <c r="AC3098" s="23"/>
      <c r="AD3098" s="23"/>
      <c r="AE3098" s="23"/>
      <c r="AF3098" s="23"/>
      <c r="AG3098" s="23"/>
      <c r="AH3098" s="23"/>
      <c r="AI3098" s="49"/>
    </row>
    <row r="3099" spans="1:35">
      <c r="A3099" s="23"/>
      <c r="B3099" s="42"/>
      <c r="C3099" s="49"/>
      <c r="E3099" s="49"/>
      <c r="G3099" s="43"/>
      <c r="H3099" s="44"/>
      <c r="L3099" s="42"/>
      <c r="M3099" s="42"/>
      <c r="N3099" s="25"/>
      <c r="O3099" s="54"/>
      <c r="P3099"/>
      <c r="Q3099" s="25"/>
      <c r="R3099" s="54"/>
      <c r="W3099" s="23"/>
      <c r="X3099" s="23"/>
      <c r="Y3099" s="23"/>
      <c r="Z3099" s="43"/>
      <c r="AA3099" s="23"/>
      <c r="AB3099" s="23"/>
      <c r="AC3099" s="23"/>
      <c r="AD3099" s="23"/>
      <c r="AE3099" s="23"/>
      <c r="AF3099" s="23"/>
      <c r="AG3099" s="23"/>
      <c r="AH3099" s="23"/>
      <c r="AI3099" s="49"/>
    </row>
    <row r="3100" spans="1:35">
      <c r="A3100" s="23"/>
      <c r="B3100" s="42"/>
      <c r="C3100" s="49"/>
      <c r="E3100" s="49"/>
      <c r="G3100" s="43"/>
      <c r="H3100" s="44"/>
      <c r="L3100" s="42"/>
      <c r="M3100" s="42"/>
      <c r="N3100" s="25"/>
      <c r="O3100" s="54"/>
      <c r="P3100"/>
      <c r="Q3100" s="25"/>
      <c r="R3100" s="54"/>
      <c r="W3100" s="23"/>
      <c r="X3100" s="23"/>
      <c r="Y3100" s="23"/>
      <c r="Z3100" s="43"/>
      <c r="AA3100" s="23"/>
      <c r="AB3100" s="23"/>
      <c r="AC3100" s="23"/>
      <c r="AD3100" s="23"/>
      <c r="AE3100" s="23"/>
      <c r="AF3100" s="23"/>
      <c r="AG3100" s="23"/>
      <c r="AH3100" s="23"/>
      <c r="AI3100" s="49"/>
    </row>
    <row r="3101" spans="1:35">
      <c r="A3101" s="23"/>
      <c r="B3101" s="42"/>
      <c r="C3101" s="49"/>
      <c r="E3101" s="49"/>
      <c r="G3101" s="43"/>
      <c r="H3101" s="44"/>
      <c r="L3101" s="42"/>
      <c r="M3101" s="42"/>
      <c r="N3101" s="25"/>
      <c r="O3101" s="54"/>
      <c r="P3101"/>
      <c r="Q3101" s="25"/>
      <c r="R3101" s="54"/>
      <c r="W3101" s="23"/>
      <c r="X3101" s="23"/>
      <c r="Y3101" s="23"/>
      <c r="Z3101" s="43"/>
      <c r="AA3101" s="23"/>
      <c r="AB3101" s="23"/>
      <c r="AC3101" s="23"/>
      <c r="AD3101" s="23"/>
      <c r="AE3101" s="23"/>
      <c r="AF3101" s="23"/>
      <c r="AG3101" s="23"/>
      <c r="AH3101" s="23"/>
      <c r="AI3101" s="49"/>
    </row>
    <row r="3102" spans="1:35">
      <c r="A3102" s="23"/>
      <c r="B3102" s="42"/>
      <c r="C3102" s="49"/>
      <c r="E3102" s="49"/>
      <c r="G3102" s="43"/>
      <c r="H3102" s="44"/>
      <c r="L3102" s="42"/>
      <c r="M3102" s="42"/>
      <c r="N3102" s="25"/>
      <c r="O3102" s="54"/>
      <c r="P3102"/>
      <c r="Q3102" s="25"/>
      <c r="R3102" s="54"/>
      <c r="W3102" s="23"/>
      <c r="X3102" s="23"/>
      <c r="Y3102" s="23"/>
      <c r="Z3102" s="43"/>
      <c r="AA3102" s="23"/>
      <c r="AB3102" s="23"/>
      <c r="AC3102" s="23"/>
      <c r="AD3102" s="23"/>
      <c r="AE3102" s="23"/>
      <c r="AF3102" s="23"/>
      <c r="AG3102" s="23"/>
      <c r="AH3102" s="23"/>
      <c r="AI3102" s="49"/>
    </row>
    <row r="3103" spans="1:35">
      <c r="A3103" s="23"/>
      <c r="B3103" s="42"/>
      <c r="C3103" s="49"/>
      <c r="E3103" s="49"/>
      <c r="G3103" s="43"/>
      <c r="H3103" s="44"/>
      <c r="L3103" s="42"/>
      <c r="M3103" s="42"/>
      <c r="N3103" s="25"/>
      <c r="O3103" s="54"/>
      <c r="P3103"/>
      <c r="Q3103" s="25"/>
      <c r="R3103" s="54"/>
      <c r="W3103" s="23"/>
      <c r="X3103" s="23"/>
      <c r="Y3103" s="23"/>
      <c r="Z3103" s="43"/>
      <c r="AA3103" s="23"/>
      <c r="AB3103" s="23"/>
      <c r="AC3103" s="23"/>
      <c r="AD3103" s="23"/>
      <c r="AE3103" s="23"/>
      <c r="AF3103" s="23"/>
      <c r="AG3103" s="23"/>
      <c r="AH3103" s="23"/>
      <c r="AI3103" s="49"/>
    </row>
    <row r="3104" spans="1:35">
      <c r="A3104" s="23"/>
      <c r="B3104" s="42"/>
      <c r="C3104" s="49"/>
      <c r="E3104" s="49"/>
      <c r="G3104" s="43"/>
      <c r="H3104" s="44"/>
      <c r="L3104" s="42"/>
      <c r="M3104" s="42"/>
      <c r="N3104" s="25"/>
      <c r="O3104" s="54"/>
      <c r="P3104"/>
      <c r="Q3104" s="25"/>
      <c r="R3104" s="54"/>
      <c r="W3104" s="23"/>
      <c r="X3104" s="23"/>
      <c r="Y3104" s="23"/>
      <c r="Z3104" s="43"/>
      <c r="AA3104" s="23"/>
      <c r="AB3104" s="23"/>
      <c r="AC3104" s="23"/>
      <c r="AD3104" s="23"/>
      <c r="AE3104" s="23"/>
      <c r="AF3104" s="23"/>
      <c r="AG3104" s="23"/>
      <c r="AH3104" s="23"/>
      <c r="AI3104" s="49"/>
    </row>
    <row r="3105" spans="1:35">
      <c r="A3105" s="23"/>
      <c r="B3105" s="42"/>
      <c r="C3105" s="49"/>
      <c r="E3105" s="49"/>
      <c r="G3105" s="43"/>
      <c r="H3105" s="44"/>
      <c r="L3105" s="42"/>
      <c r="M3105" s="42"/>
      <c r="N3105" s="25"/>
      <c r="O3105" s="54"/>
      <c r="P3105"/>
      <c r="Q3105" s="25"/>
      <c r="R3105" s="54"/>
      <c r="W3105" s="23"/>
      <c r="X3105" s="23"/>
      <c r="Y3105" s="23"/>
      <c r="Z3105" s="43"/>
      <c r="AA3105" s="23"/>
      <c r="AB3105" s="23"/>
      <c r="AC3105" s="23"/>
      <c r="AD3105" s="23"/>
      <c r="AE3105" s="23"/>
      <c r="AF3105" s="23"/>
      <c r="AG3105" s="23"/>
      <c r="AH3105" s="23"/>
      <c r="AI3105" s="49"/>
    </row>
    <row r="3106" spans="1:35">
      <c r="A3106" s="23"/>
      <c r="B3106" s="42"/>
      <c r="C3106" s="49"/>
      <c r="E3106" s="49"/>
      <c r="G3106" s="43"/>
      <c r="H3106" s="44"/>
      <c r="L3106" s="42"/>
      <c r="M3106" s="42"/>
      <c r="N3106" s="25"/>
      <c r="O3106" s="54"/>
      <c r="P3106"/>
      <c r="Q3106" s="25"/>
      <c r="R3106" s="54"/>
      <c r="W3106" s="23"/>
      <c r="X3106" s="23"/>
      <c r="Y3106" s="23"/>
      <c r="Z3106" s="43"/>
      <c r="AA3106" s="23"/>
      <c r="AB3106" s="23"/>
      <c r="AC3106" s="23"/>
      <c r="AD3106" s="23"/>
      <c r="AE3106" s="23"/>
      <c r="AF3106" s="23"/>
      <c r="AG3106" s="23"/>
      <c r="AH3106" s="23"/>
      <c r="AI3106" s="49"/>
    </row>
    <row r="3107" spans="1:35">
      <c r="A3107" s="23"/>
      <c r="B3107" s="42"/>
      <c r="C3107" s="49"/>
      <c r="E3107" s="49"/>
      <c r="G3107" s="43"/>
      <c r="H3107" s="44"/>
      <c r="L3107" s="42"/>
      <c r="M3107" s="42"/>
      <c r="N3107" s="25"/>
      <c r="O3107" s="54"/>
      <c r="P3107"/>
      <c r="Q3107" s="25"/>
      <c r="R3107" s="54"/>
      <c r="W3107" s="23"/>
      <c r="X3107" s="23"/>
      <c r="Y3107" s="23"/>
      <c r="Z3107" s="43"/>
      <c r="AA3107" s="23"/>
      <c r="AB3107" s="23"/>
      <c r="AC3107" s="23"/>
      <c r="AD3107" s="23"/>
      <c r="AE3107" s="23"/>
      <c r="AF3107" s="23"/>
      <c r="AG3107" s="23"/>
      <c r="AH3107" s="23"/>
      <c r="AI3107" s="49"/>
    </row>
    <row r="3108" spans="1:35">
      <c r="A3108" s="23"/>
      <c r="B3108" s="42"/>
      <c r="C3108" s="49"/>
      <c r="E3108" s="49"/>
      <c r="G3108" s="43"/>
      <c r="H3108" s="44"/>
      <c r="L3108" s="42"/>
      <c r="M3108" s="42"/>
      <c r="N3108" s="25"/>
      <c r="O3108" s="54"/>
      <c r="P3108"/>
      <c r="Q3108" s="25"/>
      <c r="R3108" s="54"/>
      <c r="W3108" s="23"/>
      <c r="X3108" s="23"/>
      <c r="Y3108" s="23"/>
      <c r="Z3108" s="43"/>
      <c r="AA3108" s="23"/>
      <c r="AB3108" s="23"/>
      <c r="AC3108" s="23"/>
      <c r="AD3108" s="23"/>
      <c r="AE3108" s="23"/>
      <c r="AF3108" s="23"/>
      <c r="AG3108" s="23"/>
      <c r="AH3108" s="23"/>
      <c r="AI3108" s="49"/>
    </row>
    <row r="3109" spans="1:35">
      <c r="A3109" s="23"/>
      <c r="B3109" s="42"/>
      <c r="C3109" s="49"/>
      <c r="E3109" s="49"/>
      <c r="G3109" s="43"/>
      <c r="H3109" s="44"/>
      <c r="L3109" s="42"/>
      <c r="M3109" s="42"/>
      <c r="N3109" s="25"/>
      <c r="O3109" s="54"/>
      <c r="P3109"/>
      <c r="Q3109" s="25"/>
      <c r="R3109" s="54"/>
      <c r="W3109" s="23"/>
      <c r="X3109" s="23"/>
      <c r="Y3109" s="23"/>
      <c r="Z3109" s="43"/>
      <c r="AA3109" s="23"/>
      <c r="AB3109" s="23"/>
      <c r="AC3109" s="23"/>
      <c r="AD3109" s="23"/>
      <c r="AE3109" s="23"/>
      <c r="AF3109" s="23"/>
      <c r="AG3109" s="23"/>
      <c r="AH3109" s="23"/>
      <c r="AI3109" s="49"/>
    </row>
    <row r="3110" spans="1:35">
      <c r="A3110" s="23"/>
      <c r="B3110" s="42"/>
      <c r="C3110" s="49"/>
      <c r="E3110" s="49"/>
      <c r="G3110" s="43"/>
      <c r="H3110" s="44"/>
      <c r="L3110" s="42"/>
      <c r="M3110" s="42"/>
      <c r="N3110" s="25"/>
      <c r="O3110" s="54"/>
      <c r="P3110"/>
      <c r="Q3110" s="25"/>
      <c r="R3110" s="54"/>
      <c r="W3110" s="23"/>
      <c r="X3110" s="23"/>
      <c r="Y3110" s="23"/>
      <c r="Z3110" s="43"/>
      <c r="AA3110" s="23"/>
      <c r="AB3110" s="23"/>
      <c r="AC3110" s="23"/>
      <c r="AD3110" s="23"/>
      <c r="AE3110" s="23"/>
      <c r="AF3110" s="23"/>
      <c r="AG3110" s="23"/>
      <c r="AH3110" s="23"/>
      <c r="AI3110" s="49"/>
    </row>
    <row r="3111" spans="1:35">
      <c r="A3111" s="23"/>
      <c r="B3111" s="42"/>
      <c r="C3111" s="49"/>
      <c r="E3111" s="49"/>
      <c r="G3111" s="43"/>
      <c r="H3111" s="44"/>
      <c r="L3111" s="42"/>
      <c r="M3111" s="42"/>
      <c r="N3111" s="25"/>
      <c r="O3111" s="54"/>
      <c r="P3111"/>
      <c r="Q3111" s="25"/>
      <c r="R3111" s="54"/>
      <c r="W3111" s="23"/>
      <c r="X3111" s="23"/>
      <c r="Y3111" s="23"/>
      <c r="Z3111" s="43"/>
      <c r="AA3111" s="23"/>
      <c r="AB3111" s="23"/>
      <c r="AC3111" s="23"/>
      <c r="AD3111" s="23"/>
      <c r="AE3111" s="23"/>
      <c r="AF3111" s="23"/>
      <c r="AG3111" s="23"/>
      <c r="AH3111" s="23"/>
      <c r="AI3111" s="49"/>
    </row>
    <row r="3112" spans="1:35">
      <c r="A3112" s="23"/>
      <c r="B3112" s="42"/>
      <c r="C3112" s="49"/>
      <c r="E3112" s="49"/>
      <c r="G3112" s="43"/>
      <c r="H3112" s="44"/>
      <c r="L3112" s="42"/>
      <c r="M3112" s="42"/>
      <c r="N3112" s="25"/>
      <c r="O3112" s="54"/>
      <c r="P3112"/>
      <c r="Q3112" s="25"/>
      <c r="R3112" s="54"/>
      <c r="W3112" s="23"/>
      <c r="X3112" s="23"/>
      <c r="Y3112" s="23"/>
      <c r="Z3112" s="43"/>
      <c r="AA3112" s="23"/>
      <c r="AB3112" s="23"/>
      <c r="AC3112" s="23"/>
      <c r="AD3112" s="23"/>
      <c r="AE3112" s="23"/>
      <c r="AF3112" s="23"/>
      <c r="AG3112" s="23"/>
      <c r="AH3112" s="23"/>
      <c r="AI3112" s="49"/>
    </row>
    <row r="3113" spans="1:35">
      <c r="A3113" s="23"/>
      <c r="B3113" s="42"/>
      <c r="C3113" s="49"/>
      <c r="E3113" s="49"/>
      <c r="G3113" s="43"/>
      <c r="H3113" s="44"/>
      <c r="L3113" s="42"/>
      <c r="M3113" s="42"/>
      <c r="N3113" s="25"/>
      <c r="O3113" s="54"/>
      <c r="P3113"/>
      <c r="Q3113" s="25"/>
      <c r="R3113" s="54"/>
      <c r="W3113" s="23"/>
      <c r="X3113" s="23"/>
      <c r="Y3113" s="23"/>
      <c r="Z3113" s="43"/>
      <c r="AA3113" s="23"/>
      <c r="AB3113" s="23"/>
      <c r="AC3113" s="23"/>
      <c r="AD3113" s="23"/>
      <c r="AE3113" s="23"/>
      <c r="AF3113" s="23"/>
      <c r="AG3113" s="23"/>
      <c r="AH3113" s="23"/>
      <c r="AI3113" s="49"/>
    </row>
    <row r="3114" spans="1:35">
      <c r="A3114" s="23"/>
      <c r="B3114" s="42"/>
      <c r="C3114" s="49"/>
      <c r="E3114" s="49"/>
      <c r="G3114" s="43"/>
      <c r="H3114" s="44"/>
      <c r="L3114" s="42"/>
      <c r="M3114" s="42"/>
      <c r="N3114" s="25"/>
      <c r="O3114" s="54"/>
      <c r="P3114"/>
      <c r="Q3114" s="25"/>
      <c r="R3114" s="54"/>
      <c r="W3114" s="23"/>
      <c r="X3114" s="23"/>
      <c r="Y3114" s="23"/>
      <c r="Z3114" s="43"/>
      <c r="AA3114" s="23"/>
      <c r="AB3114" s="23"/>
      <c r="AC3114" s="23"/>
      <c r="AD3114" s="23"/>
      <c r="AE3114" s="23"/>
      <c r="AF3114" s="23"/>
      <c r="AG3114" s="23"/>
      <c r="AH3114" s="23"/>
      <c r="AI3114" s="49"/>
    </row>
    <row r="3115" spans="1:35">
      <c r="A3115" s="23"/>
      <c r="B3115" s="42"/>
      <c r="C3115" s="49"/>
      <c r="E3115" s="49"/>
      <c r="G3115" s="43"/>
      <c r="H3115" s="44"/>
      <c r="L3115" s="42"/>
      <c r="M3115" s="42"/>
      <c r="N3115" s="25"/>
      <c r="O3115" s="54"/>
      <c r="P3115"/>
      <c r="Q3115" s="25"/>
      <c r="R3115" s="54"/>
      <c r="W3115" s="23"/>
      <c r="X3115" s="23"/>
      <c r="Y3115" s="23"/>
      <c r="Z3115" s="43"/>
      <c r="AA3115" s="23"/>
      <c r="AB3115" s="23"/>
      <c r="AC3115" s="23"/>
      <c r="AD3115" s="23"/>
      <c r="AE3115" s="23"/>
      <c r="AF3115" s="23"/>
      <c r="AG3115" s="23"/>
      <c r="AH3115" s="23"/>
      <c r="AI3115" s="49"/>
    </row>
    <row r="3116" spans="1:35">
      <c r="A3116" s="23"/>
      <c r="B3116" s="42"/>
      <c r="C3116" s="49"/>
      <c r="E3116" s="49"/>
      <c r="G3116" s="43"/>
      <c r="H3116" s="44"/>
      <c r="L3116" s="42"/>
      <c r="M3116" s="42"/>
      <c r="N3116" s="25"/>
      <c r="O3116" s="54"/>
      <c r="P3116"/>
      <c r="Q3116" s="25"/>
      <c r="R3116" s="54"/>
      <c r="W3116" s="23"/>
      <c r="X3116" s="23"/>
      <c r="Y3116" s="23"/>
      <c r="Z3116" s="43"/>
      <c r="AA3116" s="23"/>
      <c r="AB3116" s="23"/>
      <c r="AC3116" s="23"/>
      <c r="AD3116" s="23"/>
      <c r="AE3116" s="23"/>
      <c r="AF3116" s="23"/>
      <c r="AG3116" s="23"/>
      <c r="AH3116" s="23"/>
      <c r="AI3116" s="49"/>
    </row>
    <row r="3117" spans="1:35">
      <c r="A3117" s="23"/>
      <c r="B3117" s="42"/>
      <c r="C3117" s="49"/>
      <c r="E3117" s="49"/>
      <c r="G3117" s="43"/>
      <c r="H3117" s="44"/>
      <c r="L3117" s="42"/>
      <c r="M3117" s="42"/>
      <c r="N3117" s="25"/>
      <c r="O3117" s="54"/>
      <c r="P3117"/>
      <c r="Q3117" s="25"/>
      <c r="R3117" s="54"/>
      <c r="W3117" s="23"/>
      <c r="X3117" s="23"/>
      <c r="Y3117" s="23"/>
      <c r="Z3117" s="43"/>
      <c r="AA3117" s="23"/>
      <c r="AB3117" s="23"/>
      <c r="AC3117" s="23"/>
      <c r="AD3117" s="23"/>
      <c r="AE3117" s="23"/>
      <c r="AF3117" s="23"/>
      <c r="AG3117" s="23"/>
      <c r="AH3117" s="23"/>
      <c r="AI3117" s="49"/>
    </row>
    <row r="3118" spans="1:35">
      <c r="A3118" s="23"/>
      <c r="B3118" s="42"/>
      <c r="C3118" s="49"/>
      <c r="E3118" s="49"/>
      <c r="G3118" s="43"/>
      <c r="H3118" s="44"/>
      <c r="L3118" s="42"/>
      <c r="M3118" s="42"/>
      <c r="N3118" s="25"/>
      <c r="O3118" s="54"/>
      <c r="P3118"/>
      <c r="Q3118" s="25"/>
      <c r="R3118" s="54"/>
      <c r="W3118" s="23"/>
      <c r="X3118" s="23"/>
      <c r="Y3118" s="23"/>
      <c r="Z3118" s="43"/>
      <c r="AA3118" s="23"/>
      <c r="AB3118" s="23"/>
      <c r="AC3118" s="23"/>
      <c r="AD3118" s="23"/>
      <c r="AE3118" s="23"/>
      <c r="AF3118" s="23"/>
      <c r="AG3118" s="23"/>
      <c r="AH3118" s="23"/>
      <c r="AI3118" s="49"/>
    </row>
    <row r="3119" spans="1:35">
      <c r="A3119" s="23"/>
      <c r="B3119" s="42"/>
      <c r="C3119" s="49"/>
      <c r="E3119" s="49"/>
      <c r="G3119" s="43"/>
      <c r="H3119" s="44"/>
      <c r="L3119" s="42"/>
      <c r="M3119" s="42"/>
      <c r="N3119" s="25"/>
      <c r="O3119" s="54"/>
      <c r="P3119"/>
      <c r="Q3119" s="25"/>
      <c r="R3119" s="54"/>
      <c r="W3119" s="23"/>
      <c r="X3119" s="23"/>
      <c r="Y3119" s="23"/>
      <c r="Z3119" s="43"/>
      <c r="AA3119" s="23"/>
      <c r="AB3119" s="23"/>
      <c r="AC3119" s="23"/>
      <c r="AD3119" s="23"/>
      <c r="AE3119" s="23"/>
      <c r="AF3119" s="23"/>
      <c r="AG3119" s="23"/>
      <c r="AH3119" s="23"/>
      <c r="AI3119" s="49"/>
    </row>
    <row r="3120" spans="1:35">
      <c r="A3120" s="23"/>
      <c r="B3120" s="42"/>
      <c r="C3120" s="49"/>
      <c r="E3120" s="49"/>
      <c r="G3120" s="43"/>
      <c r="H3120" s="44"/>
      <c r="L3120" s="42"/>
      <c r="M3120" s="42"/>
      <c r="N3120" s="25"/>
      <c r="O3120" s="54"/>
      <c r="P3120"/>
      <c r="Q3120" s="25"/>
      <c r="R3120" s="54"/>
      <c r="W3120" s="23"/>
      <c r="X3120" s="23"/>
      <c r="Y3120" s="23"/>
      <c r="Z3120" s="43"/>
      <c r="AA3120" s="23"/>
      <c r="AB3120" s="23"/>
      <c r="AC3120" s="23"/>
      <c r="AD3120" s="23"/>
      <c r="AE3120" s="23"/>
      <c r="AF3120" s="23"/>
      <c r="AG3120" s="23"/>
      <c r="AH3120" s="23"/>
      <c r="AI3120" s="49"/>
    </row>
    <row r="3121" spans="1:35">
      <c r="A3121" s="23"/>
      <c r="B3121" s="42"/>
      <c r="C3121" s="49"/>
      <c r="E3121" s="49"/>
      <c r="G3121" s="43"/>
      <c r="H3121" s="44"/>
      <c r="L3121" s="42"/>
      <c r="M3121" s="42"/>
      <c r="N3121" s="25"/>
      <c r="O3121" s="54"/>
      <c r="P3121"/>
      <c r="Q3121" s="25"/>
      <c r="R3121" s="54"/>
      <c r="W3121" s="23"/>
      <c r="X3121" s="23"/>
      <c r="Y3121" s="23"/>
      <c r="Z3121" s="43"/>
      <c r="AA3121" s="23"/>
      <c r="AB3121" s="23"/>
      <c r="AC3121" s="23"/>
      <c r="AD3121" s="23"/>
      <c r="AE3121" s="23"/>
      <c r="AF3121" s="23"/>
      <c r="AG3121" s="23"/>
      <c r="AH3121" s="23"/>
      <c r="AI3121" s="49"/>
    </row>
    <row r="3122" spans="1:35">
      <c r="A3122" s="23"/>
      <c r="B3122" s="42"/>
      <c r="C3122" s="49"/>
      <c r="E3122" s="49"/>
      <c r="G3122" s="43"/>
      <c r="H3122" s="44"/>
      <c r="L3122" s="42"/>
      <c r="M3122" s="42"/>
      <c r="N3122" s="25"/>
      <c r="O3122" s="54"/>
      <c r="P3122"/>
      <c r="Q3122" s="25"/>
      <c r="R3122" s="54"/>
      <c r="W3122" s="23"/>
      <c r="X3122" s="23"/>
      <c r="Y3122" s="23"/>
      <c r="Z3122" s="43"/>
      <c r="AA3122" s="23"/>
      <c r="AB3122" s="23"/>
      <c r="AC3122" s="23"/>
      <c r="AD3122" s="23"/>
      <c r="AE3122" s="23"/>
      <c r="AF3122" s="23"/>
      <c r="AG3122" s="23"/>
      <c r="AH3122" s="23"/>
      <c r="AI3122" s="49"/>
    </row>
    <row r="3123" spans="1:35">
      <c r="A3123" s="23"/>
      <c r="B3123" s="42"/>
      <c r="C3123" s="49"/>
      <c r="E3123" s="49"/>
      <c r="G3123" s="43"/>
      <c r="H3123" s="44"/>
      <c r="L3123" s="42"/>
      <c r="M3123" s="42"/>
      <c r="N3123" s="25"/>
      <c r="O3123" s="54"/>
      <c r="P3123"/>
      <c r="Q3123" s="25"/>
      <c r="R3123" s="54"/>
      <c r="W3123" s="23"/>
      <c r="X3123" s="23"/>
      <c r="Y3123" s="23"/>
      <c r="Z3123" s="43"/>
      <c r="AA3123" s="23"/>
      <c r="AB3123" s="23"/>
      <c r="AC3123" s="23"/>
      <c r="AD3123" s="23"/>
      <c r="AE3123" s="23"/>
      <c r="AF3123" s="23"/>
      <c r="AG3123" s="23"/>
      <c r="AH3123" s="23"/>
      <c r="AI3123" s="49"/>
    </row>
    <row r="3124" spans="1:35">
      <c r="A3124" s="23"/>
      <c r="B3124" s="42"/>
      <c r="C3124" s="49"/>
      <c r="E3124" s="49"/>
      <c r="G3124" s="43"/>
      <c r="H3124" s="44"/>
      <c r="L3124" s="42"/>
      <c r="M3124" s="42"/>
      <c r="N3124" s="25"/>
      <c r="O3124" s="54"/>
      <c r="P3124"/>
      <c r="Q3124" s="25"/>
      <c r="R3124" s="54"/>
      <c r="W3124" s="23"/>
      <c r="X3124" s="23"/>
      <c r="Y3124" s="23"/>
      <c r="Z3124" s="43"/>
      <c r="AA3124" s="23"/>
      <c r="AB3124" s="23"/>
      <c r="AC3124" s="23"/>
      <c r="AD3124" s="23"/>
      <c r="AE3124" s="23"/>
      <c r="AF3124" s="23"/>
      <c r="AG3124" s="23"/>
      <c r="AH3124" s="23"/>
      <c r="AI3124" s="49"/>
    </row>
    <row r="3125" spans="1:35">
      <c r="A3125" s="23"/>
      <c r="B3125" s="42"/>
      <c r="C3125" s="49"/>
      <c r="E3125" s="49"/>
      <c r="G3125" s="43"/>
      <c r="H3125" s="44"/>
      <c r="L3125" s="42"/>
      <c r="M3125" s="42"/>
      <c r="N3125" s="25"/>
      <c r="O3125" s="54"/>
      <c r="P3125"/>
      <c r="Q3125" s="25"/>
      <c r="R3125" s="54"/>
      <c r="W3125" s="23"/>
      <c r="X3125" s="23"/>
      <c r="Y3125" s="23"/>
      <c r="Z3125" s="43"/>
      <c r="AA3125" s="23"/>
      <c r="AB3125" s="23"/>
      <c r="AC3125" s="23"/>
      <c r="AD3125" s="23"/>
      <c r="AE3125" s="23"/>
      <c r="AF3125" s="23"/>
      <c r="AG3125" s="23"/>
      <c r="AH3125" s="23"/>
      <c r="AI3125" s="49"/>
    </row>
    <row r="3126" spans="1:35">
      <c r="A3126" s="23"/>
      <c r="B3126" s="42"/>
      <c r="C3126" s="49"/>
      <c r="E3126" s="49"/>
      <c r="G3126" s="43"/>
      <c r="H3126" s="44"/>
      <c r="L3126" s="42"/>
      <c r="M3126" s="42"/>
      <c r="N3126" s="25"/>
      <c r="O3126" s="54"/>
      <c r="P3126"/>
      <c r="Q3126" s="25"/>
      <c r="R3126" s="54"/>
      <c r="W3126" s="23"/>
      <c r="X3126" s="23"/>
      <c r="Y3126" s="23"/>
      <c r="Z3126" s="43"/>
      <c r="AA3126" s="23"/>
      <c r="AB3126" s="23"/>
      <c r="AC3126" s="23"/>
      <c r="AD3126" s="23"/>
      <c r="AE3126" s="23"/>
      <c r="AF3126" s="23"/>
      <c r="AG3126" s="23"/>
      <c r="AH3126" s="23"/>
      <c r="AI3126" s="49"/>
    </row>
    <row r="3127" spans="1:35">
      <c r="A3127" s="23"/>
      <c r="B3127" s="42"/>
      <c r="C3127" s="49"/>
      <c r="E3127" s="49"/>
      <c r="G3127" s="43"/>
      <c r="H3127" s="44"/>
      <c r="L3127" s="42"/>
      <c r="M3127" s="42"/>
      <c r="N3127" s="25"/>
      <c r="O3127" s="54"/>
      <c r="P3127"/>
      <c r="Q3127" s="25"/>
      <c r="R3127" s="54"/>
      <c r="W3127" s="23"/>
      <c r="X3127" s="23"/>
      <c r="Y3127" s="23"/>
      <c r="Z3127" s="43"/>
      <c r="AA3127" s="23"/>
      <c r="AB3127" s="23"/>
      <c r="AC3127" s="23"/>
      <c r="AD3127" s="23"/>
      <c r="AE3127" s="23"/>
      <c r="AF3127" s="23"/>
      <c r="AG3127" s="23"/>
      <c r="AH3127" s="23"/>
      <c r="AI3127" s="49"/>
    </row>
    <row r="3128" spans="1:35">
      <c r="A3128" s="23"/>
      <c r="B3128" s="42"/>
      <c r="C3128" s="49"/>
      <c r="E3128" s="49"/>
      <c r="G3128" s="43"/>
      <c r="H3128" s="44"/>
      <c r="L3128" s="42"/>
      <c r="M3128" s="42"/>
      <c r="N3128" s="25"/>
      <c r="O3128" s="54"/>
      <c r="P3128"/>
      <c r="Q3128" s="25"/>
      <c r="R3128" s="54"/>
      <c r="W3128" s="23"/>
      <c r="X3128" s="23"/>
      <c r="Y3128" s="23"/>
      <c r="Z3128" s="43"/>
      <c r="AA3128" s="23"/>
      <c r="AB3128" s="23"/>
      <c r="AC3128" s="23"/>
      <c r="AD3128" s="23"/>
      <c r="AE3128" s="23"/>
      <c r="AF3128" s="23"/>
      <c r="AG3128" s="23"/>
      <c r="AH3128" s="23"/>
      <c r="AI3128" s="49"/>
    </row>
    <row r="3129" spans="1:35">
      <c r="A3129" s="23"/>
      <c r="B3129" s="42"/>
      <c r="C3129" s="49"/>
      <c r="E3129" s="49"/>
      <c r="G3129" s="43"/>
      <c r="H3129" s="44"/>
      <c r="L3129" s="42"/>
      <c r="M3129" s="42"/>
      <c r="N3129" s="25"/>
      <c r="O3129" s="54"/>
      <c r="P3129"/>
      <c r="Q3129" s="25"/>
      <c r="R3129" s="54"/>
      <c r="W3129" s="23"/>
      <c r="X3129" s="23"/>
      <c r="Y3129" s="23"/>
      <c r="Z3129" s="43"/>
      <c r="AA3129" s="23"/>
      <c r="AB3129" s="23"/>
      <c r="AC3129" s="23"/>
      <c r="AD3129" s="23"/>
      <c r="AE3129" s="23"/>
      <c r="AF3129" s="23"/>
      <c r="AG3129" s="23"/>
      <c r="AH3129" s="23"/>
      <c r="AI3129" s="49"/>
    </row>
    <row r="3130" spans="1:35">
      <c r="A3130" s="23"/>
      <c r="B3130" s="42"/>
      <c r="C3130" s="49"/>
      <c r="E3130" s="49"/>
      <c r="G3130" s="43"/>
      <c r="H3130" s="44"/>
      <c r="L3130" s="42"/>
      <c r="M3130" s="42"/>
      <c r="N3130" s="25"/>
      <c r="O3130" s="54"/>
      <c r="P3130"/>
      <c r="Q3130" s="25"/>
      <c r="R3130" s="54"/>
      <c r="W3130" s="23"/>
      <c r="X3130" s="23"/>
      <c r="Y3130" s="23"/>
      <c r="Z3130" s="43"/>
      <c r="AA3130" s="23"/>
      <c r="AB3130" s="23"/>
      <c r="AC3130" s="23"/>
      <c r="AD3130" s="23"/>
      <c r="AE3130" s="23"/>
      <c r="AF3130" s="23"/>
      <c r="AG3130" s="23"/>
      <c r="AH3130" s="23"/>
      <c r="AI3130" s="49"/>
    </row>
    <row r="3131" spans="1:35">
      <c r="A3131" s="23"/>
      <c r="B3131" s="42"/>
      <c r="C3131" s="49"/>
      <c r="E3131" s="49"/>
      <c r="G3131" s="43"/>
      <c r="H3131" s="44"/>
      <c r="L3131" s="42"/>
      <c r="M3131" s="42"/>
      <c r="N3131" s="25"/>
      <c r="O3131" s="54"/>
      <c r="P3131"/>
      <c r="Q3131" s="25"/>
      <c r="R3131" s="54"/>
      <c r="W3131" s="23"/>
      <c r="X3131" s="23"/>
      <c r="Y3131" s="23"/>
      <c r="Z3131" s="43"/>
      <c r="AA3131" s="23"/>
      <c r="AB3131" s="23"/>
      <c r="AC3131" s="23"/>
      <c r="AD3131" s="23"/>
      <c r="AE3131" s="23"/>
      <c r="AF3131" s="23"/>
      <c r="AG3131" s="23"/>
      <c r="AH3131" s="23"/>
      <c r="AI3131" s="49"/>
    </row>
    <row r="3132" spans="1:35">
      <c r="A3132" s="23"/>
      <c r="B3132" s="42"/>
      <c r="C3132" s="49"/>
      <c r="E3132" s="49"/>
      <c r="G3132" s="43"/>
      <c r="H3132" s="44"/>
      <c r="L3132" s="42"/>
      <c r="M3132" s="42"/>
      <c r="N3132" s="25"/>
      <c r="O3132" s="54"/>
      <c r="P3132"/>
      <c r="Q3132" s="25"/>
      <c r="R3132" s="54"/>
      <c r="W3132" s="23"/>
      <c r="X3132" s="23"/>
      <c r="Y3132" s="23"/>
      <c r="Z3132" s="43"/>
      <c r="AA3132" s="23"/>
      <c r="AB3132" s="23"/>
      <c r="AC3132" s="23"/>
      <c r="AD3132" s="23"/>
      <c r="AE3132" s="23"/>
      <c r="AF3132" s="23"/>
      <c r="AG3132" s="23"/>
      <c r="AH3132" s="23"/>
      <c r="AI3132" s="49"/>
    </row>
    <row r="3133" spans="1:35">
      <c r="A3133" s="23"/>
      <c r="B3133" s="42"/>
      <c r="C3133" s="49"/>
      <c r="E3133" s="49"/>
      <c r="G3133" s="43"/>
      <c r="H3133" s="44"/>
      <c r="L3133" s="42"/>
      <c r="M3133" s="42"/>
      <c r="N3133" s="25"/>
      <c r="O3133" s="54"/>
      <c r="P3133"/>
      <c r="Q3133" s="25"/>
      <c r="R3133" s="54"/>
      <c r="W3133" s="23"/>
      <c r="X3133" s="23"/>
      <c r="Y3133" s="23"/>
      <c r="Z3133" s="43"/>
      <c r="AA3133" s="23"/>
      <c r="AB3133" s="23"/>
      <c r="AC3133" s="23"/>
      <c r="AD3133" s="23"/>
      <c r="AE3133" s="23"/>
      <c r="AF3133" s="23"/>
      <c r="AG3133" s="23"/>
      <c r="AH3133" s="23"/>
      <c r="AI3133" s="49"/>
    </row>
    <row r="3134" spans="1:35">
      <c r="A3134" s="23"/>
      <c r="B3134" s="42"/>
      <c r="C3134" s="49"/>
      <c r="E3134" s="49"/>
      <c r="G3134" s="43"/>
      <c r="H3134" s="44"/>
      <c r="L3134" s="42"/>
      <c r="M3134" s="42"/>
      <c r="N3134" s="25"/>
      <c r="O3134" s="54"/>
      <c r="P3134"/>
      <c r="Q3134" s="25"/>
      <c r="R3134" s="54"/>
      <c r="W3134" s="23"/>
      <c r="X3134" s="23"/>
      <c r="Y3134" s="23"/>
      <c r="Z3134" s="43"/>
      <c r="AA3134" s="23"/>
      <c r="AB3134" s="23"/>
      <c r="AC3134" s="23"/>
      <c r="AD3134" s="23"/>
      <c r="AE3134" s="23"/>
      <c r="AF3134" s="23"/>
      <c r="AG3134" s="23"/>
      <c r="AH3134" s="23"/>
      <c r="AI3134" s="49"/>
    </row>
    <row r="3135" spans="1:35">
      <c r="A3135" s="23"/>
      <c r="B3135" s="42"/>
      <c r="C3135" s="49"/>
      <c r="E3135" s="49"/>
      <c r="G3135" s="43"/>
      <c r="H3135" s="44"/>
      <c r="L3135" s="42"/>
      <c r="M3135" s="42"/>
      <c r="N3135" s="25"/>
      <c r="O3135" s="54"/>
      <c r="P3135"/>
      <c r="Q3135" s="25"/>
      <c r="R3135" s="54"/>
      <c r="W3135" s="23"/>
      <c r="X3135" s="23"/>
      <c r="Y3135" s="23"/>
      <c r="Z3135" s="43"/>
      <c r="AA3135" s="23"/>
      <c r="AB3135" s="23"/>
      <c r="AC3135" s="23"/>
      <c r="AD3135" s="23"/>
      <c r="AE3135" s="23"/>
      <c r="AF3135" s="23"/>
      <c r="AG3135" s="23"/>
      <c r="AH3135" s="23"/>
      <c r="AI3135" s="49"/>
    </row>
    <row r="3136" spans="1:35">
      <c r="A3136" s="23"/>
      <c r="B3136" s="42"/>
      <c r="C3136" s="49"/>
      <c r="E3136" s="49"/>
      <c r="G3136" s="43"/>
      <c r="H3136" s="44"/>
      <c r="L3136" s="42"/>
      <c r="M3136" s="42"/>
      <c r="N3136" s="25"/>
      <c r="O3136" s="54"/>
      <c r="P3136"/>
      <c r="Q3136" s="25"/>
      <c r="R3136" s="54"/>
      <c r="W3136" s="23"/>
      <c r="X3136" s="23"/>
      <c r="Y3136" s="23"/>
      <c r="Z3136" s="43"/>
      <c r="AA3136" s="23"/>
      <c r="AB3136" s="23"/>
      <c r="AC3136" s="23"/>
      <c r="AD3136" s="23"/>
      <c r="AE3136" s="23"/>
      <c r="AF3136" s="23"/>
      <c r="AG3136" s="23"/>
      <c r="AH3136" s="23"/>
      <c r="AI3136" s="49"/>
    </row>
    <row r="3137" spans="1:35">
      <c r="A3137" s="23"/>
      <c r="B3137" s="42"/>
      <c r="C3137" s="49"/>
      <c r="E3137" s="49"/>
      <c r="G3137" s="43"/>
      <c r="H3137" s="44"/>
      <c r="L3137" s="42"/>
      <c r="M3137" s="42"/>
      <c r="N3137" s="25"/>
      <c r="O3137" s="54"/>
      <c r="P3137"/>
      <c r="Q3137" s="25"/>
      <c r="R3137" s="54"/>
      <c r="W3137" s="23"/>
      <c r="X3137" s="23"/>
      <c r="Y3137" s="23"/>
      <c r="Z3137" s="43"/>
      <c r="AA3137" s="23"/>
      <c r="AB3137" s="23"/>
      <c r="AC3137" s="23"/>
      <c r="AD3137" s="23"/>
      <c r="AE3137" s="23"/>
      <c r="AF3137" s="23"/>
      <c r="AG3137" s="23"/>
      <c r="AH3137" s="23"/>
      <c r="AI3137" s="49"/>
    </row>
    <row r="3138" spans="1:35">
      <c r="A3138" s="23"/>
      <c r="B3138" s="42"/>
      <c r="C3138" s="49"/>
      <c r="E3138" s="49"/>
      <c r="G3138" s="43"/>
      <c r="H3138" s="44"/>
      <c r="L3138" s="42"/>
      <c r="M3138" s="42"/>
      <c r="N3138" s="25"/>
      <c r="O3138" s="54"/>
      <c r="P3138"/>
      <c r="Q3138" s="25"/>
      <c r="R3138" s="54"/>
      <c r="W3138" s="23"/>
      <c r="X3138" s="23"/>
      <c r="Y3138" s="23"/>
      <c r="Z3138" s="43"/>
      <c r="AA3138" s="23"/>
      <c r="AB3138" s="23"/>
      <c r="AC3138" s="23"/>
      <c r="AD3138" s="23"/>
      <c r="AE3138" s="23"/>
      <c r="AF3138" s="23"/>
      <c r="AG3138" s="23"/>
      <c r="AH3138" s="23"/>
      <c r="AI3138" s="49"/>
    </row>
    <row r="3139" spans="1:35">
      <c r="A3139" s="23"/>
      <c r="B3139" s="42"/>
      <c r="C3139" s="49"/>
      <c r="E3139" s="49"/>
      <c r="G3139" s="43"/>
      <c r="H3139" s="44"/>
      <c r="L3139" s="42"/>
      <c r="M3139" s="42"/>
      <c r="N3139" s="25"/>
      <c r="O3139" s="54"/>
      <c r="P3139"/>
      <c r="Q3139" s="25"/>
      <c r="R3139" s="54"/>
      <c r="W3139" s="23"/>
      <c r="X3139" s="23"/>
      <c r="Y3139" s="23"/>
      <c r="Z3139" s="43"/>
      <c r="AA3139" s="23"/>
      <c r="AB3139" s="23"/>
      <c r="AC3139" s="23"/>
      <c r="AD3139" s="23"/>
      <c r="AE3139" s="23"/>
      <c r="AF3139" s="23"/>
      <c r="AG3139" s="23"/>
      <c r="AH3139" s="23"/>
      <c r="AI3139" s="49"/>
    </row>
    <row r="3140" spans="1:35">
      <c r="A3140" s="23"/>
      <c r="B3140" s="42"/>
      <c r="C3140" s="49"/>
      <c r="E3140" s="49"/>
      <c r="G3140" s="43"/>
      <c r="H3140" s="44"/>
      <c r="L3140" s="42"/>
      <c r="M3140" s="42"/>
      <c r="N3140" s="25"/>
      <c r="O3140" s="54"/>
      <c r="P3140"/>
      <c r="Q3140" s="25"/>
      <c r="R3140" s="54"/>
      <c r="W3140" s="23"/>
      <c r="X3140" s="23"/>
      <c r="Y3140" s="23"/>
      <c r="Z3140" s="43"/>
      <c r="AA3140" s="23"/>
      <c r="AB3140" s="23"/>
      <c r="AC3140" s="23"/>
      <c r="AD3140" s="23"/>
      <c r="AE3140" s="23"/>
      <c r="AF3140" s="23"/>
      <c r="AG3140" s="23"/>
      <c r="AH3140" s="23"/>
      <c r="AI3140" s="49"/>
    </row>
    <row r="3141" spans="1:35">
      <c r="A3141" s="23"/>
      <c r="B3141" s="42"/>
      <c r="C3141" s="49"/>
      <c r="E3141" s="49"/>
      <c r="G3141" s="43"/>
      <c r="H3141" s="44"/>
      <c r="L3141" s="42"/>
      <c r="M3141" s="42"/>
      <c r="N3141" s="25"/>
      <c r="O3141" s="54"/>
      <c r="P3141"/>
      <c r="Q3141" s="25"/>
      <c r="R3141" s="54"/>
      <c r="W3141" s="23"/>
      <c r="X3141" s="23"/>
      <c r="Y3141" s="23"/>
      <c r="Z3141" s="43"/>
      <c r="AA3141" s="23"/>
      <c r="AB3141" s="23"/>
      <c r="AC3141" s="23"/>
      <c r="AD3141" s="23"/>
      <c r="AE3141" s="23"/>
      <c r="AF3141" s="23"/>
      <c r="AG3141" s="23"/>
      <c r="AH3141" s="23"/>
      <c r="AI3141" s="49"/>
    </row>
    <row r="3142" spans="1:35">
      <c r="A3142" s="23"/>
      <c r="B3142" s="42"/>
      <c r="C3142" s="49"/>
      <c r="E3142" s="49"/>
      <c r="G3142" s="43"/>
      <c r="H3142" s="44"/>
      <c r="L3142" s="42"/>
      <c r="M3142" s="42"/>
      <c r="N3142" s="25"/>
      <c r="O3142" s="54"/>
      <c r="P3142"/>
      <c r="Q3142" s="25"/>
      <c r="R3142" s="54"/>
      <c r="W3142" s="23"/>
      <c r="X3142" s="23"/>
      <c r="Y3142" s="23"/>
      <c r="Z3142" s="43"/>
      <c r="AA3142" s="23"/>
      <c r="AB3142" s="23"/>
      <c r="AC3142" s="23"/>
      <c r="AD3142" s="23"/>
      <c r="AE3142" s="23"/>
      <c r="AF3142" s="23"/>
      <c r="AG3142" s="23"/>
      <c r="AH3142" s="23"/>
      <c r="AI3142" s="49"/>
    </row>
    <row r="3143" spans="1:35">
      <c r="A3143" s="23"/>
      <c r="B3143" s="42"/>
      <c r="C3143" s="49"/>
      <c r="E3143" s="49"/>
      <c r="G3143" s="43"/>
      <c r="H3143" s="44"/>
      <c r="L3143" s="42"/>
      <c r="M3143" s="42"/>
      <c r="N3143" s="25"/>
      <c r="O3143" s="54"/>
      <c r="P3143"/>
      <c r="Q3143" s="25"/>
      <c r="R3143" s="54"/>
      <c r="W3143" s="23"/>
      <c r="X3143" s="23"/>
      <c r="Y3143" s="23"/>
      <c r="Z3143" s="43"/>
      <c r="AA3143" s="23"/>
      <c r="AB3143" s="23"/>
      <c r="AC3143" s="23"/>
      <c r="AD3143" s="23"/>
      <c r="AE3143" s="23"/>
      <c r="AF3143" s="23"/>
      <c r="AG3143" s="23"/>
      <c r="AH3143" s="23"/>
      <c r="AI3143" s="49"/>
    </row>
    <row r="3144" spans="1:35">
      <c r="A3144" s="23"/>
      <c r="B3144" s="42"/>
      <c r="C3144" s="49"/>
      <c r="E3144" s="49"/>
      <c r="G3144" s="43"/>
      <c r="H3144" s="44"/>
      <c r="L3144" s="42"/>
      <c r="M3144" s="42"/>
      <c r="N3144" s="25"/>
      <c r="O3144" s="54"/>
      <c r="P3144"/>
      <c r="Q3144" s="25"/>
      <c r="R3144" s="54"/>
      <c r="W3144" s="23"/>
      <c r="X3144" s="23"/>
      <c r="Y3144" s="23"/>
      <c r="Z3144" s="43"/>
      <c r="AA3144" s="23"/>
      <c r="AB3144" s="23"/>
      <c r="AC3144" s="23"/>
      <c r="AD3144" s="23"/>
      <c r="AE3144" s="23"/>
      <c r="AF3144" s="23"/>
      <c r="AG3144" s="23"/>
      <c r="AH3144" s="23"/>
      <c r="AI3144" s="49"/>
    </row>
    <row r="3145" spans="1:35">
      <c r="A3145" s="23"/>
      <c r="B3145" s="42"/>
      <c r="C3145" s="49"/>
      <c r="E3145" s="49"/>
      <c r="G3145" s="43"/>
      <c r="H3145" s="44"/>
      <c r="L3145" s="42"/>
      <c r="M3145" s="42"/>
      <c r="N3145" s="25"/>
      <c r="O3145" s="54"/>
      <c r="P3145"/>
      <c r="Q3145" s="25"/>
      <c r="R3145" s="54"/>
      <c r="W3145" s="23"/>
      <c r="X3145" s="23"/>
      <c r="Y3145" s="23"/>
      <c r="Z3145" s="43"/>
      <c r="AA3145" s="23"/>
      <c r="AB3145" s="23"/>
      <c r="AC3145" s="23"/>
      <c r="AD3145" s="23"/>
      <c r="AE3145" s="23"/>
      <c r="AF3145" s="23"/>
      <c r="AG3145" s="23"/>
      <c r="AH3145" s="23"/>
      <c r="AI3145" s="49"/>
    </row>
    <row r="3146" spans="1:35">
      <c r="A3146" s="23"/>
      <c r="B3146" s="42"/>
      <c r="C3146" s="49"/>
      <c r="E3146" s="49"/>
      <c r="G3146" s="43"/>
      <c r="H3146" s="44"/>
      <c r="L3146" s="42"/>
      <c r="M3146" s="42"/>
      <c r="N3146" s="25"/>
      <c r="O3146" s="54"/>
      <c r="P3146"/>
      <c r="Q3146" s="25"/>
      <c r="R3146" s="54"/>
      <c r="W3146" s="23"/>
      <c r="X3146" s="23"/>
      <c r="Y3146" s="23"/>
      <c r="Z3146" s="43"/>
      <c r="AA3146" s="23"/>
      <c r="AB3146" s="23"/>
      <c r="AC3146" s="23"/>
      <c r="AD3146" s="23"/>
      <c r="AE3146" s="23"/>
      <c r="AF3146" s="23"/>
      <c r="AG3146" s="23"/>
      <c r="AH3146" s="23"/>
      <c r="AI3146" s="49"/>
    </row>
    <row r="3147" spans="1:35">
      <c r="A3147" s="23"/>
      <c r="B3147" s="42"/>
      <c r="C3147" s="49"/>
      <c r="E3147" s="49"/>
      <c r="G3147" s="43"/>
      <c r="H3147" s="44"/>
      <c r="L3147" s="42"/>
      <c r="M3147" s="42"/>
      <c r="N3147" s="25"/>
      <c r="O3147" s="54"/>
      <c r="P3147"/>
      <c r="Q3147" s="25"/>
      <c r="R3147" s="54"/>
      <c r="W3147" s="23"/>
      <c r="X3147" s="23"/>
      <c r="Y3147" s="23"/>
      <c r="Z3147" s="43"/>
      <c r="AA3147" s="23"/>
      <c r="AB3147" s="23"/>
      <c r="AC3147" s="23"/>
      <c r="AD3147" s="23"/>
      <c r="AE3147" s="23"/>
      <c r="AF3147" s="23"/>
      <c r="AG3147" s="23"/>
      <c r="AH3147" s="23"/>
      <c r="AI3147" s="49"/>
    </row>
    <row r="3148" spans="1:35">
      <c r="A3148" s="23"/>
      <c r="B3148" s="42"/>
      <c r="C3148" s="49"/>
      <c r="E3148" s="49"/>
      <c r="G3148" s="43"/>
      <c r="H3148" s="44"/>
      <c r="L3148" s="42"/>
      <c r="M3148" s="42"/>
      <c r="N3148" s="25"/>
      <c r="O3148" s="54"/>
      <c r="P3148"/>
      <c r="Q3148" s="25"/>
      <c r="R3148" s="54"/>
      <c r="W3148" s="23"/>
      <c r="X3148" s="23"/>
      <c r="Y3148" s="23"/>
      <c r="Z3148" s="43"/>
      <c r="AA3148" s="23"/>
      <c r="AB3148" s="23"/>
      <c r="AC3148" s="23"/>
      <c r="AD3148" s="23"/>
      <c r="AE3148" s="23"/>
      <c r="AF3148" s="23"/>
      <c r="AG3148" s="23"/>
      <c r="AH3148" s="23"/>
      <c r="AI3148" s="49"/>
    </row>
    <row r="3149" spans="1:35">
      <c r="A3149" s="23"/>
      <c r="B3149" s="42"/>
      <c r="C3149" s="49"/>
      <c r="E3149" s="49"/>
      <c r="G3149" s="43"/>
      <c r="H3149" s="44"/>
      <c r="L3149" s="42"/>
      <c r="M3149" s="42"/>
      <c r="N3149" s="25"/>
      <c r="O3149" s="54"/>
      <c r="P3149"/>
      <c r="Q3149" s="25"/>
      <c r="R3149" s="54"/>
      <c r="W3149" s="23"/>
      <c r="X3149" s="23"/>
      <c r="Y3149" s="23"/>
      <c r="Z3149" s="43"/>
      <c r="AA3149" s="23"/>
      <c r="AB3149" s="23"/>
      <c r="AC3149" s="23"/>
      <c r="AD3149" s="23"/>
      <c r="AE3149" s="23"/>
      <c r="AF3149" s="23"/>
      <c r="AG3149" s="23"/>
      <c r="AH3149" s="23"/>
      <c r="AI3149" s="49"/>
    </row>
    <row r="3150" spans="1:35">
      <c r="A3150" s="23"/>
      <c r="B3150" s="42"/>
      <c r="C3150" s="49"/>
      <c r="E3150" s="49"/>
      <c r="G3150" s="43"/>
      <c r="H3150" s="44"/>
      <c r="L3150" s="42"/>
      <c r="M3150" s="42"/>
      <c r="N3150" s="25"/>
      <c r="O3150" s="54"/>
      <c r="P3150"/>
      <c r="Q3150" s="25"/>
      <c r="R3150" s="54"/>
      <c r="W3150" s="23"/>
      <c r="X3150" s="23"/>
      <c r="Y3150" s="23"/>
      <c r="Z3150" s="43"/>
      <c r="AA3150" s="23"/>
      <c r="AB3150" s="23"/>
      <c r="AC3150" s="23"/>
      <c r="AD3150" s="23"/>
      <c r="AE3150" s="23"/>
      <c r="AF3150" s="23"/>
      <c r="AG3150" s="23"/>
      <c r="AH3150" s="23"/>
      <c r="AI3150" s="49"/>
    </row>
    <row r="3151" spans="1:35">
      <c r="A3151" s="23"/>
      <c r="B3151" s="42"/>
      <c r="C3151" s="49"/>
      <c r="E3151" s="49"/>
      <c r="G3151" s="43"/>
      <c r="H3151" s="44"/>
      <c r="L3151" s="42"/>
      <c r="M3151" s="42"/>
      <c r="N3151" s="25"/>
      <c r="O3151" s="54"/>
      <c r="P3151"/>
      <c r="Q3151" s="25"/>
      <c r="R3151" s="54"/>
      <c r="W3151" s="23"/>
      <c r="X3151" s="23"/>
      <c r="Y3151" s="23"/>
      <c r="Z3151" s="43"/>
      <c r="AA3151" s="23"/>
      <c r="AB3151" s="23"/>
      <c r="AC3151" s="23"/>
      <c r="AD3151" s="23"/>
      <c r="AE3151" s="23"/>
      <c r="AF3151" s="23"/>
      <c r="AG3151" s="23"/>
      <c r="AH3151" s="23"/>
      <c r="AI3151" s="49"/>
    </row>
    <row r="3152" spans="1:35">
      <c r="A3152" s="23"/>
      <c r="B3152" s="42"/>
      <c r="C3152" s="49"/>
      <c r="E3152" s="49"/>
      <c r="G3152" s="43"/>
      <c r="H3152" s="44"/>
      <c r="L3152" s="42"/>
      <c r="M3152" s="42"/>
      <c r="N3152" s="25"/>
      <c r="O3152" s="54"/>
      <c r="P3152"/>
      <c r="Q3152" s="25"/>
      <c r="R3152" s="54"/>
      <c r="W3152" s="23"/>
      <c r="X3152" s="23"/>
      <c r="Y3152" s="23"/>
      <c r="Z3152" s="43"/>
      <c r="AA3152" s="23"/>
      <c r="AB3152" s="23"/>
      <c r="AC3152" s="23"/>
      <c r="AD3152" s="23"/>
      <c r="AE3152" s="23"/>
      <c r="AF3152" s="23"/>
      <c r="AG3152" s="23"/>
      <c r="AH3152" s="23"/>
      <c r="AI3152" s="49"/>
    </row>
    <row r="3153" spans="1:35">
      <c r="A3153" s="23"/>
      <c r="B3153" s="42"/>
      <c r="C3153" s="49"/>
      <c r="E3153" s="49"/>
      <c r="G3153" s="43"/>
      <c r="H3153" s="44"/>
      <c r="L3153" s="42"/>
      <c r="M3153" s="42"/>
      <c r="N3153" s="25"/>
      <c r="O3153" s="54"/>
      <c r="P3153"/>
      <c r="Q3153" s="25"/>
      <c r="R3153" s="54"/>
      <c r="W3153" s="23"/>
      <c r="X3153" s="23"/>
      <c r="Y3153" s="23"/>
      <c r="Z3153" s="43"/>
      <c r="AA3153" s="23"/>
      <c r="AB3153" s="23"/>
      <c r="AC3153" s="23"/>
      <c r="AD3153" s="23"/>
      <c r="AE3153" s="23"/>
      <c r="AF3153" s="23"/>
      <c r="AG3153" s="23"/>
      <c r="AH3153" s="23"/>
      <c r="AI3153" s="49"/>
    </row>
    <row r="3154" spans="1:35">
      <c r="A3154" s="23"/>
      <c r="B3154" s="42"/>
      <c r="C3154" s="49"/>
      <c r="E3154" s="49"/>
      <c r="G3154" s="43"/>
      <c r="H3154" s="44"/>
      <c r="L3154" s="42"/>
      <c r="M3154" s="42"/>
      <c r="N3154" s="25"/>
      <c r="O3154" s="54"/>
      <c r="P3154"/>
      <c r="Q3154" s="25"/>
      <c r="R3154" s="54"/>
      <c r="W3154" s="23"/>
      <c r="X3154" s="23"/>
      <c r="Y3154" s="23"/>
      <c r="Z3154" s="43"/>
      <c r="AA3154" s="23"/>
      <c r="AB3154" s="23"/>
      <c r="AC3154" s="23"/>
      <c r="AD3154" s="23"/>
      <c r="AE3154" s="23"/>
      <c r="AF3154" s="23"/>
      <c r="AG3154" s="23"/>
      <c r="AH3154" s="23"/>
      <c r="AI3154" s="49"/>
    </row>
    <row r="3155" spans="1:35">
      <c r="A3155" s="23"/>
      <c r="B3155" s="42"/>
      <c r="C3155" s="49"/>
      <c r="E3155" s="49"/>
      <c r="G3155" s="43"/>
      <c r="H3155" s="44"/>
      <c r="L3155" s="42"/>
      <c r="M3155" s="42"/>
      <c r="N3155" s="25"/>
      <c r="O3155" s="54"/>
      <c r="P3155"/>
      <c r="Q3155" s="25"/>
      <c r="R3155" s="54"/>
      <c r="W3155" s="23"/>
      <c r="X3155" s="23"/>
      <c r="Y3155" s="23"/>
      <c r="Z3155" s="43"/>
      <c r="AA3155" s="23"/>
      <c r="AB3155" s="23"/>
      <c r="AC3155" s="23"/>
      <c r="AD3155" s="23"/>
      <c r="AE3155" s="23"/>
      <c r="AF3155" s="23"/>
      <c r="AG3155" s="23"/>
      <c r="AH3155" s="23"/>
      <c r="AI3155" s="49"/>
    </row>
    <row r="3156" spans="1:35">
      <c r="A3156" s="23"/>
      <c r="B3156" s="42"/>
      <c r="C3156" s="49"/>
      <c r="E3156" s="49"/>
      <c r="G3156" s="43"/>
      <c r="H3156" s="44"/>
      <c r="L3156" s="42"/>
      <c r="M3156" s="42"/>
      <c r="N3156" s="25"/>
      <c r="O3156" s="54"/>
      <c r="P3156"/>
      <c r="Q3156" s="25"/>
      <c r="R3156" s="54"/>
      <c r="W3156" s="23"/>
      <c r="X3156" s="23"/>
      <c r="Y3156" s="23"/>
      <c r="Z3156" s="43"/>
      <c r="AA3156" s="23"/>
      <c r="AB3156" s="23"/>
      <c r="AC3156" s="23"/>
      <c r="AD3156" s="23"/>
      <c r="AE3156" s="23"/>
      <c r="AF3156" s="23"/>
      <c r="AG3156" s="23"/>
      <c r="AH3156" s="23"/>
      <c r="AI3156" s="49"/>
    </row>
    <row r="3157" spans="1:35">
      <c r="A3157" s="23"/>
      <c r="B3157" s="42"/>
      <c r="C3157" s="49"/>
      <c r="E3157" s="49"/>
      <c r="G3157" s="43"/>
      <c r="H3157" s="44"/>
      <c r="L3157" s="42"/>
      <c r="M3157" s="42"/>
      <c r="N3157" s="25"/>
      <c r="O3157" s="54"/>
      <c r="P3157"/>
      <c r="Q3157" s="25"/>
      <c r="R3157" s="54"/>
      <c r="W3157" s="23"/>
      <c r="X3157" s="23"/>
      <c r="Y3157" s="23"/>
      <c r="Z3157" s="43"/>
      <c r="AA3157" s="23"/>
      <c r="AB3157" s="23"/>
      <c r="AC3157" s="23"/>
      <c r="AD3157" s="23"/>
      <c r="AE3157" s="23"/>
      <c r="AF3157" s="23"/>
      <c r="AG3157" s="23"/>
      <c r="AH3157" s="23"/>
      <c r="AI3157" s="49"/>
    </row>
    <row r="3158" spans="1:35">
      <c r="A3158" s="23"/>
      <c r="B3158" s="42"/>
      <c r="C3158" s="49"/>
      <c r="E3158" s="49"/>
      <c r="G3158" s="43"/>
      <c r="H3158" s="44"/>
      <c r="L3158" s="42"/>
      <c r="M3158" s="42"/>
      <c r="N3158" s="25"/>
      <c r="O3158" s="54"/>
      <c r="P3158"/>
      <c r="Q3158" s="25"/>
      <c r="R3158" s="54"/>
      <c r="W3158" s="23"/>
      <c r="X3158" s="23"/>
      <c r="Y3158" s="23"/>
      <c r="Z3158" s="43"/>
      <c r="AA3158" s="23"/>
      <c r="AB3158" s="23"/>
      <c r="AC3158" s="23"/>
      <c r="AD3158" s="23"/>
      <c r="AE3158" s="23"/>
      <c r="AF3158" s="23"/>
      <c r="AG3158" s="23"/>
      <c r="AH3158" s="23"/>
      <c r="AI3158" s="49"/>
    </row>
    <row r="3159" spans="1:35">
      <c r="A3159" s="23"/>
      <c r="B3159" s="42"/>
      <c r="C3159" s="49"/>
      <c r="E3159" s="49"/>
      <c r="G3159" s="43"/>
      <c r="H3159" s="44"/>
      <c r="L3159" s="42"/>
      <c r="M3159" s="42"/>
      <c r="N3159" s="25"/>
      <c r="O3159" s="54"/>
      <c r="P3159"/>
      <c r="Q3159" s="25"/>
      <c r="R3159" s="54"/>
      <c r="W3159" s="23"/>
      <c r="X3159" s="23"/>
      <c r="Y3159" s="23"/>
      <c r="Z3159" s="43"/>
      <c r="AA3159" s="23"/>
      <c r="AB3159" s="23"/>
      <c r="AC3159" s="23"/>
      <c r="AD3159" s="23"/>
      <c r="AE3159" s="23"/>
      <c r="AF3159" s="23"/>
      <c r="AG3159" s="23"/>
      <c r="AH3159" s="23"/>
      <c r="AI3159" s="49"/>
    </row>
    <row r="3160" spans="1:35">
      <c r="A3160" s="23"/>
      <c r="B3160" s="42"/>
      <c r="C3160" s="49"/>
      <c r="E3160" s="49"/>
      <c r="G3160" s="43"/>
      <c r="H3160" s="44"/>
      <c r="L3160" s="42"/>
      <c r="M3160" s="42"/>
      <c r="N3160" s="25"/>
      <c r="O3160" s="54"/>
      <c r="P3160"/>
      <c r="Q3160" s="25"/>
      <c r="R3160" s="54"/>
      <c r="W3160" s="23"/>
      <c r="X3160" s="23"/>
      <c r="Y3160" s="23"/>
      <c r="Z3160" s="43"/>
      <c r="AA3160" s="23"/>
      <c r="AB3160" s="23"/>
      <c r="AC3160" s="23"/>
      <c r="AD3160" s="23"/>
      <c r="AE3160" s="23"/>
      <c r="AF3160" s="23"/>
      <c r="AG3160" s="23"/>
      <c r="AH3160" s="23"/>
      <c r="AI3160" s="49"/>
    </row>
    <row r="3161" spans="1:35">
      <c r="A3161" s="23"/>
      <c r="B3161" s="42"/>
      <c r="C3161" s="49"/>
      <c r="E3161" s="49"/>
      <c r="G3161" s="43"/>
      <c r="H3161" s="44"/>
      <c r="L3161" s="42"/>
      <c r="M3161" s="42"/>
      <c r="N3161" s="25"/>
      <c r="O3161" s="54"/>
      <c r="P3161"/>
      <c r="Q3161" s="25"/>
      <c r="R3161" s="54"/>
      <c r="W3161" s="23"/>
      <c r="X3161" s="23"/>
      <c r="Y3161" s="23"/>
      <c r="Z3161" s="43"/>
      <c r="AA3161" s="23"/>
      <c r="AB3161" s="23"/>
      <c r="AC3161" s="23"/>
      <c r="AD3161" s="23"/>
      <c r="AE3161" s="23"/>
      <c r="AF3161" s="23"/>
      <c r="AG3161" s="23"/>
      <c r="AH3161" s="23"/>
      <c r="AI3161" s="49"/>
    </row>
    <row r="3162" spans="1:35">
      <c r="A3162" s="23"/>
      <c r="B3162" s="42"/>
      <c r="C3162" s="49"/>
      <c r="E3162" s="49"/>
      <c r="G3162" s="43"/>
      <c r="H3162" s="44"/>
      <c r="L3162" s="42"/>
      <c r="M3162" s="42"/>
      <c r="N3162" s="25"/>
      <c r="O3162" s="54"/>
      <c r="P3162"/>
      <c r="Q3162" s="25"/>
      <c r="R3162" s="54"/>
      <c r="W3162" s="23"/>
      <c r="X3162" s="23"/>
      <c r="Y3162" s="23"/>
      <c r="Z3162" s="43"/>
      <c r="AA3162" s="23"/>
      <c r="AB3162" s="23"/>
      <c r="AC3162" s="23"/>
      <c r="AD3162" s="23"/>
      <c r="AE3162" s="23"/>
      <c r="AF3162" s="23"/>
      <c r="AG3162" s="23"/>
      <c r="AH3162" s="23"/>
      <c r="AI3162" s="49"/>
    </row>
    <row r="3163" spans="1:35">
      <c r="A3163" s="23"/>
      <c r="B3163" s="42"/>
      <c r="C3163" s="49"/>
      <c r="E3163" s="49"/>
      <c r="G3163" s="43"/>
      <c r="H3163" s="44"/>
      <c r="L3163" s="42"/>
      <c r="M3163" s="42"/>
      <c r="N3163" s="25"/>
      <c r="O3163" s="54"/>
      <c r="P3163"/>
      <c r="Q3163" s="25"/>
      <c r="R3163" s="54"/>
      <c r="W3163" s="23"/>
      <c r="X3163" s="23"/>
      <c r="Y3163" s="23"/>
      <c r="Z3163" s="43"/>
      <c r="AA3163" s="23"/>
      <c r="AB3163" s="23"/>
      <c r="AC3163" s="23"/>
      <c r="AD3163" s="23"/>
      <c r="AE3163" s="23"/>
      <c r="AF3163" s="23"/>
      <c r="AG3163" s="23"/>
      <c r="AH3163" s="23"/>
      <c r="AI3163" s="49"/>
    </row>
    <row r="3164" spans="1:35">
      <c r="A3164" s="23"/>
      <c r="B3164" s="42"/>
      <c r="C3164" s="49"/>
      <c r="E3164" s="49"/>
      <c r="G3164" s="43"/>
      <c r="H3164" s="44"/>
      <c r="L3164" s="42"/>
      <c r="M3164" s="42"/>
      <c r="N3164" s="25"/>
      <c r="O3164" s="54"/>
      <c r="P3164"/>
      <c r="Q3164" s="25"/>
      <c r="R3164" s="54"/>
      <c r="W3164" s="23"/>
      <c r="X3164" s="23"/>
      <c r="Y3164" s="23"/>
      <c r="Z3164" s="43"/>
      <c r="AA3164" s="23"/>
      <c r="AB3164" s="23"/>
      <c r="AC3164" s="23"/>
      <c r="AD3164" s="23"/>
      <c r="AE3164" s="23"/>
      <c r="AF3164" s="23"/>
      <c r="AG3164" s="23"/>
      <c r="AH3164" s="23"/>
      <c r="AI3164" s="49"/>
    </row>
    <row r="3165" spans="1:35">
      <c r="B3165" s="42"/>
      <c r="G3165" s="43"/>
      <c r="H3165" s="44"/>
      <c r="L3165" s="42"/>
      <c r="M3165" s="42"/>
      <c r="N3165" s="25"/>
      <c r="O3165" s="54"/>
      <c r="P3165"/>
      <c r="Q3165" s="25"/>
      <c r="R3165" s="54"/>
      <c r="W3165" s="23"/>
      <c r="X3165" s="23"/>
      <c r="Y3165" s="23"/>
      <c r="Z3165" s="43"/>
      <c r="AA3165" s="23"/>
      <c r="AB3165" s="23"/>
      <c r="AC3165" s="23"/>
      <c r="AD3165" s="23"/>
      <c r="AE3165" s="23"/>
      <c r="AF3165" s="23"/>
      <c r="AG3165" s="23"/>
      <c r="AH3165" s="23"/>
      <c r="AI3165" s="48"/>
    </row>
    <row r="3166" spans="1:35">
      <c r="B3166" s="42"/>
      <c r="G3166" s="43"/>
      <c r="H3166" s="44"/>
      <c r="L3166" s="42"/>
      <c r="M3166" s="42"/>
      <c r="N3166" s="25"/>
      <c r="O3166" s="54"/>
      <c r="P3166"/>
      <c r="Q3166" s="25"/>
      <c r="R3166" s="54"/>
      <c r="W3166" s="23"/>
      <c r="X3166" s="23"/>
      <c r="Y3166" s="23"/>
      <c r="Z3166" s="43"/>
      <c r="AA3166" s="23"/>
      <c r="AB3166" s="23"/>
      <c r="AC3166" s="23"/>
      <c r="AD3166" s="23"/>
      <c r="AE3166" s="23"/>
      <c r="AF3166" s="23"/>
      <c r="AG3166" s="23"/>
      <c r="AH3166" s="23"/>
      <c r="AI3166" s="48"/>
    </row>
    <row r="3167" spans="1:35">
      <c r="B3167" s="42"/>
      <c r="G3167" s="43"/>
      <c r="H3167" s="44"/>
      <c r="L3167" s="42"/>
      <c r="M3167" s="42"/>
      <c r="N3167" s="25"/>
      <c r="O3167" s="54"/>
      <c r="P3167"/>
      <c r="Q3167" s="25"/>
      <c r="R3167" s="54"/>
      <c r="W3167" s="23"/>
      <c r="X3167" s="23"/>
      <c r="Y3167" s="23"/>
      <c r="Z3167" s="43"/>
      <c r="AA3167" s="23"/>
      <c r="AB3167" s="23"/>
      <c r="AC3167" s="23"/>
      <c r="AD3167" s="23"/>
      <c r="AE3167" s="23"/>
      <c r="AF3167" s="23"/>
      <c r="AG3167" s="23"/>
      <c r="AH3167" s="23"/>
      <c r="AI3167" s="48"/>
    </row>
    <row r="3168" spans="1:35">
      <c r="B3168" s="42"/>
      <c r="G3168" s="43"/>
      <c r="H3168" s="44"/>
      <c r="L3168" s="42"/>
      <c r="M3168" s="42"/>
      <c r="N3168" s="25"/>
      <c r="O3168" s="54"/>
      <c r="P3168"/>
      <c r="Q3168" s="25"/>
      <c r="R3168" s="54"/>
      <c r="W3168" s="23"/>
      <c r="X3168" s="23"/>
      <c r="Y3168" s="23"/>
      <c r="Z3168" s="43"/>
      <c r="AA3168" s="23"/>
      <c r="AB3168" s="23"/>
      <c r="AC3168" s="23"/>
      <c r="AD3168" s="23"/>
      <c r="AE3168" s="23"/>
      <c r="AF3168" s="23"/>
      <c r="AG3168" s="23"/>
      <c r="AH3168" s="23"/>
      <c r="AI3168" s="48"/>
    </row>
    <row r="3169" spans="1:35">
      <c r="B3169" s="42"/>
      <c r="G3169" s="43"/>
      <c r="H3169" s="44"/>
      <c r="L3169" s="42"/>
      <c r="M3169" s="42"/>
      <c r="N3169" s="25"/>
      <c r="O3169" s="54"/>
      <c r="P3169"/>
      <c r="Q3169" s="25"/>
      <c r="R3169" s="54"/>
      <c r="W3169" s="23"/>
      <c r="X3169" s="23"/>
      <c r="Y3169" s="23"/>
      <c r="Z3169" s="43"/>
      <c r="AA3169" s="23"/>
      <c r="AB3169" s="23"/>
      <c r="AC3169" s="23"/>
      <c r="AD3169" s="23"/>
      <c r="AE3169" s="23"/>
      <c r="AF3169" s="23"/>
      <c r="AG3169" s="23"/>
      <c r="AH3169" s="23"/>
      <c r="AI3169" s="48"/>
    </row>
    <row r="3170" spans="1:35">
      <c r="B3170" s="42"/>
      <c r="G3170" s="43"/>
      <c r="H3170" s="44"/>
      <c r="L3170" s="42"/>
      <c r="M3170" s="42"/>
      <c r="N3170" s="25"/>
      <c r="O3170" s="54"/>
      <c r="P3170"/>
      <c r="Q3170" s="25"/>
      <c r="R3170" s="54"/>
      <c r="W3170" s="23"/>
      <c r="X3170" s="23"/>
      <c r="Y3170" s="23"/>
      <c r="Z3170" s="43"/>
      <c r="AA3170" s="23"/>
      <c r="AB3170" s="23"/>
      <c r="AC3170" s="23"/>
      <c r="AD3170" s="23"/>
      <c r="AE3170" s="23"/>
      <c r="AF3170" s="23"/>
      <c r="AG3170" s="23"/>
      <c r="AH3170" s="23"/>
      <c r="AI3170" s="48"/>
    </row>
    <row r="3171" spans="1:35">
      <c r="B3171" s="42"/>
      <c r="G3171" s="43"/>
      <c r="H3171" s="44"/>
      <c r="L3171" s="42"/>
      <c r="M3171" s="42"/>
      <c r="N3171" s="25"/>
      <c r="O3171" s="54"/>
      <c r="P3171"/>
      <c r="Q3171" s="25"/>
      <c r="R3171" s="54"/>
      <c r="W3171" s="23"/>
      <c r="X3171" s="23"/>
      <c r="Y3171" s="23"/>
      <c r="Z3171" s="43"/>
      <c r="AA3171" s="23"/>
      <c r="AB3171" s="23"/>
      <c r="AC3171" s="23"/>
      <c r="AD3171" s="23"/>
      <c r="AE3171" s="23"/>
      <c r="AF3171" s="23"/>
      <c r="AG3171" s="23"/>
      <c r="AH3171" s="23"/>
      <c r="AI3171" s="48"/>
    </row>
    <row r="3172" spans="1:35">
      <c r="B3172" s="42"/>
      <c r="G3172" s="43"/>
      <c r="H3172" s="44"/>
      <c r="L3172" s="42"/>
      <c r="M3172" s="42"/>
      <c r="N3172" s="25"/>
      <c r="O3172" s="54"/>
      <c r="P3172"/>
      <c r="Q3172" s="25"/>
      <c r="R3172" s="54"/>
      <c r="W3172" s="23"/>
      <c r="X3172" s="23"/>
      <c r="Y3172" s="23"/>
      <c r="Z3172" s="43"/>
      <c r="AA3172" s="23"/>
      <c r="AB3172" s="23"/>
      <c r="AC3172" s="23"/>
      <c r="AD3172" s="23"/>
      <c r="AE3172" s="23"/>
      <c r="AF3172" s="23"/>
      <c r="AG3172" s="23"/>
      <c r="AH3172" s="23"/>
      <c r="AI3172" s="48"/>
    </row>
    <row r="3173" spans="1:35">
      <c r="B3173" s="42"/>
      <c r="G3173" s="43"/>
      <c r="H3173" s="44"/>
      <c r="L3173" s="42"/>
      <c r="M3173" s="42"/>
      <c r="N3173" s="25"/>
      <c r="O3173" s="54"/>
      <c r="P3173"/>
      <c r="Q3173" s="25"/>
      <c r="R3173" s="54"/>
      <c r="W3173" s="23"/>
      <c r="X3173" s="23"/>
      <c r="Y3173" s="23"/>
      <c r="Z3173" s="43"/>
      <c r="AA3173" s="23"/>
      <c r="AB3173" s="23"/>
      <c r="AC3173" s="23"/>
      <c r="AD3173" s="23"/>
      <c r="AE3173" s="23"/>
      <c r="AF3173" s="23"/>
      <c r="AG3173" s="23"/>
      <c r="AH3173" s="23"/>
      <c r="AI3173" s="48"/>
    </row>
    <row r="3174" spans="1:35">
      <c r="B3174" s="42"/>
      <c r="G3174" s="43"/>
      <c r="H3174" s="44"/>
      <c r="L3174" s="42"/>
      <c r="M3174" s="42"/>
      <c r="N3174" s="25"/>
      <c r="O3174" s="54"/>
      <c r="P3174"/>
      <c r="Q3174" s="25"/>
      <c r="R3174" s="54"/>
      <c r="W3174" s="23"/>
      <c r="X3174" s="23"/>
      <c r="Y3174" s="23"/>
      <c r="Z3174" s="43"/>
      <c r="AA3174" s="23"/>
      <c r="AB3174" s="23"/>
      <c r="AC3174" s="23"/>
      <c r="AD3174" s="23"/>
      <c r="AE3174" s="23"/>
      <c r="AF3174" s="23"/>
      <c r="AG3174" s="23"/>
      <c r="AH3174" s="23"/>
      <c r="AI3174" s="48"/>
    </row>
    <row r="3175" spans="1:35">
      <c r="B3175" s="42"/>
      <c r="G3175" s="43"/>
      <c r="H3175" s="44"/>
      <c r="L3175" s="42"/>
      <c r="M3175" s="42"/>
      <c r="N3175" s="25"/>
      <c r="O3175" s="54"/>
      <c r="P3175"/>
      <c r="Q3175" s="25"/>
      <c r="R3175" s="54"/>
      <c r="W3175" s="23"/>
      <c r="X3175" s="23"/>
      <c r="Y3175" s="23"/>
      <c r="Z3175" s="43"/>
      <c r="AA3175" s="23"/>
      <c r="AB3175" s="23"/>
      <c r="AC3175" s="23"/>
      <c r="AD3175" s="23"/>
      <c r="AE3175" s="23"/>
      <c r="AF3175" s="23"/>
      <c r="AG3175" s="23"/>
      <c r="AH3175" s="23"/>
      <c r="AI3175" s="48"/>
    </row>
    <row r="3176" spans="1:35">
      <c r="A3176" s="45"/>
      <c r="B3176" s="42"/>
      <c r="C3176" s="45"/>
      <c r="E3176" s="45"/>
      <c r="G3176" s="43"/>
      <c r="H3176" s="44"/>
      <c r="L3176" s="42"/>
      <c r="M3176" s="42"/>
      <c r="N3176" s="25"/>
      <c r="O3176" s="54"/>
      <c r="P3176"/>
      <c r="Q3176" s="25"/>
      <c r="R3176" s="54"/>
      <c r="W3176" s="23"/>
      <c r="X3176" s="23"/>
      <c r="Y3176" s="23"/>
      <c r="Z3176" s="43"/>
      <c r="AA3176" s="23"/>
      <c r="AB3176" s="23"/>
      <c r="AC3176" s="23"/>
      <c r="AD3176" s="23"/>
      <c r="AE3176" s="23"/>
      <c r="AF3176" s="23"/>
      <c r="AG3176" s="23"/>
      <c r="AH3176" s="23"/>
      <c r="AI3176" s="48"/>
    </row>
    <row r="3177" spans="1:35">
      <c r="A3177" s="45"/>
      <c r="B3177" s="42"/>
      <c r="C3177" s="45"/>
      <c r="E3177" s="45"/>
      <c r="G3177" s="43"/>
      <c r="H3177" s="44"/>
      <c r="L3177" s="42"/>
      <c r="M3177" s="42"/>
      <c r="N3177" s="25"/>
      <c r="O3177" s="54"/>
      <c r="P3177"/>
      <c r="Q3177" s="25"/>
      <c r="R3177" s="54"/>
      <c r="W3177" s="23"/>
      <c r="X3177" s="23"/>
      <c r="Y3177" s="23"/>
      <c r="Z3177" s="43"/>
      <c r="AA3177" s="23"/>
      <c r="AB3177" s="23"/>
      <c r="AC3177" s="23"/>
      <c r="AD3177" s="23"/>
      <c r="AE3177" s="23"/>
      <c r="AF3177" s="23"/>
      <c r="AG3177" s="23"/>
      <c r="AH3177" s="23"/>
      <c r="AI3177" s="48"/>
    </row>
    <row r="3178" spans="1:35">
      <c r="B3178" s="42"/>
      <c r="G3178" s="43"/>
      <c r="H3178" s="44"/>
      <c r="L3178" s="42"/>
      <c r="M3178" s="42"/>
      <c r="N3178" s="25"/>
      <c r="O3178" s="54"/>
      <c r="P3178"/>
      <c r="Q3178" s="25"/>
      <c r="R3178" s="54"/>
      <c r="W3178" s="23"/>
      <c r="X3178" s="23"/>
      <c r="Y3178" s="23"/>
      <c r="Z3178" s="43"/>
      <c r="AA3178" s="23"/>
      <c r="AB3178" s="23"/>
      <c r="AC3178" s="23"/>
      <c r="AD3178" s="23"/>
      <c r="AE3178" s="23"/>
      <c r="AF3178" s="23"/>
      <c r="AG3178" s="23"/>
      <c r="AH3178" s="23"/>
      <c r="AI3178" s="48"/>
    </row>
    <row r="3179" spans="1:35">
      <c r="B3179" s="42"/>
      <c r="G3179" s="43"/>
      <c r="H3179" s="44"/>
      <c r="L3179" s="42"/>
      <c r="M3179" s="42"/>
      <c r="N3179" s="25"/>
      <c r="O3179" s="54"/>
      <c r="P3179"/>
      <c r="Q3179" s="25"/>
      <c r="R3179" s="54"/>
      <c r="W3179" s="23"/>
      <c r="X3179" s="23"/>
      <c r="Y3179" s="23"/>
      <c r="Z3179" s="43"/>
      <c r="AA3179" s="23"/>
      <c r="AB3179" s="23"/>
      <c r="AC3179" s="23"/>
      <c r="AD3179" s="23"/>
      <c r="AE3179" s="23"/>
      <c r="AF3179" s="23"/>
      <c r="AG3179" s="23"/>
      <c r="AH3179" s="23"/>
      <c r="AI3179" s="48"/>
    </row>
    <row r="3180" spans="1:35">
      <c r="A3180" s="23"/>
      <c r="B3180" s="42"/>
      <c r="C3180" s="49"/>
      <c r="E3180" s="49"/>
      <c r="G3180" s="43"/>
      <c r="H3180" s="44"/>
      <c r="L3180" s="42"/>
      <c r="M3180" s="42"/>
      <c r="N3180" s="25"/>
      <c r="O3180" s="54"/>
      <c r="P3180"/>
      <c r="Q3180" s="25"/>
      <c r="R3180" s="54"/>
      <c r="W3180" s="23"/>
      <c r="X3180" s="23"/>
      <c r="Y3180" s="23"/>
      <c r="Z3180" s="43"/>
      <c r="AA3180" s="23"/>
      <c r="AB3180" s="23"/>
      <c r="AC3180" s="23"/>
      <c r="AD3180" s="23"/>
      <c r="AE3180" s="23"/>
      <c r="AF3180" s="23"/>
      <c r="AG3180" s="23"/>
      <c r="AH3180" s="23"/>
      <c r="AI3180" s="49"/>
    </row>
    <row r="3181" spans="1:35">
      <c r="A3181" s="23"/>
      <c r="B3181" s="42"/>
      <c r="C3181" s="49"/>
      <c r="E3181" s="49"/>
      <c r="G3181" s="43"/>
      <c r="H3181" s="44"/>
      <c r="L3181" s="42"/>
      <c r="M3181" s="42"/>
      <c r="N3181" s="25"/>
      <c r="O3181" s="54"/>
      <c r="P3181"/>
      <c r="Q3181" s="25"/>
      <c r="R3181" s="54"/>
      <c r="W3181" s="23"/>
      <c r="X3181" s="23"/>
      <c r="Y3181" s="23"/>
      <c r="Z3181" s="43"/>
      <c r="AA3181" s="23"/>
      <c r="AB3181" s="23"/>
      <c r="AC3181" s="23"/>
      <c r="AD3181" s="23"/>
      <c r="AE3181" s="23"/>
      <c r="AF3181" s="23"/>
      <c r="AG3181" s="23"/>
      <c r="AH3181" s="23"/>
      <c r="AI3181" s="49"/>
    </row>
    <row r="3182" spans="1:35">
      <c r="A3182" s="23"/>
      <c r="B3182" s="42"/>
      <c r="C3182" s="49"/>
      <c r="E3182" s="49"/>
      <c r="G3182" s="43"/>
      <c r="H3182" s="44"/>
      <c r="L3182" s="42"/>
      <c r="M3182" s="42"/>
      <c r="N3182" s="25"/>
      <c r="O3182" s="54"/>
      <c r="P3182"/>
      <c r="Q3182" s="25"/>
      <c r="R3182" s="54"/>
      <c r="W3182" s="23"/>
      <c r="X3182" s="23"/>
      <c r="Y3182" s="23"/>
      <c r="Z3182" s="43"/>
      <c r="AA3182" s="23"/>
      <c r="AB3182" s="23"/>
      <c r="AC3182" s="23"/>
      <c r="AD3182" s="23"/>
      <c r="AE3182" s="23"/>
      <c r="AF3182" s="23"/>
      <c r="AG3182" s="23"/>
      <c r="AH3182" s="23"/>
      <c r="AI3182" s="49"/>
    </row>
    <row r="3183" spans="1:35">
      <c r="A3183" s="23"/>
      <c r="B3183" s="42"/>
      <c r="C3183" s="49"/>
      <c r="E3183" s="49"/>
      <c r="G3183" s="43"/>
      <c r="H3183" s="44"/>
      <c r="L3183" s="42"/>
      <c r="M3183" s="42"/>
      <c r="N3183" s="25"/>
      <c r="O3183" s="54"/>
      <c r="P3183"/>
      <c r="Q3183" s="25"/>
      <c r="R3183" s="54"/>
      <c r="W3183" s="23"/>
      <c r="X3183" s="23"/>
      <c r="Y3183" s="23"/>
      <c r="Z3183" s="43"/>
      <c r="AA3183" s="23"/>
      <c r="AB3183" s="23"/>
      <c r="AC3183" s="23"/>
      <c r="AD3183" s="23"/>
      <c r="AE3183" s="23"/>
      <c r="AF3183" s="23"/>
      <c r="AG3183" s="23"/>
      <c r="AH3183" s="23"/>
      <c r="AI3183" s="49"/>
    </row>
    <row r="3184" spans="1:35">
      <c r="A3184" s="23"/>
      <c r="B3184" s="42"/>
      <c r="C3184" s="49"/>
      <c r="E3184" s="49"/>
      <c r="G3184" s="43"/>
      <c r="H3184" s="44"/>
      <c r="L3184" s="42"/>
      <c r="M3184" s="42"/>
      <c r="N3184" s="25"/>
      <c r="O3184" s="54"/>
      <c r="P3184"/>
      <c r="Q3184" s="25"/>
      <c r="R3184" s="54"/>
      <c r="W3184" s="23"/>
      <c r="X3184" s="23"/>
      <c r="Y3184" s="23"/>
      <c r="Z3184" s="43"/>
      <c r="AA3184" s="23"/>
      <c r="AB3184" s="23"/>
      <c r="AC3184" s="23"/>
      <c r="AD3184" s="23"/>
      <c r="AE3184" s="23"/>
      <c r="AF3184" s="23"/>
      <c r="AG3184" s="23"/>
      <c r="AH3184" s="23"/>
      <c r="AI3184" s="49"/>
    </row>
    <row r="3185" spans="1:35">
      <c r="A3185" s="23"/>
      <c r="B3185" s="42"/>
      <c r="C3185" s="49"/>
      <c r="E3185" s="49"/>
      <c r="G3185" s="43"/>
      <c r="H3185" s="44"/>
      <c r="L3185" s="42"/>
      <c r="M3185" s="42"/>
      <c r="N3185" s="25"/>
      <c r="O3185" s="54"/>
      <c r="P3185"/>
      <c r="Q3185" s="25"/>
      <c r="R3185" s="54"/>
      <c r="W3185" s="23"/>
      <c r="X3185" s="23"/>
      <c r="Y3185" s="23"/>
      <c r="Z3185" s="43"/>
      <c r="AA3185" s="23"/>
      <c r="AB3185" s="23"/>
      <c r="AC3185" s="23"/>
      <c r="AD3185" s="23"/>
      <c r="AE3185" s="23"/>
      <c r="AF3185" s="23"/>
      <c r="AG3185" s="23"/>
      <c r="AH3185" s="23"/>
      <c r="AI3185" s="49"/>
    </row>
    <row r="3186" spans="1:35">
      <c r="A3186" s="23"/>
      <c r="B3186" s="42"/>
      <c r="C3186" s="49"/>
      <c r="E3186" s="49"/>
      <c r="G3186" s="43"/>
      <c r="H3186" s="44"/>
      <c r="L3186" s="42"/>
      <c r="M3186" s="42"/>
      <c r="N3186" s="25"/>
      <c r="O3186" s="54"/>
      <c r="P3186"/>
      <c r="Q3186" s="25"/>
      <c r="R3186" s="54"/>
      <c r="W3186" s="23"/>
      <c r="X3186" s="23"/>
      <c r="Y3186" s="23"/>
      <c r="Z3186" s="43"/>
      <c r="AA3186" s="23"/>
      <c r="AB3186" s="23"/>
      <c r="AC3186" s="23"/>
      <c r="AD3186" s="23"/>
      <c r="AE3186" s="23"/>
      <c r="AF3186" s="23"/>
      <c r="AG3186" s="23"/>
      <c r="AH3186" s="23"/>
      <c r="AI3186" s="49"/>
    </row>
    <row r="3187" spans="1:35">
      <c r="A3187" s="23"/>
      <c r="B3187" s="42"/>
      <c r="C3187" s="49"/>
      <c r="E3187" s="49"/>
      <c r="G3187" s="43"/>
      <c r="H3187" s="44"/>
      <c r="L3187" s="42"/>
      <c r="M3187" s="42"/>
      <c r="N3187" s="25"/>
      <c r="O3187" s="54"/>
      <c r="P3187"/>
      <c r="Q3187" s="25"/>
      <c r="R3187" s="54"/>
      <c r="W3187" s="23"/>
      <c r="X3187" s="23"/>
      <c r="Y3187" s="23"/>
      <c r="Z3187" s="43"/>
      <c r="AA3187" s="23"/>
      <c r="AB3187" s="23"/>
      <c r="AC3187" s="23"/>
      <c r="AD3187" s="23"/>
      <c r="AE3187" s="23"/>
      <c r="AF3187" s="23"/>
      <c r="AG3187" s="23"/>
      <c r="AH3187" s="23"/>
      <c r="AI3187" s="49"/>
    </row>
    <row r="3188" spans="1:35">
      <c r="A3188" s="23"/>
      <c r="B3188" s="42"/>
      <c r="C3188" s="49"/>
      <c r="E3188" s="49"/>
      <c r="G3188" s="43"/>
      <c r="H3188" s="44"/>
      <c r="L3188" s="42"/>
      <c r="M3188" s="42"/>
      <c r="N3188" s="25"/>
      <c r="O3188" s="54"/>
      <c r="P3188"/>
      <c r="Q3188" s="25"/>
      <c r="R3188" s="54"/>
      <c r="W3188" s="23"/>
      <c r="X3188" s="23"/>
      <c r="Y3188" s="23"/>
      <c r="Z3188" s="43"/>
      <c r="AA3188" s="23"/>
      <c r="AB3188" s="23"/>
      <c r="AC3188" s="23"/>
      <c r="AD3188" s="23"/>
      <c r="AE3188" s="23"/>
      <c r="AF3188" s="23"/>
      <c r="AG3188" s="23"/>
      <c r="AH3188" s="23"/>
      <c r="AI3188" s="49"/>
    </row>
    <row r="3189" spans="1:35">
      <c r="A3189" s="23"/>
      <c r="B3189" s="42"/>
      <c r="C3189" s="49"/>
      <c r="E3189" s="49"/>
      <c r="G3189" s="43"/>
      <c r="H3189" s="44"/>
      <c r="L3189" s="42"/>
      <c r="M3189" s="42"/>
      <c r="N3189" s="25"/>
      <c r="O3189" s="54"/>
      <c r="P3189"/>
      <c r="Q3189" s="25"/>
      <c r="R3189" s="54"/>
      <c r="W3189" s="23"/>
      <c r="X3189" s="23"/>
      <c r="Y3189" s="23"/>
      <c r="Z3189" s="43"/>
      <c r="AA3189" s="23"/>
      <c r="AB3189" s="23"/>
      <c r="AC3189" s="23"/>
      <c r="AD3189" s="23"/>
      <c r="AE3189" s="23"/>
      <c r="AF3189" s="23"/>
      <c r="AG3189" s="23"/>
      <c r="AH3189" s="23"/>
      <c r="AI3189" s="49"/>
    </row>
    <row r="3190" spans="1:35">
      <c r="A3190" s="23"/>
      <c r="B3190" s="42"/>
      <c r="C3190" s="49"/>
      <c r="E3190" s="49"/>
      <c r="G3190" s="43"/>
      <c r="H3190" s="44"/>
      <c r="L3190" s="42"/>
      <c r="M3190" s="42"/>
      <c r="N3190" s="25"/>
      <c r="O3190" s="54"/>
      <c r="P3190"/>
      <c r="Q3190" s="25"/>
      <c r="R3190" s="54"/>
      <c r="W3190" s="23"/>
      <c r="X3190" s="23"/>
      <c r="Y3190" s="23"/>
      <c r="Z3190" s="43"/>
      <c r="AA3190" s="23"/>
      <c r="AB3190" s="23"/>
      <c r="AC3190" s="23"/>
      <c r="AD3190" s="23"/>
      <c r="AE3190" s="23"/>
      <c r="AF3190" s="23"/>
      <c r="AG3190" s="23"/>
      <c r="AH3190" s="23"/>
      <c r="AI3190" s="49"/>
    </row>
    <row r="3191" spans="1:35">
      <c r="B3191" s="42"/>
      <c r="C3191" s="49"/>
      <c r="E3191" s="49"/>
      <c r="G3191" s="43"/>
      <c r="H3191" s="44"/>
      <c r="L3191" s="42"/>
      <c r="M3191" s="42"/>
      <c r="N3191" s="25"/>
      <c r="O3191" s="54"/>
      <c r="P3191"/>
      <c r="Q3191" s="25"/>
      <c r="R3191" s="54"/>
      <c r="W3191" s="23"/>
      <c r="X3191" s="23"/>
      <c r="Y3191" s="23"/>
      <c r="Z3191" s="43"/>
      <c r="AA3191" s="23"/>
      <c r="AB3191" s="23"/>
      <c r="AC3191" s="23"/>
      <c r="AD3191" s="23"/>
      <c r="AE3191" s="23"/>
      <c r="AF3191" s="23"/>
      <c r="AG3191" s="23"/>
      <c r="AH3191" s="23"/>
      <c r="AI3191" s="23"/>
    </row>
    <row r="3192" spans="1:35">
      <c r="B3192" s="42"/>
      <c r="C3192" s="49"/>
      <c r="E3192" s="49"/>
      <c r="G3192" s="43"/>
      <c r="H3192" s="44"/>
      <c r="L3192" s="42"/>
      <c r="M3192" s="42"/>
      <c r="N3192" s="25"/>
      <c r="O3192" s="54"/>
      <c r="P3192"/>
      <c r="Q3192" s="25"/>
      <c r="R3192" s="54"/>
      <c r="W3192" s="23"/>
      <c r="X3192" s="23"/>
      <c r="Y3192" s="23"/>
      <c r="Z3192" s="43"/>
      <c r="AA3192" s="23"/>
      <c r="AB3192" s="23"/>
      <c r="AC3192" s="23"/>
      <c r="AD3192" s="23"/>
      <c r="AE3192" s="23"/>
      <c r="AF3192" s="23"/>
      <c r="AG3192" s="23"/>
      <c r="AH3192" s="23"/>
      <c r="AI3192" s="23"/>
    </row>
    <row r="3193" spans="1:35">
      <c r="B3193" s="42"/>
      <c r="C3193" s="49"/>
      <c r="E3193" s="49"/>
      <c r="G3193" s="43"/>
      <c r="H3193" s="44"/>
      <c r="L3193" s="42"/>
      <c r="M3193" s="42"/>
      <c r="N3193" s="25"/>
      <c r="O3193" s="54"/>
      <c r="P3193"/>
      <c r="Q3193" s="25"/>
      <c r="R3193" s="54"/>
      <c r="W3193" s="23"/>
      <c r="X3193" s="23"/>
      <c r="Y3193" s="23"/>
      <c r="Z3193" s="43"/>
      <c r="AA3193" s="23"/>
      <c r="AB3193" s="23"/>
      <c r="AC3193" s="23"/>
      <c r="AD3193" s="23"/>
      <c r="AE3193" s="23"/>
      <c r="AF3193" s="23"/>
      <c r="AG3193" s="23"/>
      <c r="AH3193" s="23"/>
      <c r="AI3193" s="23"/>
    </row>
    <row r="3194" spans="1:35">
      <c r="B3194" s="42"/>
      <c r="C3194" s="49"/>
      <c r="E3194" s="49"/>
      <c r="G3194" s="43"/>
      <c r="H3194" s="44"/>
      <c r="L3194" s="42"/>
      <c r="M3194" s="42"/>
      <c r="N3194" s="25"/>
      <c r="O3194" s="54"/>
      <c r="P3194"/>
      <c r="Q3194" s="25"/>
      <c r="R3194" s="54"/>
      <c r="W3194" s="23"/>
      <c r="X3194" s="23"/>
      <c r="Y3194" s="23"/>
      <c r="Z3194" s="43"/>
      <c r="AA3194" s="23"/>
      <c r="AB3194" s="23"/>
      <c r="AC3194" s="23"/>
      <c r="AD3194" s="23"/>
      <c r="AE3194" s="23"/>
      <c r="AF3194" s="23"/>
      <c r="AG3194" s="23"/>
      <c r="AH3194" s="23"/>
      <c r="AI3194" s="23"/>
    </row>
    <row r="3195" spans="1:35">
      <c r="B3195" s="42"/>
      <c r="C3195" s="49"/>
      <c r="E3195" s="49"/>
      <c r="G3195" s="43"/>
      <c r="H3195" s="44"/>
      <c r="L3195" s="42"/>
      <c r="M3195" s="42"/>
      <c r="N3195" s="25"/>
      <c r="O3195" s="54"/>
      <c r="P3195"/>
      <c r="Q3195" s="25"/>
      <c r="R3195" s="54"/>
      <c r="W3195" s="23"/>
      <c r="X3195" s="23"/>
      <c r="Y3195" s="23"/>
      <c r="Z3195" s="43"/>
      <c r="AA3195" s="23"/>
      <c r="AB3195" s="23"/>
      <c r="AC3195" s="23"/>
      <c r="AD3195" s="23"/>
      <c r="AE3195" s="23"/>
      <c r="AF3195" s="23"/>
      <c r="AG3195" s="23"/>
      <c r="AH3195" s="23"/>
      <c r="AI3195" s="23"/>
    </row>
    <row r="3196" spans="1:35">
      <c r="B3196" s="42"/>
      <c r="C3196" s="49"/>
      <c r="E3196" s="49"/>
      <c r="G3196" s="43"/>
      <c r="H3196" s="44"/>
      <c r="L3196" s="42"/>
      <c r="M3196" s="42"/>
      <c r="N3196" s="25"/>
      <c r="O3196" s="54"/>
      <c r="P3196"/>
      <c r="Q3196" s="25"/>
      <c r="R3196" s="54"/>
      <c r="W3196" s="23"/>
      <c r="X3196" s="23"/>
      <c r="Y3196" s="23"/>
      <c r="Z3196" s="43"/>
      <c r="AA3196" s="23"/>
      <c r="AB3196" s="23"/>
      <c r="AC3196" s="23"/>
      <c r="AD3196" s="23"/>
      <c r="AE3196" s="23"/>
      <c r="AF3196" s="23"/>
      <c r="AG3196" s="23"/>
      <c r="AH3196" s="23"/>
      <c r="AI3196" s="23"/>
    </row>
    <row r="3197" spans="1:35">
      <c r="B3197" s="42"/>
      <c r="C3197" s="49"/>
      <c r="E3197" s="49"/>
      <c r="G3197" s="43"/>
      <c r="H3197" s="44"/>
      <c r="L3197" s="42"/>
      <c r="M3197" s="42"/>
      <c r="N3197" s="25"/>
      <c r="O3197" s="54"/>
      <c r="P3197"/>
      <c r="Q3197" s="25"/>
      <c r="R3197" s="54"/>
      <c r="W3197" s="23"/>
      <c r="X3197" s="23"/>
      <c r="Y3197" s="23"/>
      <c r="Z3197" s="43"/>
      <c r="AA3197" s="23"/>
      <c r="AB3197" s="23"/>
      <c r="AC3197" s="23"/>
      <c r="AD3197" s="23"/>
      <c r="AE3197" s="23"/>
      <c r="AF3197" s="23"/>
      <c r="AG3197" s="23"/>
      <c r="AH3197" s="23"/>
      <c r="AI3197" s="23"/>
    </row>
    <row r="3198" spans="1:35">
      <c r="B3198" s="42"/>
      <c r="C3198" s="49"/>
      <c r="E3198" s="49"/>
      <c r="G3198" s="43"/>
      <c r="H3198" s="44"/>
      <c r="L3198" s="42"/>
      <c r="M3198" s="42"/>
      <c r="N3198" s="25"/>
      <c r="O3198" s="54"/>
      <c r="P3198"/>
      <c r="Q3198" s="25"/>
      <c r="R3198" s="54"/>
      <c r="W3198" s="23"/>
      <c r="X3198" s="23"/>
      <c r="Y3198" s="23"/>
      <c r="Z3198" s="43"/>
      <c r="AA3198" s="23"/>
      <c r="AB3198" s="23"/>
      <c r="AC3198" s="23"/>
      <c r="AD3198" s="23"/>
      <c r="AE3198" s="23"/>
      <c r="AF3198" s="23"/>
      <c r="AG3198" s="23"/>
      <c r="AH3198" s="23"/>
      <c r="AI3198" s="23"/>
    </row>
    <row r="3199" spans="1:35">
      <c r="B3199" s="42"/>
      <c r="C3199" s="49"/>
      <c r="E3199" s="49"/>
      <c r="G3199" s="43"/>
      <c r="H3199" s="44"/>
      <c r="L3199" s="42"/>
      <c r="M3199" s="42"/>
      <c r="N3199" s="25"/>
      <c r="O3199" s="54"/>
      <c r="P3199"/>
      <c r="Q3199" s="25"/>
      <c r="R3199" s="54"/>
      <c r="W3199" s="23"/>
      <c r="X3199" s="23"/>
      <c r="Y3199" s="23"/>
      <c r="Z3199" s="43"/>
      <c r="AA3199" s="23"/>
      <c r="AB3199" s="23"/>
      <c r="AC3199" s="23"/>
      <c r="AD3199" s="23"/>
      <c r="AE3199" s="23"/>
      <c r="AF3199" s="23"/>
      <c r="AG3199" s="23"/>
      <c r="AH3199" s="23"/>
      <c r="AI3199" s="23"/>
    </row>
    <row r="3200" spans="1:35">
      <c r="B3200" s="42"/>
      <c r="C3200" s="49"/>
      <c r="E3200" s="49"/>
      <c r="G3200" s="43"/>
      <c r="H3200" s="44"/>
      <c r="L3200" s="42"/>
      <c r="M3200" s="42"/>
      <c r="N3200" s="25"/>
      <c r="O3200" s="54"/>
      <c r="P3200"/>
      <c r="Q3200" s="25"/>
      <c r="R3200" s="54"/>
      <c r="W3200" s="23"/>
      <c r="X3200" s="23"/>
      <c r="Y3200" s="23"/>
      <c r="Z3200" s="43"/>
      <c r="AA3200" s="23"/>
      <c r="AB3200" s="23"/>
      <c r="AC3200" s="23"/>
      <c r="AD3200" s="23"/>
      <c r="AE3200" s="23"/>
      <c r="AF3200" s="23"/>
      <c r="AG3200" s="23"/>
      <c r="AH3200" s="23"/>
      <c r="AI3200" s="23"/>
    </row>
    <row r="3201" spans="1:35">
      <c r="B3201" s="42"/>
      <c r="C3201" s="49"/>
      <c r="E3201" s="49"/>
      <c r="G3201" s="43"/>
      <c r="H3201" s="44"/>
      <c r="L3201" s="42"/>
      <c r="M3201" s="42"/>
      <c r="N3201" s="25"/>
      <c r="O3201" s="54"/>
      <c r="P3201"/>
      <c r="Q3201" s="25"/>
      <c r="R3201" s="54"/>
      <c r="W3201" s="23"/>
      <c r="X3201" s="23"/>
      <c r="Y3201" s="23"/>
      <c r="Z3201" s="43"/>
      <c r="AA3201" s="23"/>
      <c r="AB3201" s="23"/>
      <c r="AC3201" s="23"/>
      <c r="AD3201" s="23"/>
      <c r="AE3201" s="23"/>
      <c r="AF3201" s="23"/>
      <c r="AG3201" s="23"/>
      <c r="AH3201" s="23"/>
      <c r="AI3201" s="23"/>
    </row>
    <row r="3202" spans="1:35">
      <c r="B3202" s="42"/>
      <c r="C3202" s="49"/>
      <c r="E3202" s="49"/>
      <c r="G3202" s="43"/>
      <c r="H3202" s="44"/>
      <c r="L3202" s="42"/>
      <c r="M3202" s="42"/>
      <c r="N3202" s="25"/>
      <c r="O3202" s="54"/>
      <c r="P3202"/>
      <c r="Q3202" s="25"/>
      <c r="R3202" s="54"/>
      <c r="W3202" s="23"/>
      <c r="X3202" s="23"/>
      <c r="Y3202" s="23"/>
      <c r="Z3202" s="43"/>
      <c r="AA3202" s="23"/>
      <c r="AB3202" s="23"/>
      <c r="AC3202" s="23"/>
      <c r="AD3202" s="23"/>
      <c r="AE3202" s="23"/>
      <c r="AF3202" s="23"/>
      <c r="AG3202" s="23"/>
      <c r="AH3202" s="23"/>
      <c r="AI3202" s="23"/>
    </row>
    <row r="3203" spans="1:35">
      <c r="B3203" s="42"/>
      <c r="C3203" s="49"/>
      <c r="E3203" s="49"/>
      <c r="G3203" s="43"/>
      <c r="H3203" s="44"/>
      <c r="L3203" s="42"/>
      <c r="M3203" s="42"/>
      <c r="N3203" s="25"/>
      <c r="O3203" s="54"/>
      <c r="P3203"/>
      <c r="Q3203" s="25"/>
      <c r="R3203" s="54"/>
      <c r="W3203" s="23"/>
      <c r="X3203" s="23"/>
      <c r="Y3203" s="23"/>
      <c r="Z3203" s="43"/>
      <c r="AA3203" s="23"/>
      <c r="AB3203" s="23"/>
      <c r="AC3203" s="23"/>
      <c r="AD3203" s="23"/>
      <c r="AE3203" s="23"/>
      <c r="AF3203" s="23"/>
      <c r="AG3203" s="23"/>
      <c r="AH3203" s="23"/>
      <c r="AI3203" s="23"/>
    </row>
    <row r="3204" spans="1:35">
      <c r="B3204" s="42"/>
      <c r="C3204" s="49"/>
      <c r="E3204" s="49"/>
      <c r="G3204" s="43"/>
      <c r="H3204" s="44"/>
      <c r="L3204" s="42"/>
      <c r="M3204" s="42"/>
      <c r="N3204" s="25"/>
      <c r="O3204" s="54"/>
      <c r="P3204"/>
      <c r="Q3204" s="25"/>
      <c r="R3204" s="54"/>
      <c r="W3204" s="23"/>
      <c r="X3204" s="23"/>
      <c r="Y3204" s="23"/>
      <c r="Z3204" s="43"/>
      <c r="AA3204" s="23"/>
      <c r="AB3204" s="23"/>
      <c r="AC3204" s="23"/>
      <c r="AD3204" s="23"/>
      <c r="AE3204" s="23"/>
      <c r="AF3204" s="23"/>
      <c r="AG3204" s="23"/>
      <c r="AH3204" s="23"/>
      <c r="AI3204" s="23"/>
    </row>
    <row r="3205" spans="1:35">
      <c r="B3205" s="42"/>
      <c r="C3205" s="49"/>
      <c r="E3205" s="49"/>
      <c r="G3205" s="43"/>
      <c r="H3205" s="44"/>
      <c r="L3205" s="42"/>
      <c r="M3205" s="42"/>
      <c r="N3205" s="25"/>
      <c r="O3205" s="54"/>
      <c r="P3205"/>
      <c r="Q3205" s="25"/>
      <c r="R3205" s="54"/>
      <c r="W3205" s="23"/>
      <c r="X3205" s="23"/>
      <c r="Y3205" s="23"/>
      <c r="Z3205" s="43"/>
      <c r="AA3205" s="23"/>
      <c r="AB3205" s="23"/>
      <c r="AC3205" s="23"/>
      <c r="AD3205" s="23"/>
      <c r="AE3205" s="23"/>
      <c r="AF3205" s="23"/>
      <c r="AG3205" s="23"/>
      <c r="AH3205" s="23"/>
      <c r="AI3205" s="23"/>
    </row>
    <row r="3206" spans="1:35">
      <c r="B3206" s="42"/>
      <c r="C3206" s="49"/>
      <c r="E3206" s="49"/>
      <c r="G3206" s="43"/>
      <c r="H3206" s="44"/>
      <c r="L3206" s="42"/>
      <c r="M3206" s="42"/>
      <c r="N3206" s="25"/>
      <c r="O3206" s="54"/>
      <c r="P3206"/>
      <c r="Q3206" s="25"/>
      <c r="R3206" s="54"/>
      <c r="W3206" s="23"/>
      <c r="X3206" s="23"/>
      <c r="Y3206" s="23"/>
      <c r="Z3206" s="43"/>
      <c r="AA3206" s="23"/>
      <c r="AB3206" s="23"/>
      <c r="AC3206" s="23"/>
      <c r="AD3206" s="23"/>
      <c r="AE3206" s="23"/>
      <c r="AF3206" s="23"/>
      <c r="AG3206" s="23"/>
      <c r="AH3206" s="23"/>
      <c r="AI3206" s="23"/>
    </row>
    <row r="3207" spans="1:35">
      <c r="B3207" s="42"/>
      <c r="C3207" s="49"/>
      <c r="E3207" s="49"/>
      <c r="G3207" s="43"/>
      <c r="H3207" s="44"/>
      <c r="L3207" s="42"/>
      <c r="M3207" s="42"/>
      <c r="N3207" s="25"/>
      <c r="O3207" s="54"/>
      <c r="P3207"/>
      <c r="Q3207" s="25"/>
      <c r="R3207" s="54"/>
      <c r="W3207" s="23"/>
      <c r="X3207" s="23"/>
      <c r="Y3207" s="23"/>
      <c r="Z3207" s="43"/>
      <c r="AA3207" s="23"/>
      <c r="AB3207" s="23"/>
      <c r="AC3207" s="23"/>
      <c r="AD3207" s="23"/>
      <c r="AE3207" s="23"/>
      <c r="AF3207" s="23"/>
      <c r="AG3207" s="23"/>
      <c r="AH3207" s="23"/>
      <c r="AI3207" s="23"/>
    </row>
    <row r="3208" spans="1:35">
      <c r="B3208" s="42"/>
      <c r="C3208" s="49"/>
      <c r="E3208" s="49"/>
      <c r="G3208" s="43"/>
      <c r="H3208" s="44"/>
      <c r="L3208" s="42"/>
      <c r="M3208" s="42"/>
      <c r="N3208" s="25"/>
      <c r="O3208" s="54"/>
      <c r="P3208"/>
      <c r="Q3208" s="25"/>
      <c r="R3208" s="54"/>
      <c r="W3208" s="23"/>
      <c r="X3208" s="23"/>
      <c r="Y3208" s="23"/>
      <c r="Z3208" s="43"/>
      <c r="AA3208" s="23"/>
      <c r="AB3208" s="23"/>
      <c r="AC3208" s="23"/>
      <c r="AD3208" s="23"/>
      <c r="AE3208" s="23"/>
      <c r="AF3208" s="23"/>
      <c r="AG3208" s="23"/>
      <c r="AH3208" s="23"/>
      <c r="AI3208" s="23"/>
    </row>
    <row r="3209" spans="1:35">
      <c r="B3209" s="42"/>
      <c r="C3209" s="49"/>
      <c r="E3209" s="49"/>
      <c r="G3209" s="43"/>
      <c r="H3209" s="44"/>
      <c r="L3209" s="42"/>
      <c r="M3209" s="42"/>
      <c r="N3209" s="25"/>
      <c r="O3209" s="54"/>
      <c r="P3209"/>
      <c r="Q3209" s="25"/>
      <c r="R3209" s="54"/>
      <c r="W3209" s="23"/>
      <c r="X3209" s="23"/>
      <c r="Y3209" s="23"/>
      <c r="Z3209" s="43"/>
      <c r="AA3209" s="23"/>
      <c r="AB3209" s="23"/>
      <c r="AC3209" s="23"/>
      <c r="AD3209" s="23"/>
      <c r="AE3209" s="23"/>
      <c r="AF3209" s="23"/>
      <c r="AG3209" s="23"/>
      <c r="AH3209" s="23"/>
      <c r="AI3209" s="23"/>
    </row>
    <row r="3210" spans="1:35">
      <c r="B3210" s="42"/>
      <c r="C3210" s="49"/>
      <c r="E3210" s="49"/>
      <c r="G3210" s="43"/>
      <c r="H3210" s="44"/>
      <c r="L3210" s="42"/>
      <c r="M3210" s="42"/>
      <c r="N3210" s="25"/>
      <c r="O3210" s="54"/>
      <c r="P3210"/>
      <c r="Q3210" s="25"/>
      <c r="R3210" s="54"/>
      <c r="W3210" s="23"/>
      <c r="X3210" s="23"/>
      <c r="Y3210" s="23"/>
      <c r="Z3210" s="43"/>
      <c r="AA3210" s="23"/>
      <c r="AB3210" s="23"/>
      <c r="AC3210" s="23"/>
      <c r="AD3210" s="23"/>
      <c r="AE3210" s="23"/>
      <c r="AF3210" s="23"/>
      <c r="AG3210" s="23"/>
      <c r="AH3210" s="23"/>
      <c r="AI3210" s="23"/>
    </row>
    <row r="3211" spans="1:35">
      <c r="A3211" s="23"/>
      <c r="B3211" s="42"/>
      <c r="C3211" s="49"/>
      <c r="E3211" s="49"/>
      <c r="G3211" s="43"/>
      <c r="H3211" s="44"/>
      <c r="L3211" s="42"/>
      <c r="M3211" s="42"/>
      <c r="N3211" s="25"/>
      <c r="O3211" s="54"/>
      <c r="P3211"/>
      <c r="Q3211" s="25"/>
      <c r="R3211" s="54"/>
      <c r="W3211" s="23"/>
      <c r="X3211" s="23"/>
      <c r="Y3211" s="23"/>
      <c r="Z3211" s="43"/>
      <c r="AA3211" s="23"/>
      <c r="AB3211" s="23"/>
      <c r="AC3211" s="23"/>
      <c r="AD3211" s="23"/>
      <c r="AE3211" s="23"/>
      <c r="AF3211" s="23"/>
      <c r="AG3211" s="23"/>
      <c r="AH3211" s="23"/>
      <c r="AI3211" s="49"/>
    </row>
    <row r="3212" spans="1:35">
      <c r="A3212" s="23"/>
      <c r="B3212" s="42"/>
      <c r="C3212" s="49"/>
      <c r="E3212" s="49"/>
      <c r="G3212" s="43"/>
      <c r="H3212" s="44"/>
      <c r="L3212" s="42"/>
      <c r="M3212" s="42"/>
      <c r="N3212" s="25"/>
      <c r="O3212" s="54"/>
      <c r="P3212"/>
      <c r="Q3212" s="25"/>
      <c r="R3212" s="54"/>
      <c r="W3212" s="23"/>
      <c r="X3212" s="23"/>
      <c r="Y3212" s="23"/>
      <c r="Z3212" s="43"/>
      <c r="AA3212" s="23"/>
      <c r="AB3212" s="23"/>
      <c r="AC3212" s="23"/>
      <c r="AD3212" s="23"/>
      <c r="AE3212" s="23"/>
      <c r="AF3212" s="23"/>
      <c r="AG3212" s="23"/>
      <c r="AH3212" s="23"/>
      <c r="AI3212" s="49"/>
    </row>
    <row r="3213" spans="1:35">
      <c r="A3213" s="23"/>
      <c r="B3213" s="42"/>
      <c r="C3213" s="49"/>
      <c r="E3213" s="49"/>
      <c r="G3213" s="43"/>
      <c r="H3213" s="44"/>
      <c r="L3213" s="42"/>
      <c r="M3213" s="42"/>
      <c r="N3213" s="25"/>
      <c r="O3213" s="54"/>
      <c r="P3213"/>
      <c r="Q3213" s="25"/>
      <c r="R3213" s="54"/>
      <c r="W3213" s="23"/>
      <c r="X3213" s="23"/>
      <c r="Y3213" s="23"/>
      <c r="Z3213" s="43"/>
      <c r="AA3213" s="23"/>
      <c r="AB3213" s="23"/>
      <c r="AC3213" s="23"/>
      <c r="AD3213" s="23"/>
      <c r="AE3213" s="23"/>
      <c r="AF3213" s="23"/>
      <c r="AG3213" s="23"/>
      <c r="AH3213" s="23"/>
      <c r="AI3213" s="49"/>
    </row>
    <row r="3214" spans="1:35">
      <c r="A3214" s="23"/>
      <c r="B3214" s="42"/>
      <c r="C3214" s="49"/>
      <c r="E3214" s="49"/>
      <c r="G3214" s="43"/>
      <c r="H3214" s="44"/>
      <c r="L3214" s="42"/>
      <c r="M3214" s="42"/>
      <c r="N3214" s="25"/>
      <c r="O3214" s="54"/>
      <c r="P3214"/>
      <c r="Q3214" s="25"/>
      <c r="R3214" s="54"/>
      <c r="W3214" s="23"/>
      <c r="X3214" s="23"/>
      <c r="Y3214" s="23"/>
      <c r="Z3214" s="43"/>
      <c r="AA3214" s="23"/>
      <c r="AB3214" s="23"/>
      <c r="AC3214" s="23"/>
      <c r="AD3214" s="23"/>
      <c r="AE3214" s="23"/>
      <c r="AF3214" s="23"/>
      <c r="AG3214" s="23"/>
      <c r="AH3214" s="23"/>
      <c r="AI3214" s="49"/>
    </row>
    <row r="3215" spans="1:35">
      <c r="A3215" s="23"/>
      <c r="B3215" s="42"/>
      <c r="C3215" s="49"/>
      <c r="E3215" s="49"/>
      <c r="G3215" s="43"/>
      <c r="H3215" s="44"/>
      <c r="L3215" s="42"/>
      <c r="M3215" s="42"/>
      <c r="N3215" s="25"/>
      <c r="O3215" s="54"/>
      <c r="P3215"/>
      <c r="Q3215" s="25"/>
      <c r="R3215" s="54"/>
      <c r="W3215" s="23"/>
      <c r="X3215" s="23"/>
      <c r="Y3215" s="23"/>
      <c r="Z3215" s="43"/>
      <c r="AA3215" s="23"/>
      <c r="AB3215" s="23"/>
      <c r="AC3215" s="23"/>
      <c r="AD3215" s="23"/>
      <c r="AE3215" s="23"/>
      <c r="AF3215" s="23"/>
      <c r="AG3215" s="23"/>
      <c r="AH3215" s="23"/>
      <c r="AI3215" s="49"/>
    </row>
    <row r="3216" spans="1:35">
      <c r="A3216" s="23"/>
      <c r="B3216" s="42"/>
      <c r="C3216" s="49"/>
      <c r="E3216" s="49"/>
      <c r="G3216" s="43"/>
      <c r="H3216" s="44"/>
      <c r="L3216" s="42"/>
      <c r="M3216" s="42"/>
      <c r="N3216" s="25"/>
      <c r="O3216" s="54"/>
      <c r="P3216"/>
      <c r="Q3216" s="25"/>
      <c r="R3216" s="54"/>
      <c r="W3216" s="23"/>
      <c r="X3216" s="23"/>
      <c r="Y3216" s="23"/>
      <c r="Z3216" s="43"/>
      <c r="AA3216" s="23"/>
      <c r="AB3216" s="23"/>
      <c r="AC3216" s="23"/>
      <c r="AD3216" s="23"/>
      <c r="AE3216" s="23"/>
      <c r="AF3216" s="23"/>
      <c r="AG3216" s="23"/>
      <c r="AH3216" s="23"/>
      <c r="AI3216" s="49"/>
    </row>
    <row r="3217" spans="1:35">
      <c r="A3217" s="23"/>
      <c r="B3217" s="42"/>
      <c r="C3217" s="49"/>
      <c r="E3217" s="49"/>
      <c r="G3217" s="43"/>
      <c r="H3217" s="44"/>
      <c r="L3217" s="42"/>
      <c r="M3217" s="42"/>
      <c r="N3217" s="25"/>
      <c r="O3217" s="54"/>
      <c r="P3217"/>
      <c r="Q3217" s="25"/>
      <c r="R3217" s="54"/>
      <c r="W3217" s="23"/>
      <c r="X3217" s="23"/>
      <c r="Y3217" s="23"/>
      <c r="Z3217" s="43"/>
      <c r="AA3217" s="23"/>
      <c r="AB3217" s="23"/>
      <c r="AC3217" s="23"/>
      <c r="AD3217" s="23"/>
      <c r="AE3217" s="23"/>
      <c r="AF3217" s="23"/>
      <c r="AG3217" s="23"/>
      <c r="AH3217" s="23"/>
      <c r="AI3217" s="49"/>
    </row>
    <row r="3218" spans="1:35">
      <c r="A3218" s="23"/>
      <c r="B3218" s="42"/>
      <c r="C3218" s="49"/>
      <c r="E3218" s="49"/>
      <c r="G3218" s="43"/>
      <c r="H3218" s="44"/>
      <c r="L3218" s="42"/>
      <c r="M3218" s="42"/>
      <c r="N3218" s="25"/>
      <c r="O3218" s="54"/>
      <c r="P3218"/>
      <c r="Q3218" s="25"/>
      <c r="R3218" s="54"/>
      <c r="W3218" s="23"/>
      <c r="X3218" s="23"/>
      <c r="Y3218" s="23"/>
      <c r="Z3218" s="43"/>
      <c r="AA3218" s="23"/>
      <c r="AB3218" s="23"/>
      <c r="AC3218" s="23"/>
      <c r="AD3218" s="23"/>
      <c r="AE3218" s="23"/>
      <c r="AF3218" s="23"/>
      <c r="AG3218" s="23"/>
      <c r="AH3218" s="23"/>
      <c r="AI3218" s="49"/>
    </row>
    <row r="3219" spans="1:35">
      <c r="A3219" s="23"/>
      <c r="B3219" s="42"/>
      <c r="C3219" s="49"/>
      <c r="E3219" s="49"/>
      <c r="G3219" s="43"/>
      <c r="H3219" s="44"/>
      <c r="L3219" s="42"/>
      <c r="M3219" s="42"/>
      <c r="N3219" s="25"/>
      <c r="O3219" s="54"/>
      <c r="P3219"/>
      <c r="Q3219" s="25"/>
      <c r="R3219" s="54"/>
      <c r="W3219" s="23"/>
      <c r="X3219" s="23"/>
      <c r="Y3219" s="23"/>
      <c r="Z3219" s="43"/>
      <c r="AA3219" s="23"/>
      <c r="AB3219" s="23"/>
      <c r="AC3219" s="23"/>
      <c r="AD3219" s="23"/>
      <c r="AE3219" s="23"/>
      <c r="AF3219" s="23"/>
      <c r="AG3219" s="23"/>
      <c r="AH3219" s="23"/>
      <c r="AI3219" s="49"/>
    </row>
    <row r="3220" spans="1:35">
      <c r="A3220" s="23"/>
      <c r="B3220" s="42"/>
      <c r="C3220" s="49"/>
      <c r="E3220" s="49"/>
      <c r="G3220" s="43"/>
      <c r="H3220" s="44"/>
      <c r="L3220" s="42"/>
      <c r="M3220" s="42"/>
      <c r="N3220" s="25"/>
      <c r="O3220" s="54"/>
      <c r="P3220"/>
      <c r="Q3220" s="25"/>
      <c r="R3220" s="54"/>
      <c r="W3220" s="23"/>
      <c r="X3220" s="23"/>
      <c r="Y3220" s="23"/>
      <c r="Z3220" s="43"/>
      <c r="AA3220" s="23"/>
      <c r="AB3220" s="23"/>
      <c r="AC3220" s="23"/>
      <c r="AD3220" s="23"/>
      <c r="AE3220" s="23"/>
      <c r="AF3220" s="23"/>
      <c r="AG3220" s="23"/>
      <c r="AH3220" s="23"/>
      <c r="AI3220" s="49"/>
    </row>
    <row r="3221" spans="1:35">
      <c r="A3221" s="23"/>
      <c r="B3221" s="42"/>
      <c r="C3221" s="49"/>
      <c r="E3221" s="49"/>
      <c r="G3221" s="43"/>
      <c r="H3221" s="44"/>
      <c r="L3221" s="42"/>
      <c r="M3221" s="42"/>
      <c r="N3221" s="25"/>
      <c r="O3221" s="54"/>
      <c r="P3221"/>
      <c r="Q3221" s="25"/>
      <c r="R3221" s="54"/>
      <c r="W3221" s="23"/>
      <c r="X3221" s="23"/>
      <c r="Y3221" s="23"/>
      <c r="Z3221" s="43"/>
      <c r="AA3221" s="23"/>
      <c r="AB3221" s="23"/>
      <c r="AC3221" s="23"/>
      <c r="AD3221" s="23"/>
      <c r="AE3221" s="23"/>
      <c r="AF3221" s="23"/>
      <c r="AG3221" s="23"/>
      <c r="AH3221" s="23"/>
      <c r="AI3221" s="49"/>
    </row>
    <row r="3222" spans="1:35">
      <c r="A3222" s="23"/>
      <c r="B3222" s="42"/>
      <c r="C3222" s="49"/>
      <c r="E3222" s="49"/>
      <c r="G3222" s="43"/>
      <c r="H3222" s="44"/>
      <c r="L3222" s="42"/>
      <c r="M3222" s="42"/>
      <c r="N3222" s="25"/>
      <c r="O3222" s="54"/>
      <c r="P3222"/>
      <c r="Q3222" s="25"/>
      <c r="R3222" s="54"/>
      <c r="W3222" s="23"/>
      <c r="X3222" s="23"/>
      <c r="Y3222" s="23"/>
      <c r="Z3222" s="43"/>
      <c r="AA3222" s="23"/>
      <c r="AB3222" s="23"/>
      <c r="AC3222" s="23"/>
      <c r="AD3222" s="23"/>
      <c r="AE3222" s="23"/>
      <c r="AF3222" s="23"/>
      <c r="AG3222" s="23"/>
      <c r="AH3222" s="23"/>
      <c r="AI3222" s="49"/>
    </row>
    <row r="3223" spans="1:35">
      <c r="A3223" s="23"/>
      <c r="B3223" s="42"/>
      <c r="C3223" s="49"/>
      <c r="E3223" s="49"/>
      <c r="G3223" s="43"/>
      <c r="H3223" s="44"/>
      <c r="L3223" s="42"/>
      <c r="M3223" s="42"/>
      <c r="N3223" s="25"/>
      <c r="O3223" s="54"/>
      <c r="P3223"/>
      <c r="Q3223" s="25"/>
      <c r="R3223" s="54"/>
      <c r="W3223" s="23"/>
      <c r="X3223" s="23"/>
      <c r="Y3223" s="23"/>
      <c r="Z3223" s="43"/>
      <c r="AA3223" s="23"/>
      <c r="AB3223" s="23"/>
      <c r="AC3223" s="23"/>
      <c r="AD3223" s="23"/>
      <c r="AE3223" s="23"/>
      <c r="AF3223" s="23"/>
      <c r="AG3223" s="23"/>
      <c r="AH3223" s="23"/>
      <c r="AI3223" s="49"/>
    </row>
    <row r="3224" spans="1:35">
      <c r="A3224" s="23"/>
      <c r="B3224" s="42"/>
      <c r="C3224" s="49"/>
      <c r="E3224" s="49"/>
      <c r="G3224" s="43"/>
      <c r="H3224" s="44"/>
      <c r="L3224" s="42"/>
      <c r="M3224" s="42"/>
      <c r="N3224" s="25"/>
      <c r="O3224" s="54"/>
      <c r="P3224"/>
      <c r="Q3224" s="25"/>
      <c r="R3224" s="54"/>
      <c r="W3224" s="23"/>
      <c r="X3224" s="23"/>
      <c r="Y3224" s="23"/>
      <c r="Z3224" s="43"/>
      <c r="AA3224" s="23"/>
      <c r="AB3224" s="23"/>
      <c r="AC3224" s="23"/>
      <c r="AD3224" s="23"/>
      <c r="AE3224" s="23"/>
      <c r="AF3224" s="23"/>
      <c r="AG3224" s="23"/>
      <c r="AH3224" s="23"/>
      <c r="AI3224" s="49"/>
    </row>
    <row r="3225" spans="1:35">
      <c r="A3225" s="23"/>
      <c r="B3225" s="42"/>
      <c r="C3225" s="49"/>
      <c r="E3225" s="49"/>
      <c r="G3225" s="43"/>
      <c r="H3225" s="44"/>
      <c r="L3225" s="42"/>
      <c r="M3225" s="42"/>
      <c r="N3225" s="25"/>
      <c r="O3225" s="54"/>
      <c r="P3225"/>
      <c r="Q3225" s="25"/>
      <c r="R3225" s="54"/>
      <c r="W3225" s="23"/>
      <c r="X3225" s="23"/>
      <c r="Y3225" s="23"/>
      <c r="Z3225" s="43"/>
      <c r="AA3225" s="23"/>
      <c r="AB3225" s="23"/>
      <c r="AC3225" s="23"/>
      <c r="AD3225" s="23"/>
      <c r="AE3225" s="23"/>
      <c r="AF3225" s="23"/>
      <c r="AG3225" s="23"/>
      <c r="AH3225" s="23"/>
      <c r="AI3225" s="49"/>
    </row>
    <row r="3226" spans="1:35">
      <c r="A3226" s="23"/>
      <c r="B3226" s="42"/>
      <c r="C3226" s="49"/>
      <c r="E3226" s="49"/>
      <c r="G3226" s="43"/>
      <c r="H3226" s="44"/>
      <c r="L3226" s="42"/>
      <c r="M3226" s="42"/>
      <c r="N3226" s="25"/>
      <c r="O3226" s="54"/>
      <c r="P3226"/>
      <c r="Q3226" s="25"/>
      <c r="R3226" s="54"/>
      <c r="W3226" s="23"/>
      <c r="X3226" s="23"/>
      <c r="Y3226" s="23"/>
      <c r="Z3226" s="43"/>
      <c r="AA3226" s="23"/>
      <c r="AB3226" s="23"/>
      <c r="AC3226" s="23"/>
      <c r="AD3226" s="23"/>
      <c r="AE3226" s="23"/>
      <c r="AF3226" s="23"/>
      <c r="AG3226" s="23"/>
      <c r="AH3226" s="23"/>
      <c r="AI3226" s="49"/>
    </row>
    <row r="3227" spans="1:35">
      <c r="A3227" s="23"/>
      <c r="B3227" s="42"/>
      <c r="C3227" s="49"/>
      <c r="E3227" s="49"/>
      <c r="G3227" s="43"/>
      <c r="H3227" s="44"/>
      <c r="L3227" s="42"/>
      <c r="M3227" s="42"/>
      <c r="N3227" s="25"/>
      <c r="O3227" s="54"/>
      <c r="P3227"/>
      <c r="Q3227" s="25"/>
      <c r="R3227" s="54"/>
      <c r="W3227" s="23"/>
      <c r="X3227" s="23"/>
      <c r="Y3227" s="23"/>
      <c r="Z3227" s="43"/>
      <c r="AA3227" s="23"/>
      <c r="AB3227" s="23"/>
      <c r="AC3227" s="23"/>
      <c r="AD3227" s="23"/>
      <c r="AE3227" s="23"/>
      <c r="AF3227" s="23"/>
      <c r="AG3227" s="23"/>
      <c r="AH3227" s="23"/>
      <c r="AI3227" s="49"/>
    </row>
    <row r="3228" spans="1:35">
      <c r="A3228" s="23"/>
      <c r="B3228" s="42"/>
      <c r="C3228" s="49"/>
      <c r="E3228" s="49"/>
      <c r="G3228" s="43"/>
      <c r="H3228" s="44"/>
      <c r="L3228" s="42"/>
      <c r="M3228" s="42"/>
      <c r="N3228" s="25"/>
      <c r="O3228" s="54"/>
      <c r="P3228"/>
      <c r="Q3228" s="25"/>
      <c r="R3228" s="54"/>
      <c r="W3228" s="23"/>
      <c r="X3228" s="23"/>
      <c r="Y3228" s="23"/>
      <c r="Z3228" s="43"/>
      <c r="AA3228" s="23"/>
      <c r="AB3228" s="23"/>
      <c r="AC3228" s="23"/>
      <c r="AD3228" s="23"/>
      <c r="AE3228" s="23"/>
      <c r="AF3228" s="23"/>
      <c r="AG3228" s="23"/>
      <c r="AH3228" s="23"/>
      <c r="AI3228" s="49"/>
    </row>
    <row r="3229" spans="1:35">
      <c r="A3229" s="23"/>
      <c r="B3229" s="42"/>
      <c r="C3229" s="49"/>
      <c r="E3229" s="49"/>
      <c r="G3229" s="43"/>
      <c r="H3229" s="44"/>
      <c r="L3229" s="42"/>
      <c r="M3229" s="42"/>
      <c r="N3229" s="25"/>
      <c r="O3229" s="54"/>
      <c r="P3229"/>
      <c r="Q3229" s="25"/>
      <c r="R3229" s="54"/>
      <c r="W3229" s="23"/>
      <c r="X3229" s="23"/>
      <c r="Y3229" s="23"/>
      <c r="Z3229" s="43"/>
      <c r="AA3229" s="23"/>
      <c r="AB3229" s="23"/>
      <c r="AC3229" s="23"/>
      <c r="AD3229" s="23"/>
      <c r="AE3229" s="23"/>
      <c r="AF3229" s="23"/>
      <c r="AG3229" s="23"/>
      <c r="AH3229" s="23"/>
      <c r="AI3229" s="49"/>
    </row>
    <row r="3230" spans="1:35">
      <c r="A3230" s="23"/>
      <c r="B3230" s="42"/>
      <c r="C3230" s="49"/>
      <c r="E3230" s="49"/>
      <c r="G3230" s="43"/>
      <c r="H3230" s="44"/>
      <c r="L3230" s="42"/>
      <c r="M3230" s="42"/>
      <c r="N3230" s="25"/>
      <c r="O3230" s="54"/>
      <c r="P3230"/>
      <c r="Q3230" s="25"/>
      <c r="R3230" s="54"/>
      <c r="W3230" s="23"/>
      <c r="X3230" s="23"/>
      <c r="Y3230" s="23"/>
      <c r="Z3230" s="43"/>
      <c r="AA3230" s="23"/>
      <c r="AB3230" s="23"/>
      <c r="AC3230" s="23"/>
      <c r="AD3230" s="23"/>
      <c r="AE3230" s="23"/>
      <c r="AF3230" s="23"/>
      <c r="AG3230" s="23"/>
      <c r="AH3230" s="23"/>
      <c r="AI3230" s="49"/>
    </row>
    <row r="3231" spans="1:35">
      <c r="A3231" s="23"/>
      <c r="B3231" s="42"/>
      <c r="C3231" s="49"/>
      <c r="E3231" s="49"/>
      <c r="G3231" s="43"/>
      <c r="H3231" s="44"/>
      <c r="L3231" s="42"/>
      <c r="M3231" s="42"/>
      <c r="N3231" s="25"/>
      <c r="O3231" s="54"/>
      <c r="P3231"/>
      <c r="Q3231" s="25"/>
      <c r="R3231" s="54"/>
      <c r="W3231" s="23"/>
      <c r="X3231" s="23"/>
      <c r="Y3231" s="23"/>
      <c r="Z3231" s="43"/>
      <c r="AA3231" s="23"/>
      <c r="AB3231" s="23"/>
      <c r="AC3231" s="23"/>
      <c r="AD3231" s="23"/>
      <c r="AE3231" s="23"/>
      <c r="AF3231" s="23"/>
      <c r="AG3231" s="23"/>
      <c r="AH3231" s="23"/>
      <c r="AI3231" s="49"/>
    </row>
    <row r="3232" spans="1:35">
      <c r="A3232" s="23"/>
      <c r="B3232" s="42"/>
      <c r="C3232" s="49"/>
      <c r="E3232" s="49"/>
      <c r="G3232" s="43"/>
      <c r="H3232" s="44"/>
      <c r="L3232" s="42"/>
      <c r="M3232" s="42"/>
      <c r="N3232" s="25"/>
      <c r="O3232" s="54"/>
      <c r="P3232"/>
      <c r="Q3232" s="25"/>
      <c r="R3232" s="54"/>
      <c r="W3232" s="23"/>
      <c r="X3232" s="23"/>
      <c r="Y3232" s="23"/>
      <c r="Z3232" s="43"/>
      <c r="AA3232" s="23"/>
      <c r="AB3232" s="23"/>
      <c r="AC3232" s="23"/>
      <c r="AD3232" s="23"/>
      <c r="AE3232" s="23"/>
      <c r="AF3232" s="23"/>
      <c r="AG3232" s="23"/>
      <c r="AH3232" s="23"/>
      <c r="AI3232" s="49"/>
    </row>
    <row r="3233" spans="1:35">
      <c r="A3233" s="23"/>
      <c r="B3233" s="42"/>
      <c r="C3233" s="49"/>
      <c r="E3233" s="49"/>
      <c r="G3233" s="43"/>
      <c r="H3233" s="44"/>
      <c r="L3233" s="42"/>
      <c r="M3233" s="42"/>
      <c r="N3233" s="25"/>
      <c r="O3233" s="54"/>
      <c r="P3233"/>
      <c r="Q3233" s="25"/>
      <c r="R3233" s="54"/>
      <c r="W3233" s="23"/>
      <c r="X3233" s="23"/>
      <c r="Y3233" s="23"/>
      <c r="Z3233" s="43"/>
      <c r="AA3233" s="23"/>
      <c r="AB3233" s="23"/>
      <c r="AC3233" s="23"/>
      <c r="AD3233" s="23"/>
      <c r="AE3233" s="23"/>
      <c r="AF3233" s="23"/>
      <c r="AG3233" s="23"/>
      <c r="AH3233" s="23"/>
      <c r="AI3233" s="49"/>
    </row>
    <row r="3234" spans="1:35">
      <c r="A3234" s="23"/>
      <c r="B3234" s="42"/>
      <c r="C3234" s="49"/>
      <c r="E3234" s="49"/>
      <c r="G3234" s="43"/>
      <c r="H3234" s="44"/>
      <c r="L3234" s="42"/>
      <c r="M3234" s="42"/>
      <c r="N3234" s="25"/>
      <c r="O3234" s="54"/>
      <c r="P3234"/>
      <c r="Q3234" s="25"/>
      <c r="R3234" s="54"/>
      <c r="W3234" s="23"/>
      <c r="X3234" s="23"/>
      <c r="Y3234" s="23"/>
      <c r="Z3234" s="43"/>
      <c r="AA3234" s="23"/>
      <c r="AB3234" s="23"/>
      <c r="AC3234" s="23"/>
      <c r="AD3234" s="23"/>
      <c r="AE3234" s="23"/>
      <c r="AF3234" s="23"/>
      <c r="AG3234" s="23"/>
      <c r="AH3234" s="23"/>
      <c r="AI3234" s="49"/>
    </row>
    <row r="3235" spans="1:35">
      <c r="A3235" s="23"/>
      <c r="B3235" s="42"/>
      <c r="C3235" s="49"/>
      <c r="E3235" s="49"/>
      <c r="G3235" s="43"/>
      <c r="H3235" s="44"/>
      <c r="L3235" s="42"/>
      <c r="M3235" s="42"/>
      <c r="N3235" s="25"/>
      <c r="O3235" s="54"/>
      <c r="P3235"/>
      <c r="Q3235" s="25"/>
      <c r="R3235" s="54"/>
      <c r="W3235" s="23"/>
      <c r="X3235" s="23"/>
      <c r="Y3235" s="23"/>
      <c r="Z3235" s="43"/>
      <c r="AA3235" s="23"/>
      <c r="AB3235" s="23"/>
      <c r="AC3235" s="23"/>
      <c r="AD3235" s="23"/>
      <c r="AE3235" s="23"/>
      <c r="AF3235" s="23"/>
      <c r="AG3235" s="23"/>
      <c r="AH3235" s="23"/>
      <c r="AI3235" s="49"/>
    </row>
    <row r="3236" spans="1:35">
      <c r="A3236" s="23"/>
      <c r="B3236" s="42"/>
      <c r="C3236" s="49"/>
      <c r="E3236" s="49"/>
      <c r="G3236" s="43"/>
      <c r="H3236" s="44"/>
      <c r="L3236" s="42"/>
      <c r="M3236" s="42"/>
      <c r="N3236" s="25"/>
      <c r="O3236" s="54"/>
      <c r="P3236"/>
      <c r="Q3236" s="25"/>
      <c r="R3236" s="54"/>
      <c r="W3236" s="23"/>
      <c r="X3236" s="23"/>
      <c r="Y3236" s="23"/>
      <c r="Z3236" s="43"/>
      <c r="AA3236" s="23"/>
      <c r="AB3236" s="23"/>
      <c r="AC3236" s="23"/>
      <c r="AD3236" s="23"/>
      <c r="AE3236" s="23"/>
      <c r="AF3236" s="23"/>
      <c r="AG3236" s="23"/>
      <c r="AH3236" s="23"/>
      <c r="AI3236" s="49"/>
    </row>
    <row r="3237" spans="1:35">
      <c r="A3237" s="23"/>
      <c r="B3237" s="42"/>
      <c r="C3237" s="49"/>
      <c r="E3237" s="49"/>
      <c r="G3237" s="43"/>
      <c r="H3237" s="44"/>
      <c r="L3237" s="42"/>
      <c r="M3237" s="42"/>
      <c r="N3237" s="25"/>
      <c r="O3237" s="54"/>
      <c r="P3237"/>
      <c r="Q3237" s="25"/>
      <c r="R3237" s="54"/>
      <c r="W3237" s="23"/>
      <c r="X3237" s="23"/>
      <c r="Y3237" s="23"/>
      <c r="Z3237" s="43"/>
      <c r="AA3237" s="23"/>
      <c r="AB3237" s="23"/>
      <c r="AC3237" s="23"/>
      <c r="AD3237" s="23"/>
      <c r="AE3237" s="23"/>
      <c r="AF3237" s="23"/>
      <c r="AG3237" s="23"/>
      <c r="AH3237" s="23"/>
      <c r="AI3237" s="49"/>
    </row>
    <row r="3238" spans="1:35">
      <c r="A3238" s="23"/>
      <c r="B3238" s="42"/>
      <c r="C3238" s="49"/>
      <c r="E3238" s="49"/>
      <c r="G3238" s="43"/>
      <c r="H3238" s="44"/>
      <c r="L3238" s="42"/>
      <c r="M3238" s="42"/>
      <c r="N3238" s="25"/>
      <c r="O3238" s="54"/>
      <c r="P3238"/>
      <c r="Q3238" s="25"/>
      <c r="R3238" s="54"/>
      <c r="W3238" s="23"/>
      <c r="X3238" s="23"/>
      <c r="Y3238" s="23"/>
      <c r="Z3238" s="43"/>
      <c r="AA3238" s="23"/>
      <c r="AB3238" s="23"/>
      <c r="AC3238" s="23"/>
      <c r="AD3238" s="23"/>
      <c r="AE3238" s="23"/>
      <c r="AF3238" s="23"/>
      <c r="AG3238" s="23"/>
      <c r="AH3238" s="23"/>
      <c r="AI3238" s="49"/>
    </row>
    <row r="3239" spans="1:35">
      <c r="A3239" s="23"/>
      <c r="B3239" s="42"/>
      <c r="C3239" s="49"/>
      <c r="E3239" s="49"/>
      <c r="G3239" s="43"/>
      <c r="H3239" s="44"/>
      <c r="L3239" s="42"/>
      <c r="M3239" s="42"/>
      <c r="N3239" s="25"/>
      <c r="O3239" s="54"/>
      <c r="P3239"/>
      <c r="Q3239" s="25"/>
      <c r="R3239" s="54"/>
      <c r="W3239" s="23"/>
      <c r="X3239" s="23"/>
      <c r="Y3239" s="23"/>
      <c r="Z3239" s="43"/>
      <c r="AA3239" s="23"/>
      <c r="AB3239" s="23"/>
      <c r="AC3239" s="23"/>
      <c r="AD3239" s="23"/>
      <c r="AE3239" s="23"/>
      <c r="AF3239" s="23"/>
      <c r="AG3239" s="23"/>
      <c r="AH3239" s="23"/>
      <c r="AI3239" s="49"/>
    </row>
    <row r="3240" spans="1:35">
      <c r="A3240" s="23"/>
      <c r="B3240" s="42"/>
      <c r="C3240" s="49"/>
      <c r="E3240" s="49"/>
      <c r="G3240" s="43"/>
      <c r="H3240" s="44"/>
      <c r="L3240" s="42"/>
      <c r="M3240" s="42"/>
      <c r="N3240" s="25"/>
      <c r="O3240" s="54"/>
      <c r="P3240"/>
      <c r="Q3240" s="25"/>
      <c r="R3240" s="54"/>
      <c r="W3240" s="23"/>
      <c r="X3240" s="23"/>
      <c r="Y3240" s="23"/>
      <c r="Z3240" s="43"/>
      <c r="AA3240" s="23"/>
      <c r="AB3240" s="23"/>
      <c r="AC3240" s="23"/>
      <c r="AD3240" s="23"/>
      <c r="AE3240" s="23"/>
      <c r="AF3240" s="23"/>
      <c r="AG3240" s="23"/>
      <c r="AH3240" s="23"/>
      <c r="AI3240" s="49"/>
    </row>
    <row r="3241" spans="1:35">
      <c r="A3241" s="23"/>
      <c r="B3241" s="42"/>
      <c r="C3241" s="49"/>
      <c r="E3241" s="49"/>
      <c r="G3241" s="43"/>
      <c r="H3241" s="44"/>
      <c r="L3241" s="42"/>
      <c r="M3241" s="42"/>
      <c r="N3241" s="25"/>
      <c r="O3241" s="54"/>
      <c r="P3241"/>
      <c r="Q3241" s="25"/>
      <c r="R3241" s="54"/>
      <c r="W3241" s="23"/>
      <c r="X3241" s="23"/>
      <c r="Y3241" s="23"/>
      <c r="Z3241" s="43"/>
      <c r="AA3241" s="23"/>
      <c r="AB3241" s="23"/>
      <c r="AC3241" s="23"/>
      <c r="AD3241" s="23"/>
      <c r="AE3241" s="23"/>
      <c r="AF3241" s="23"/>
      <c r="AG3241" s="23"/>
      <c r="AH3241" s="23"/>
      <c r="AI3241" s="49"/>
    </row>
    <row r="3242" spans="1:35">
      <c r="A3242" s="23"/>
      <c r="B3242" s="42"/>
      <c r="C3242" s="49"/>
      <c r="E3242" s="49"/>
      <c r="G3242" s="43"/>
      <c r="H3242" s="44"/>
      <c r="L3242" s="42"/>
      <c r="M3242" s="42"/>
      <c r="N3242" s="25"/>
      <c r="O3242" s="54"/>
      <c r="P3242"/>
      <c r="Q3242" s="25"/>
      <c r="R3242" s="54"/>
      <c r="W3242" s="23"/>
      <c r="X3242" s="23"/>
      <c r="Y3242" s="23"/>
      <c r="Z3242" s="43"/>
      <c r="AA3242" s="23"/>
      <c r="AB3242" s="23"/>
      <c r="AC3242" s="23"/>
      <c r="AD3242" s="23"/>
      <c r="AE3242" s="23"/>
      <c r="AF3242" s="23"/>
      <c r="AG3242" s="23"/>
      <c r="AH3242" s="23"/>
      <c r="AI3242" s="49"/>
    </row>
    <row r="3243" spans="1:35">
      <c r="A3243" s="23"/>
      <c r="B3243" s="42"/>
      <c r="C3243" s="49"/>
      <c r="E3243" s="49"/>
      <c r="G3243" s="43"/>
      <c r="H3243" s="44"/>
      <c r="L3243" s="42"/>
      <c r="M3243" s="42"/>
      <c r="N3243" s="25"/>
      <c r="O3243" s="54"/>
      <c r="P3243"/>
      <c r="Q3243" s="25"/>
      <c r="R3243" s="54"/>
      <c r="W3243" s="23"/>
      <c r="X3243" s="23"/>
      <c r="Y3243" s="23"/>
      <c r="Z3243" s="43"/>
      <c r="AA3243" s="23"/>
      <c r="AB3243" s="23"/>
      <c r="AC3243" s="23"/>
      <c r="AD3243" s="23"/>
      <c r="AE3243" s="23"/>
      <c r="AF3243" s="23"/>
      <c r="AG3243" s="23"/>
      <c r="AH3243" s="23"/>
      <c r="AI3243" s="49"/>
    </row>
    <row r="3244" spans="1:35">
      <c r="A3244" s="23"/>
      <c r="B3244" s="42"/>
      <c r="C3244" s="49"/>
      <c r="E3244" s="49"/>
      <c r="G3244" s="43"/>
      <c r="H3244" s="44"/>
      <c r="L3244" s="42"/>
      <c r="M3244" s="42"/>
      <c r="N3244" s="25"/>
      <c r="O3244" s="54"/>
      <c r="P3244"/>
      <c r="Q3244" s="25"/>
      <c r="R3244" s="54"/>
      <c r="W3244" s="23"/>
      <c r="X3244" s="23"/>
      <c r="Y3244" s="23"/>
      <c r="Z3244" s="43"/>
      <c r="AA3244" s="23"/>
      <c r="AB3244" s="23"/>
      <c r="AC3244" s="23"/>
      <c r="AD3244" s="23"/>
      <c r="AE3244" s="23"/>
      <c r="AF3244" s="23"/>
      <c r="AG3244" s="23"/>
      <c r="AH3244" s="23"/>
      <c r="AI3244" s="49"/>
    </row>
    <row r="3245" spans="1:35">
      <c r="A3245" s="23"/>
      <c r="B3245" s="42"/>
      <c r="C3245" s="49"/>
      <c r="E3245" s="49"/>
      <c r="G3245" s="43"/>
      <c r="H3245" s="44"/>
      <c r="L3245" s="42"/>
      <c r="M3245" s="42"/>
      <c r="N3245" s="25"/>
      <c r="O3245" s="54"/>
      <c r="P3245"/>
      <c r="Q3245" s="25"/>
      <c r="R3245" s="54"/>
      <c r="W3245" s="23"/>
      <c r="X3245" s="23"/>
      <c r="Y3245" s="23"/>
      <c r="Z3245" s="43"/>
      <c r="AA3245" s="23"/>
      <c r="AB3245" s="23"/>
      <c r="AC3245" s="23"/>
      <c r="AD3245" s="23"/>
      <c r="AE3245" s="23"/>
      <c r="AF3245" s="23"/>
      <c r="AG3245" s="23"/>
      <c r="AH3245" s="23"/>
      <c r="AI3245" s="49"/>
    </row>
    <row r="3246" spans="1:35">
      <c r="A3246" s="23"/>
      <c r="B3246" s="42"/>
      <c r="C3246" s="49"/>
      <c r="E3246" s="49"/>
      <c r="G3246" s="43"/>
      <c r="H3246" s="44"/>
      <c r="L3246" s="42"/>
      <c r="M3246" s="42"/>
      <c r="N3246" s="25"/>
      <c r="O3246" s="54"/>
      <c r="P3246"/>
      <c r="Q3246" s="25"/>
      <c r="R3246" s="54"/>
      <c r="W3246" s="23"/>
      <c r="X3246" s="23"/>
      <c r="Y3246" s="23"/>
      <c r="Z3246" s="43"/>
      <c r="AA3246" s="23"/>
      <c r="AB3246" s="23"/>
      <c r="AC3246" s="23"/>
      <c r="AD3246" s="23"/>
      <c r="AE3246" s="23"/>
      <c r="AF3246" s="23"/>
      <c r="AG3246" s="23"/>
      <c r="AH3246" s="23"/>
      <c r="AI3246" s="49"/>
    </row>
    <row r="3247" spans="1:35">
      <c r="A3247" s="23"/>
      <c r="B3247" s="42"/>
      <c r="C3247" s="49"/>
      <c r="E3247" s="49"/>
      <c r="G3247" s="43"/>
      <c r="H3247" s="44"/>
      <c r="L3247" s="42"/>
      <c r="M3247" s="42"/>
      <c r="N3247" s="25"/>
      <c r="O3247" s="54"/>
      <c r="P3247"/>
      <c r="Q3247" s="25"/>
      <c r="R3247" s="54"/>
      <c r="W3247" s="23"/>
      <c r="X3247" s="23"/>
      <c r="Y3247" s="23"/>
      <c r="Z3247" s="43"/>
      <c r="AA3247" s="23"/>
      <c r="AB3247" s="23"/>
      <c r="AC3247" s="23"/>
      <c r="AD3247" s="23"/>
      <c r="AE3247" s="23"/>
      <c r="AF3247" s="23"/>
      <c r="AG3247" s="23"/>
      <c r="AH3247" s="23"/>
      <c r="AI3247" s="49"/>
    </row>
    <row r="3248" spans="1:35">
      <c r="A3248" s="23"/>
      <c r="B3248" s="42"/>
      <c r="C3248" s="49"/>
      <c r="E3248" s="49"/>
      <c r="G3248" s="43"/>
      <c r="H3248" s="44"/>
      <c r="L3248" s="42"/>
      <c r="M3248" s="42"/>
      <c r="N3248" s="25"/>
      <c r="O3248" s="54"/>
      <c r="P3248"/>
      <c r="Q3248" s="25"/>
      <c r="R3248" s="54"/>
      <c r="W3248" s="23"/>
      <c r="X3248" s="23"/>
      <c r="Y3248" s="23"/>
      <c r="Z3248" s="43"/>
      <c r="AA3248" s="23"/>
      <c r="AB3248" s="23"/>
      <c r="AC3248" s="23"/>
      <c r="AD3248" s="23"/>
      <c r="AE3248" s="23"/>
      <c r="AF3248" s="23"/>
      <c r="AG3248" s="23"/>
      <c r="AH3248" s="23"/>
      <c r="AI3248" s="49"/>
    </row>
    <row r="3249" spans="1:35">
      <c r="A3249" s="23"/>
      <c r="B3249" s="42"/>
      <c r="C3249" s="49"/>
      <c r="E3249" s="49"/>
      <c r="G3249" s="43"/>
      <c r="H3249" s="44"/>
      <c r="L3249" s="42"/>
      <c r="M3249" s="42"/>
      <c r="N3249" s="25"/>
      <c r="O3249" s="54"/>
      <c r="P3249"/>
      <c r="Q3249" s="25"/>
      <c r="R3249" s="54"/>
      <c r="W3249" s="23"/>
      <c r="X3249" s="23"/>
      <c r="Y3249" s="23"/>
      <c r="Z3249" s="43"/>
      <c r="AA3249" s="23"/>
      <c r="AB3249" s="23"/>
      <c r="AC3249" s="23"/>
      <c r="AD3249" s="23"/>
      <c r="AE3249" s="23"/>
      <c r="AF3249" s="23"/>
      <c r="AG3249" s="23"/>
      <c r="AH3249" s="23"/>
      <c r="AI3249" s="49"/>
    </row>
    <row r="3250" spans="1:35">
      <c r="A3250" s="23"/>
      <c r="B3250" s="42"/>
      <c r="C3250" s="49"/>
      <c r="E3250" s="49"/>
      <c r="G3250" s="43"/>
      <c r="H3250" s="44"/>
      <c r="L3250" s="42"/>
      <c r="M3250" s="42"/>
      <c r="N3250" s="25"/>
      <c r="O3250" s="54"/>
      <c r="P3250"/>
      <c r="Q3250" s="25"/>
      <c r="R3250" s="54"/>
      <c r="W3250" s="23"/>
      <c r="X3250" s="23"/>
      <c r="Y3250" s="23"/>
      <c r="Z3250" s="43"/>
      <c r="AA3250" s="23"/>
      <c r="AB3250" s="23"/>
      <c r="AC3250" s="23"/>
      <c r="AD3250" s="23"/>
      <c r="AE3250" s="23"/>
      <c r="AF3250" s="23"/>
      <c r="AG3250" s="23"/>
      <c r="AH3250" s="23"/>
      <c r="AI3250" s="49"/>
    </row>
    <row r="3251" spans="1:35">
      <c r="A3251" s="23"/>
      <c r="B3251" s="42"/>
      <c r="C3251" s="49"/>
      <c r="E3251" s="49"/>
      <c r="G3251" s="43"/>
      <c r="H3251" s="44"/>
      <c r="L3251" s="42"/>
      <c r="M3251" s="42"/>
      <c r="N3251" s="25"/>
      <c r="O3251" s="54"/>
      <c r="P3251"/>
      <c r="Q3251" s="25"/>
      <c r="R3251" s="54"/>
      <c r="W3251" s="23"/>
      <c r="X3251" s="23"/>
      <c r="Y3251" s="23"/>
      <c r="Z3251" s="43"/>
      <c r="AA3251" s="23"/>
      <c r="AB3251" s="23"/>
      <c r="AC3251" s="23"/>
      <c r="AD3251" s="23"/>
      <c r="AE3251" s="23"/>
      <c r="AF3251" s="23"/>
      <c r="AG3251" s="23"/>
      <c r="AH3251" s="23"/>
      <c r="AI3251" s="49"/>
    </row>
    <row r="3252" spans="1:35">
      <c r="A3252" s="23"/>
      <c r="B3252" s="42"/>
      <c r="C3252" s="49"/>
      <c r="E3252" s="49"/>
      <c r="G3252" s="43"/>
      <c r="H3252" s="44"/>
      <c r="L3252" s="42"/>
      <c r="M3252" s="42"/>
      <c r="N3252" s="25"/>
      <c r="O3252" s="54"/>
      <c r="P3252"/>
      <c r="Q3252" s="25"/>
      <c r="R3252" s="54"/>
      <c r="W3252" s="23"/>
      <c r="X3252" s="23"/>
      <c r="Y3252" s="23"/>
      <c r="Z3252" s="43"/>
      <c r="AA3252" s="23"/>
      <c r="AB3252" s="23"/>
      <c r="AC3252" s="23"/>
      <c r="AD3252" s="23"/>
      <c r="AE3252" s="23"/>
      <c r="AF3252" s="23"/>
      <c r="AG3252" s="23"/>
      <c r="AH3252" s="23"/>
      <c r="AI3252" s="49"/>
    </row>
    <row r="3253" spans="1:35">
      <c r="A3253" s="23"/>
      <c r="B3253" s="42"/>
      <c r="C3253" s="49"/>
      <c r="E3253" s="49"/>
      <c r="G3253" s="43"/>
      <c r="H3253" s="44"/>
      <c r="L3253" s="42"/>
      <c r="M3253" s="42"/>
      <c r="N3253" s="25"/>
      <c r="O3253" s="54"/>
      <c r="P3253"/>
      <c r="Q3253" s="25"/>
      <c r="R3253" s="54"/>
      <c r="W3253" s="23"/>
      <c r="X3253" s="23"/>
      <c r="Y3253" s="23"/>
      <c r="Z3253" s="43"/>
      <c r="AA3253" s="23"/>
      <c r="AB3253" s="23"/>
      <c r="AC3253" s="23"/>
      <c r="AD3253" s="23"/>
      <c r="AE3253" s="23"/>
      <c r="AF3253" s="23"/>
      <c r="AG3253" s="23"/>
      <c r="AH3253" s="23"/>
      <c r="AI3253" s="49"/>
    </row>
    <row r="3254" spans="1:35">
      <c r="A3254" s="23"/>
      <c r="B3254" s="42"/>
      <c r="C3254" s="49"/>
      <c r="E3254" s="49"/>
      <c r="G3254" s="43"/>
      <c r="H3254" s="44"/>
      <c r="L3254" s="42"/>
      <c r="M3254" s="42"/>
      <c r="N3254" s="25"/>
      <c r="O3254" s="54"/>
      <c r="P3254"/>
      <c r="Q3254" s="25"/>
      <c r="R3254" s="54"/>
      <c r="W3254" s="23"/>
      <c r="X3254" s="23"/>
      <c r="Y3254" s="23"/>
      <c r="Z3254" s="43"/>
      <c r="AA3254" s="23"/>
      <c r="AB3254" s="23"/>
      <c r="AC3254" s="23"/>
      <c r="AD3254" s="23"/>
      <c r="AE3254" s="23"/>
      <c r="AF3254" s="23"/>
      <c r="AG3254" s="23"/>
      <c r="AH3254" s="23"/>
      <c r="AI3254" s="49"/>
    </row>
    <row r="3255" spans="1:35">
      <c r="A3255" s="23"/>
      <c r="B3255" s="42"/>
      <c r="C3255" s="49"/>
      <c r="E3255" s="49"/>
      <c r="G3255" s="43"/>
      <c r="H3255" s="44"/>
      <c r="L3255" s="42"/>
      <c r="M3255" s="42"/>
      <c r="N3255" s="25"/>
      <c r="O3255" s="54"/>
      <c r="P3255"/>
      <c r="Q3255" s="25"/>
      <c r="R3255" s="54"/>
      <c r="W3255" s="23"/>
      <c r="X3255" s="23"/>
      <c r="Y3255" s="23"/>
      <c r="Z3255" s="43"/>
      <c r="AA3255" s="23"/>
      <c r="AB3255" s="23"/>
      <c r="AC3255" s="23"/>
      <c r="AD3255" s="23"/>
      <c r="AE3255" s="23"/>
      <c r="AF3255" s="23"/>
      <c r="AG3255" s="23"/>
      <c r="AH3255" s="23"/>
      <c r="AI3255" s="49"/>
    </row>
    <row r="3256" spans="1:35">
      <c r="A3256" s="23"/>
      <c r="B3256" s="42"/>
      <c r="C3256" s="49"/>
      <c r="E3256" s="49"/>
      <c r="G3256" s="43"/>
      <c r="H3256" s="44"/>
      <c r="L3256" s="42"/>
      <c r="M3256" s="42"/>
      <c r="N3256" s="25"/>
      <c r="O3256" s="54"/>
      <c r="P3256"/>
      <c r="Q3256" s="25"/>
      <c r="R3256" s="54"/>
      <c r="W3256" s="23"/>
      <c r="X3256" s="23"/>
      <c r="Y3256" s="23"/>
      <c r="Z3256" s="43"/>
      <c r="AA3256" s="23"/>
      <c r="AB3256" s="23"/>
      <c r="AC3256" s="23"/>
      <c r="AD3256" s="23"/>
      <c r="AE3256" s="23"/>
      <c r="AF3256" s="23"/>
      <c r="AG3256" s="23"/>
      <c r="AH3256" s="23"/>
      <c r="AI3256" s="49"/>
    </row>
    <row r="3257" spans="1:35">
      <c r="A3257" s="23"/>
      <c r="B3257" s="42"/>
      <c r="C3257" s="49"/>
      <c r="E3257" s="49"/>
      <c r="G3257" s="43"/>
      <c r="H3257" s="44"/>
      <c r="L3257" s="42"/>
      <c r="M3257" s="42"/>
      <c r="N3257" s="25"/>
      <c r="O3257" s="54"/>
      <c r="P3257"/>
      <c r="Q3257" s="25"/>
      <c r="R3257" s="54"/>
      <c r="W3257" s="23"/>
      <c r="X3257" s="23"/>
      <c r="Y3257" s="23"/>
      <c r="Z3257" s="43"/>
      <c r="AA3257" s="23"/>
      <c r="AB3257" s="23"/>
      <c r="AC3257" s="23"/>
      <c r="AD3257" s="23"/>
      <c r="AE3257" s="23"/>
      <c r="AF3257" s="23"/>
      <c r="AG3257" s="23"/>
      <c r="AH3257" s="23"/>
      <c r="AI3257" s="49"/>
    </row>
    <row r="3258" spans="1:35">
      <c r="A3258" s="23"/>
      <c r="B3258" s="42"/>
      <c r="C3258" s="49"/>
      <c r="E3258" s="49"/>
      <c r="G3258" s="43"/>
      <c r="H3258" s="44"/>
      <c r="L3258" s="42"/>
      <c r="M3258" s="42"/>
      <c r="N3258" s="25"/>
      <c r="O3258" s="54"/>
      <c r="P3258"/>
      <c r="Q3258" s="25"/>
      <c r="R3258" s="54"/>
      <c r="W3258" s="23"/>
      <c r="X3258" s="23"/>
      <c r="Y3258" s="23"/>
      <c r="Z3258" s="43"/>
      <c r="AA3258" s="23"/>
      <c r="AB3258" s="23"/>
      <c r="AC3258" s="23"/>
      <c r="AD3258" s="23"/>
      <c r="AE3258" s="23"/>
      <c r="AF3258" s="23"/>
      <c r="AG3258" s="23"/>
      <c r="AH3258" s="23"/>
      <c r="AI3258" s="49"/>
    </row>
    <row r="3259" spans="1:35">
      <c r="B3259" s="42"/>
      <c r="G3259" s="43"/>
      <c r="H3259" s="44"/>
      <c r="L3259" s="42"/>
      <c r="M3259" s="42"/>
      <c r="N3259" s="25"/>
      <c r="O3259" s="54"/>
      <c r="P3259"/>
      <c r="Q3259" s="25"/>
      <c r="R3259" s="54"/>
      <c r="W3259" s="23"/>
      <c r="X3259" s="23"/>
      <c r="Y3259" s="23"/>
      <c r="Z3259" s="43"/>
      <c r="AA3259" s="23"/>
      <c r="AB3259" s="23"/>
      <c r="AC3259" s="23"/>
      <c r="AD3259" s="23"/>
      <c r="AE3259" s="23"/>
      <c r="AF3259" s="23"/>
      <c r="AG3259" s="23"/>
      <c r="AH3259" s="23"/>
    </row>
    <row r="3260" spans="1:35">
      <c r="A3260" s="23"/>
      <c r="B3260" s="42"/>
      <c r="C3260" s="49"/>
      <c r="E3260" s="49"/>
      <c r="G3260" s="43"/>
      <c r="H3260" s="44"/>
      <c r="L3260" s="42"/>
      <c r="M3260" s="42"/>
      <c r="N3260" s="25"/>
      <c r="O3260" s="54"/>
      <c r="P3260"/>
      <c r="Q3260" s="25"/>
      <c r="R3260" s="54"/>
      <c r="W3260" s="23"/>
      <c r="X3260" s="23"/>
      <c r="Y3260" s="23"/>
      <c r="Z3260" s="43"/>
      <c r="AA3260" s="23"/>
      <c r="AB3260" s="23"/>
      <c r="AC3260" s="23"/>
      <c r="AD3260" s="23"/>
      <c r="AE3260" s="23"/>
      <c r="AF3260" s="23"/>
      <c r="AG3260" s="23"/>
      <c r="AH3260" s="23"/>
      <c r="AI3260" s="49"/>
    </row>
    <row r="3261" spans="1:35">
      <c r="A3261" s="23"/>
      <c r="B3261" s="42"/>
      <c r="C3261" s="49"/>
      <c r="E3261" s="49"/>
      <c r="G3261" s="43"/>
      <c r="H3261" s="44"/>
      <c r="L3261" s="42"/>
      <c r="M3261" s="42"/>
      <c r="N3261" s="25"/>
      <c r="O3261" s="54"/>
      <c r="P3261"/>
      <c r="Q3261" s="25"/>
      <c r="R3261" s="54"/>
      <c r="W3261" s="23"/>
      <c r="X3261" s="23"/>
      <c r="Y3261" s="23"/>
      <c r="Z3261" s="43"/>
      <c r="AA3261" s="23"/>
      <c r="AB3261" s="23"/>
      <c r="AC3261" s="23"/>
      <c r="AD3261" s="23"/>
      <c r="AE3261" s="23"/>
      <c r="AF3261" s="23"/>
      <c r="AG3261" s="23"/>
      <c r="AH3261" s="23"/>
      <c r="AI3261" s="49"/>
    </row>
    <row r="3262" spans="1:35">
      <c r="A3262" s="23"/>
      <c r="B3262" s="42"/>
      <c r="C3262" s="49"/>
      <c r="E3262" s="49"/>
      <c r="G3262" s="43"/>
      <c r="H3262" s="44"/>
      <c r="L3262" s="42"/>
      <c r="M3262" s="42"/>
      <c r="N3262" s="25"/>
      <c r="O3262" s="54"/>
      <c r="P3262"/>
      <c r="Q3262" s="25"/>
      <c r="R3262" s="54"/>
      <c r="W3262" s="23"/>
      <c r="X3262" s="23"/>
      <c r="Y3262" s="23"/>
      <c r="Z3262" s="43"/>
      <c r="AA3262" s="23"/>
      <c r="AB3262" s="23"/>
      <c r="AC3262" s="23"/>
      <c r="AD3262" s="23"/>
      <c r="AE3262" s="23"/>
      <c r="AF3262" s="23"/>
      <c r="AG3262" s="23"/>
      <c r="AH3262" s="23"/>
      <c r="AI3262" s="49"/>
    </row>
    <row r="3263" spans="1:35">
      <c r="A3263" s="23"/>
      <c r="B3263" s="42"/>
      <c r="C3263" s="49"/>
      <c r="E3263" s="49"/>
      <c r="G3263" s="43"/>
      <c r="H3263" s="44"/>
      <c r="L3263" s="42"/>
      <c r="M3263" s="42"/>
      <c r="N3263" s="25"/>
      <c r="O3263" s="54"/>
      <c r="P3263"/>
      <c r="Q3263" s="25"/>
      <c r="R3263" s="54"/>
      <c r="W3263" s="23"/>
      <c r="X3263" s="23"/>
      <c r="Y3263" s="23"/>
      <c r="Z3263" s="43"/>
      <c r="AA3263" s="23"/>
      <c r="AB3263" s="23"/>
      <c r="AC3263" s="23"/>
      <c r="AD3263" s="23"/>
      <c r="AE3263" s="23"/>
      <c r="AF3263" s="23"/>
      <c r="AG3263" s="23"/>
      <c r="AH3263" s="23"/>
      <c r="AI3263" s="49"/>
    </row>
    <row r="3264" spans="1:35">
      <c r="A3264" s="23"/>
      <c r="B3264" s="42"/>
      <c r="C3264" s="49"/>
      <c r="E3264" s="49"/>
      <c r="G3264" s="43"/>
      <c r="H3264" s="44"/>
      <c r="L3264" s="42"/>
      <c r="M3264" s="42"/>
      <c r="N3264" s="25"/>
      <c r="O3264" s="54"/>
      <c r="P3264"/>
      <c r="Q3264" s="25"/>
      <c r="R3264" s="54"/>
      <c r="W3264" s="23"/>
      <c r="X3264" s="23"/>
      <c r="Y3264" s="23"/>
      <c r="Z3264" s="43"/>
      <c r="AA3264" s="23"/>
      <c r="AB3264" s="23"/>
      <c r="AC3264" s="23"/>
      <c r="AD3264" s="23"/>
      <c r="AE3264" s="23"/>
      <c r="AF3264" s="23"/>
      <c r="AG3264" s="23"/>
      <c r="AH3264" s="23"/>
      <c r="AI3264" s="49"/>
    </row>
    <row r="3265" spans="1:35">
      <c r="A3265" s="23"/>
      <c r="B3265" s="42"/>
      <c r="C3265" s="49"/>
      <c r="E3265" s="49"/>
      <c r="G3265" s="43"/>
      <c r="H3265" s="44"/>
      <c r="L3265" s="42"/>
      <c r="M3265" s="42"/>
      <c r="N3265" s="25"/>
      <c r="O3265" s="54"/>
      <c r="P3265"/>
      <c r="Q3265" s="25"/>
      <c r="R3265" s="54"/>
      <c r="W3265" s="23"/>
      <c r="X3265" s="23"/>
      <c r="Y3265" s="23"/>
      <c r="Z3265" s="43"/>
      <c r="AA3265" s="23"/>
      <c r="AB3265" s="23"/>
      <c r="AC3265" s="23"/>
      <c r="AD3265" s="23"/>
      <c r="AE3265" s="23"/>
      <c r="AF3265" s="23"/>
      <c r="AG3265" s="23"/>
      <c r="AH3265" s="23"/>
      <c r="AI3265" s="49"/>
    </row>
    <row r="3266" spans="1:35">
      <c r="A3266" s="23"/>
      <c r="B3266" s="42"/>
      <c r="C3266" s="49"/>
      <c r="E3266" s="49"/>
      <c r="G3266" s="43"/>
      <c r="H3266" s="44"/>
      <c r="L3266" s="42"/>
      <c r="M3266" s="42"/>
      <c r="N3266" s="25"/>
      <c r="O3266" s="54"/>
      <c r="P3266"/>
      <c r="Q3266" s="25"/>
      <c r="R3266" s="54"/>
      <c r="W3266" s="23"/>
      <c r="X3266" s="23"/>
      <c r="Y3266" s="23"/>
      <c r="Z3266" s="43"/>
      <c r="AA3266" s="23"/>
      <c r="AB3266" s="23"/>
      <c r="AC3266" s="23"/>
      <c r="AD3266" s="23"/>
      <c r="AE3266" s="23"/>
      <c r="AF3266" s="23"/>
      <c r="AG3266" s="23"/>
      <c r="AH3266" s="23"/>
      <c r="AI3266" s="49"/>
    </row>
    <row r="3267" spans="1:35">
      <c r="A3267" s="23"/>
      <c r="B3267" s="42"/>
      <c r="C3267" s="49"/>
      <c r="E3267" s="49"/>
      <c r="G3267" s="43"/>
      <c r="H3267" s="44"/>
      <c r="L3267" s="42"/>
      <c r="M3267" s="42"/>
      <c r="N3267" s="25"/>
      <c r="O3267" s="54"/>
      <c r="P3267"/>
      <c r="Q3267" s="25"/>
      <c r="R3267" s="54"/>
      <c r="W3267" s="23"/>
      <c r="X3267" s="23"/>
      <c r="Y3267" s="23"/>
      <c r="Z3267" s="43"/>
      <c r="AA3267" s="23"/>
      <c r="AB3267" s="23"/>
      <c r="AC3267" s="23"/>
      <c r="AD3267" s="23"/>
      <c r="AE3267" s="23"/>
      <c r="AF3267" s="23"/>
      <c r="AG3267" s="23"/>
      <c r="AH3267" s="23"/>
      <c r="AI3267" s="49"/>
    </row>
    <row r="3268" spans="1:35">
      <c r="A3268" s="23"/>
      <c r="B3268" s="42"/>
      <c r="C3268" s="49"/>
      <c r="E3268" s="49"/>
      <c r="G3268" s="43"/>
      <c r="H3268" s="44"/>
      <c r="L3268" s="42"/>
      <c r="M3268" s="42"/>
      <c r="N3268" s="25"/>
      <c r="O3268" s="54"/>
      <c r="P3268"/>
      <c r="Q3268" s="25"/>
      <c r="R3268" s="54"/>
      <c r="W3268" s="23"/>
      <c r="X3268" s="23"/>
      <c r="Y3268" s="23"/>
      <c r="Z3268" s="43"/>
      <c r="AA3268" s="23"/>
      <c r="AB3268" s="23"/>
      <c r="AC3268" s="23"/>
      <c r="AD3268" s="23"/>
      <c r="AE3268" s="23"/>
      <c r="AF3268" s="23"/>
      <c r="AG3268" s="23"/>
      <c r="AH3268" s="23"/>
      <c r="AI3268" s="49"/>
    </row>
    <row r="3269" spans="1:35">
      <c r="A3269" s="23"/>
      <c r="B3269" s="42"/>
      <c r="C3269" s="49"/>
      <c r="E3269" s="49"/>
      <c r="G3269" s="43"/>
      <c r="H3269" s="44"/>
      <c r="L3269" s="42"/>
      <c r="M3269" s="42"/>
      <c r="N3269" s="25"/>
      <c r="O3269" s="54"/>
      <c r="P3269"/>
      <c r="Q3269" s="25"/>
      <c r="R3269" s="54"/>
      <c r="W3269" s="23"/>
      <c r="X3269" s="23"/>
      <c r="Y3269" s="23"/>
      <c r="Z3269" s="43"/>
      <c r="AA3269" s="23"/>
      <c r="AB3269" s="23"/>
      <c r="AC3269" s="23"/>
      <c r="AD3269" s="23"/>
      <c r="AE3269" s="23"/>
      <c r="AF3269" s="23"/>
      <c r="AG3269" s="23"/>
      <c r="AH3269" s="23"/>
      <c r="AI3269" s="49"/>
    </row>
    <row r="3270" spans="1:35">
      <c r="A3270" s="23"/>
      <c r="B3270" s="42"/>
      <c r="C3270" s="49"/>
      <c r="E3270" s="49"/>
      <c r="G3270" s="43"/>
      <c r="H3270" s="44"/>
      <c r="L3270" s="42"/>
      <c r="M3270" s="42"/>
      <c r="N3270" s="25"/>
      <c r="O3270" s="54"/>
      <c r="P3270"/>
      <c r="Q3270" s="25"/>
      <c r="R3270" s="54"/>
      <c r="W3270" s="23"/>
      <c r="X3270" s="23"/>
      <c r="Y3270" s="23"/>
      <c r="Z3270" s="43"/>
      <c r="AA3270" s="23"/>
      <c r="AB3270" s="23"/>
      <c r="AC3270" s="23"/>
      <c r="AD3270" s="23"/>
      <c r="AE3270" s="23"/>
      <c r="AF3270" s="23"/>
      <c r="AG3270" s="23"/>
      <c r="AH3270" s="23"/>
      <c r="AI3270" s="49"/>
    </row>
    <row r="3271" spans="1:35">
      <c r="A3271" s="23"/>
      <c r="B3271" s="42"/>
      <c r="C3271" s="49"/>
      <c r="E3271" s="49"/>
      <c r="G3271" s="43"/>
      <c r="H3271" s="44"/>
      <c r="L3271" s="42"/>
      <c r="M3271" s="42"/>
      <c r="N3271" s="25"/>
      <c r="O3271" s="54"/>
      <c r="P3271"/>
      <c r="Q3271" s="25"/>
      <c r="R3271" s="54"/>
      <c r="W3271" s="23"/>
      <c r="X3271" s="23"/>
      <c r="Y3271" s="23"/>
      <c r="Z3271" s="43"/>
      <c r="AA3271" s="23"/>
      <c r="AB3271" s="23"/>
      <c r="AC3271" s="23"/>
      <c r="AD3271" s="23"/>
      <c r="AE3271" s="23"/>
      <c r="AF3271" s="23"/>
      <c r="AG3271" s="23"/>
      <c r="AH3271" s="23"/>
      <c r="AI3271" s="49"/>
    </row>
    <row r="3272" spans="1:35">
      <c r="A3272" s="23"/>
      <c r="B3272" s="42"/>
      <c r="C3272" s="49"/>
      <c r="E3272" s="49"/>
      <c r="G3272" s="43"/>
      <c r="H3272" s="44"/>
      <c r="L3272" s="42"/>
      <c r="M3272" s="42"/>
      <c r="N3272" s="25"/>
      <c r="O3272" s="54"/>
      <c r="P3272"/>
      <c r="Q3272" s="25"/>
      <c r="R3272" s="54"/>
      <c r="W3272" s="23"/>
      <c r="X3272" s="23"/>
      <c r="Y3272" s="23"/>
      <c r="Z3272" s="43"/>
      <c r="AA3272" s="23"/>
      <c r="AB3272" s="23"/>
      <c r="AC3272" s="23"/>
      <c r="AD3272" s="23"/>
      <c r="AE3272" s="23"/>
      <c r="AF3272" s="23"/>
      <c r="AG3272" s="23"/>
      <c r="AH3272" s="23"/>
      <c r="AI3272" s="49"/>
    </row>
    <row r="3273" spans="1:35">
      <c r="A3273" s="23"/>
      <c r="B3273" s="42"/>
      <c r="C3273" s="49"/>
      <c r="E3273" s="49"/>
      <c r="G3273" s="43"/>
      <c r="H3273" s="44"/>
      <c r="L3273" s="42"/>
      <c r="M3273" s="42"/>
      <c r="N3273" s="25"/>
      <c r="O3273" s="54"/>
      <c r="P3273"/>
      <c r="Q3273" s="25"/>
      <c r="R3273" s="54"/>
      <c r="W3273" s="23"/>
      <c r="X3273" s="23"/>
      <c r="Y3273" s="23"/>
      <c r="Z3273" s="43"/>
      <c r="AA3273" s="23"/>
      <c r="AB3273" s="23"/>
      <c r="AC3273" s="23"/>
      <c r="AD3273" s="23"/>
      <c r="AE3273" s="23"/>
      <c r="AF3273" s="23"/>
      <c r="AG3273" s="23"/>
      <c r="AH3273" s="23"/>
      <c r="AI3273" s="49"/>
    </row>
    <row r="3274" spans="1:35">
      <c r="A3274" s="23"/>
      <c r="B3274" s="42"/>
      <c r="C3274" s="49"/>
      <c r="E3274" s="49"/>
      <c r="G3274" s="43"/>
      <c r="H3274" s="44"/>
      <c r="L3274" s="42"/>
      <c r="M3274" s="42"/>
      <c r="N3274" s="25"/>
      <c r="O3274" s="54"/>
      <c r="P3274"/>
      <c r="Q3274" s="25"/>
      <c r="R3274" s="54"/>
      <c r="W3274" s="23"/>
      <c r="X3274" s="23"/>
      <c r="Y3274" s="23"/>
      <c r="Z3274" s="43"/>
      <c r="AA3274" s="23"/>
      <c r="AB3274" s="23"/>
      <c r="AC3274" s="23"/>
      <c r="AD3274" s="23"/>
      <c r="AE3274" s="23"/>
      <c r="AF3274" s="23"/>
      <c r="AG3274" s="23"/>
      <c r="AH3274" s="23"/>
      <c r="AI3274" s="49"/>
    </row>
    <row r="3275" spans="1:35">
      <c r="A3275" s="23"/>
      <c r="B3275" s="42"/>
      <c r="C3275" s="49"/>
      <c r="E3275" s="49"/>
      <c r="G3275" s="43"/>
      <c r="H3275" s="44"/>
      <c r="L3275" s="42"/>
      <c r="M3275" s="42"/>
      <c r="N3275" s="25"/>
      <c r="O3275" s="54"/>
      <c r="P3275"/>
      <c r="Q3275" s="25"/>
      <c r="R3275" s="54"/>
      <c r="W3275" s="23"/>
      <c r="X3275" s="23"/>
      <c r="Y3275" s="23"/>
      <c r="Z3275" s="43"/>
      <c r="AA3275" s="23"/>
      <c r="AB3275" s="23"/>
      <c r="AC3275" s="23"/>
      <c r="AD3275" s="23"/>
      <c r="AE3275" s="23"/>
      <c r="AF3275" s="23"/>
      <c r="AG3275" s="23"/>
      <c r="AH3275" s="23"/>
      <c r="AI3275" s="49"/>
    </row>
    <row r="3276" spans="1:35">
      <c r="A3276" s="23"/>
      <c r="B3276" s="42"/>
      <c r="C3276" s="49"/>
      <c r="E3276" s="49"/>
      <c r="G3276" s="43"/>
      <c r="H3276" s="44"/>
      <c r="L3276" s="42"/>
      <c r="M3276" s="42"/>
      <c r="N3276" s="25"/>
      <c r="O3276" s="54"/>
      <c r="P3276"/>
      <c r="Q3276" s="25"/>
      <c r="R3276" s="54"/>
      <c r="W3276" s="23"/>
      <c r="X3276" s="23"/>
      <c r="Y3276" s="23"/>
      <c r="Z3276" s="43"/>
      <c r="AA3276" s="23"/>
      <c r="AB3276" s="23"/>
      <c r="AC3276" s="23"/>
      <c r="AD3276" s="23"/>
      <c r="AE3276" s="23"/>
      <c r="AF3276" s="23"/>
      <c r="AG3276" s="23"/>
      <c r="AH3276" s="23"/>
      <c r="AI3276" s="49"/>
    </row>
    <row r="3277" spans="1:35">
      <c r="A3277" s="23"/>
      <c r="B3277" s="42"/>
      <c r="C3277" s="49"/>
      <c r="E3277" s="49"/>
      <c r="G3277" s="43"/>
      <c r="H3277" s="44"/>
      <c r="L3277" s="42"/>
      <c r="M3277" s="42"/>
      <c r="N3277" s="25"/>
      <c r="O3277" s="54"/>
      <c r="P3277"/>
      <c r="Q3277" s="25"/>
      <c r="R3277" s="54"/>
      <c r="W3277" s="23"/>
      <c r="X3277" s="23"/>
      <c r="Y3277" s="23"/>
      <c r="Z3277" s="43"/>
      <c r="AA3277" s="23"/>
      <c r="AB3277" s="23"/>
      <c r="AC3277" s="23"/>
      <c r="AD3277" s="23"/>
      <c r="AE3277" s="23"/>
      <c r="AF3277" s="23"/>
      <c r="AG3277" s="23"/>
      <c r="AH3277" s="23"/>
      <c r="AI3277" s="49"/>
    </row>
    <row r="3278" spans="1:35">
      <c r="A3278" s="23"/>
      <c r="B3278" s="42"/>
      <c r="C3278" s="49"/>
      <c r="E3278" s="49"/>
      <c r="G3278" s="43"/>
      <c r="H3278" s="44"/>
      <c r="L3278" s="42"/>
      <c r="M3278" s="42"/>
      <c r="N3278" s="25"/>
      <c r="O3278" s="54"/>
      <c r="P3278"/>
      <c r="Q3278" s="25"/>
      <c r="R3278" s="54"/>
      <c r="W3278" s="23"/>
      <c r="X3278" s="23"/>
      <c r="Y3278" s="23"/>
      <c r="Z3278" s="43"/>
      <c r="AA3278" s="23"/>
      <c r="AB3278" s="23"/>
      <c r="AC3278" s="23"/>
      <c r="AD3278" s="23"/>
      <c r="AE3278" s="23"/>
      <c r="AF3278" s="23"/>
      <c r="AG3278" s="23"/>
      <c r="AH3278" s="23"/>
      <c r="AI3278" s="49"/>
    </row>
    <row r="3279" spans="1:35">
      <c r="A3279" s="23"/>
      <c r="B3279" s="42"/>
      <c r="C3279" s="49"/>
      <c r="E3279" s="49"/>
      <c r="G3279" s="43"/>
      <c r="H3279" s="44"/>
      <c r="L3279" s="42"/>
      <c r="M3279" s="42"/>
      <c r="N3279" s="25"/>
      <c r="O3279" s="54"/>
      <c r="P3279"/>
      <c r="Q3279" s="25"/>
      <c r="R3279" s="54"/>
      <c r="W3279" s="23"/>
      <c r="X3279" s="23"/>
      <c r="Y3279" s="23"/>
      <c r="Z3279" s="43"/>
      <c r="AA3279" s="23"/>
      <c r="AB3279" s="23"/>
      <c r="AC3279" s="23"/>
      <c r="AD3279" s="23"/>
      <c r="AE3279" s="23"/>
      <c r="AF3279" s="23"/>
      <c r="AG3279" s="23"/>
      <c r="AH3279" s="23"/>
      <c r="AI3279" s="49"/>
    </row>
    <row r="3280" spans="1:35">
      <c r="A3280" s="23"/>
      <c r="B3280" s="42"/>
      <c r="C3280" s="49"/>
      <c r="E3280" s="49"/>
      <c r="G3280" s="43"/>
      <c r="H3280" s="44"/>
      <c r="L3280" s="42"/>
      <c r="M3280" s="42"/>
      <c r="N3280" s="25"/>
      <c r="O3280" s="54"/>
      <c r="P3280"/>
      <c r="Q3280" s="25"/>
      <c r="R3280" s="54"/>
      <c r="W3280" s="23"/>
      <c r="X3280" s="23"/>
      <c r="Y3280" s="23"/>
      <c r="Z3280" s="43"/>
      <c r="AA3280" s="23"/>
      <c r="AB3280" s="23"/>
      <c r="AC3280" s="23"/>
      <c r="AD3280" s="23"/>
      <c r="AE3280" s="23"/>
      <c r="AF3280" s="23"/>
      <c r="AG3280" s="23"/>
      <c r="AH3280" s="23"/>
      <c r="AI3280" s="49"/>
    </row>
    <row r="3281" spans="1:35">
      <c r="A3281" s="23"/>
      <c r="B3281" s="42"/>
      <c r="C3281" s="49"/>
      <c r="E3281" s="49"/>
      <c r="G3281" s="43"/>
      <c r="H3281" s="44"/>
      <c r="L3281" s="42"/>
      <c r="M3281" s="42"/>
      <c r="N3281" s="25"/>
      <c r="O3281" s="54"/>
      <c r="P3281"/>
      <c r="Q3281" s="25"/>
      <c r="R3281" s="54"/>
      <c r="W3281" s="23"/>
      <c r="X3281" s="23"/>
      <c r="Y3281" s="23"/>
      <c r="Z3281" s="43"/>
      <c r="AA3281" s="23"/>
      <c r="AB3281" s="23"/>
      <c r="AC3281" s="23"/>
      <c r="AD3281" s="23"/>
      <c r="AE3281" s="23"/>
      <c r="AF3281" s="23"/>
      <c r="AG3281" s="23"/>
      <c r="AH3281" s="23"/>
      <c r="AI3281" s="49"/>
    </row>
    <row r="3282" spans="1:35">
      <c r="A3282" s="23"/>
      <c r="B3282" s="42"/>
      <c r="C3282" s="49"/>
      <c r="E3282" s="49"/>
      <c r="G3282" s="43"/>
      <c r="H3282" s="44"/>
      <c r="L3282" s="42"/>
      <c r="M3282" s="42"/>
      <c r="N3282" s="25"/>
      <c r="O3282" s="54"/>
      <c r="P3282"/>
      <c r="Q3282" s="25"/>
      <c r="R3282" s="54"/>
      <c r="W3282" s="23"/>
      <c r="X3282" s="23"/>
      <c r="Y3282" s="23"/>
      <c r="Z3282" s="43"/>
      <c r="AA3282" s="23"/>
      <c r="AB3282" s="23"/>
      <c r="AC3282" s="23"/>
      <c r="AD3282" s="23"/>
      <c r="AE3282" s="23"/>
      <c r="AF3282" s="23"/>
      <c r="AG3282" s="23"/>
      <c r="AH3282" s="23"/>
      <c r="AI3282" s="49"/>
    </row>
    <row r="3283" spans="1:35">
      <c r="A3283" s="23"/>
      <c r="B3283" s="42"/>
      <c r="C3283" s="49"/>
      <c r="E3283" s="49"/>
      <c r="G3283" s="43"/>
      <c r="H3283" s="44"/>
      <c r="L3283" s="42"/>
      <c r="M3283" s="42"/>
      <c r="N3283" s="25"/>
      <c r="O3283" s="54"/>
      <c r="P3283"/>
      <c r="Q3283" s="25"/>
      <c r="R3283" s="54"/>
      <c r="W3283" s="23"/>
      <c r="X3283" s="23"/>
      <c r="Y3283" s="23"/>
      <c r="Z3283" s="43"/>
      <c r="AA3283" s="23"/>
      <c r="AB3283" s="23"/>
      <c r="AC3283" s="23"/>
      <c r="AD3283" s="23"/>
      <c r="AE3283" s="23"/>
      <c r="AF3283" s="23"/>
      <c r="AG3283" s="23"/>
      <c r="AH3283" s="23"/>
      <c r="AI3283" s="49"/>
    </row>
    <row r="3284" spans="1:35">
      <c r="A3284" s="23"/>
      <c r="B3284" s="42"/>
      <c r="C3284" s="49"/>
      <c r="E3284" s="49"/>
      <c r="G3284" s="43"/>
      <c r="H3284" s="44"/>
      <c r="L3284" s="42"/>
      <c r="M3284" s="42"/>
      <c r="N3284" s="25"/>
      <c r="O3284" s="54"/>
      <c r="P3284"/>
      <c r="Q3284" s="25"/>
      <c r="R3284" s="54"/>
      <c r="W3284" s="23"/>
      <c r="X3284" s="23"/>
      <c r="Y3284" s="23"/>
      <c r="Z3284" s="43"/>
      <c r="AA3284" s="23"/>
      <c r="AB3284" s="23"/>
      <c r="AC3284" s="23"/>
      <c r="AD3284" s="23"/>
      <c r="AE3284" s="23"/>
      <c r="AF3284" s="23"/>
      <c r="AG3284" s="23"/>
      <c r="AH3284" s="23"/>
      <c r="AI3284" s="49"/>
    </row>
    <row r="3285" spans="1:35">
      <c r="A3285" s="23"/>
      <c r="B3285" s="42"/>
      <c r="C3285" s="49"/>
      <c r="E3285" s="49"/>
      <c r="G3285" s="43"/>
      <c r="H3285" s="44"/>
      <c r="L3285" s="42"/>
      <c r="M3285" s="42"/>
      <c r="N3285" s="25"/>
      <c r="O3285" s="54"/>
      <c r="P3285"/>
      <c r="Q3285" s="25"/>
      <c r="R3285" s="54"/>
      <c r="W3285" s="23"/>
      <c r="X3285" s="23"/>
      <c r="Y3285" s="23"/>
      <c r="Z3285" s="43"/>
      <c r="AA3285" s="23"/>
      <c r="AB3285" s="23"/>
      <c r="AC3285" s="23"/>
      <c r="AD3285" s="23"/>
      <c r="AE3285" s="23"/>
      <c r="AF3285" s="23"/>
      <c r="AG3285" s="23"/>
      <c r="AH3285" s="23"/>
      <c r="AI3285" s="49"/>
    </row>
    <row r="3286" spans="1:35">
      <c r="A3286" s="23"/>
      <c r="B3286" s="42"/>
      <c r="C3286" s="49"/>
      <c r="E3286" s="49"/>
      <c r="G3286" s="43"/>
      <c r="H3286" s="44"/>
      <c r="L3286" s="42"/>
      <c r="M3286" s="42"/>
      <c r="N3286" s="25"/>
      <c r="O3286" s="54"/>
      <c r="P3286"/>
      <c r="Q3286" s="25"/>
      <c r="R3286" s="54"/>
      <c r="W3286" s="23"/>
      <c r="X3286" s="23"/>
      <c r="Y3286" s="23"/>
      <c r="Z3286" s="43"/>
      <c r="AA3286" s="23"/>
      <c r="AB3286" s="23"/>
      <c r="AC3286" s="23"/>
      <c r="AD3286" s="23"/>
      <c r="AE3286" s="23"/>
      <c r="AF3286" s="23"/>
      <c r="AG3286" s="23"/>
      <c r="AH3286" s="23"/>
      <c r="AI3286" s="49"/>
    </row>
    <row r="3287" spans="1:35">
      <c r="A3287" s="23"/>
      <c r="B3287" s="42"/>
      <c r="C3287" s="49"/>
      <c r="E3287" s="49"/>
      <c r="G3287" s="43"/>
      <c r="H3287" s="44"/>
      <c r="L3287" s="42"/>
      <c r="M3287" s="42"/>
      <c r="N3287" s="25"/>
      <c r="O3287" s="54"/>
      <c r="P3287"/>
      <c r="Q3287" s="25"/>
      <c r="R3287" s="54"/>
      <c r="W3287" s="23"/>
      <c r="X3287" s="23"/>
      <c r="Y3287" s="23"/>
      <c r="Z3287" s="43"/>
      <c r="AA3287" s="23"/>
      <c r="AB3287" s="23"/>
      <c r="AC3287" s="23"/>
      <c r="AD3287" s="23"/>
      <c r="AE3287" s="23"/>
      <c r="AF3287" s="23"/>
      <c r="AG3287" s="23"/>
      <c r="AH3287" s="23"/>
      <c r="AI3287" s="49"/>
    </row>
    <row r="3288" spans="1:35">
      <c r="A3288" s="23"/>
      <c r="B3288" s="42"/>
      <c r="C3288" s="49"/>
      <c r="E3288" s="49"/>
      <c r="G3288" s="43"/>
      <c r="H3288" s="44"/>
      <c r="L3288" s="42"/>
      <c r="M3288" s="42"/>
      <c r="N3288" s="25"/>
      <c r="O3288" s="54"/>
      <c r="P3288"/>
      <c r="Q3288" s="25"/>
      <c r="R3288" s="54"/>
      <c r="W3288" s="23"/>
      <c r="X3288" s="23"/>
      <c r="Y3288" s="23"/>
      <c r="Z3288" s="43"/>
      <c r="AA3288" s="23"/>
      <c r="AB3288" s="23"/>
      <c r="AC3288" s="23"/>
      <c r="AD3288" s="23"/>
      <c r="AE3288" s="23"/>
      <c r="AF3288" s="23"/>
      <c r="AG3288" s="23"/>
      <c r="AH3288" s="23"/>
      <c r="AI3288" s="49"/>
    </row>
    <row r="3289" spans="1:35">
      <c r="A3289" s="23"/>
      <c r="B3289" s="42"/>
      <c r="C3289" s="49"/>
      <c r="E3289" s="49"/>
      <c r="G3289" s="43"/>
      <c r="H3289" s="44"/>
      <c r="L3289" s="42"/>
      <c r="M3289" s="42"/>
      <c r="N3289" s="25"/>
      <c r="O3289" s="54"/>
      <c r="P3289"/>
      <c r="Q3289" s="25"/>
      <c r="R3289" s="54"/>
      <c r="W3289" s="23"/>
      <c r="X3289" s="23"/>
      <c r="Y3289" s="23"/>
      <c r="Z3289" s="43"/>
      <c r="AA3289" s="23"/>
      <c r="AB3289" s="23"/>
      <c r="AC3289" s="23"/>
      <c r="AD3289" s="23"/>
      <c r="AE3289" s="23"/>
      <c r="AF3289" s="23"/>
      <c r="AG3289" s="23"/>
      <c r="AH3289" s="23"/>
      <c r="AI3289" s="49"/>
    </row>
    <row r="3290" spans="1:35">
      <c r="A3290" s="23"/>
      <c r="B3290" s="42"/>
      <c r="C3290" s="49"/>
      <c r="E3290" s="49"/>
      <c r="G3290" s="43"/>
      <c r="H3290" s="44"/>
      <c r="L3290" s="42"/>
      <c r="M3290" s="42"/>
      <c r="N3290" s="25"/>
      <c r="O3290" s="54"/>
      <c r="P3290"/>
      <c r="Q3290" s="25"/>
      <c r="R3290" s="54"/>
      <c r="W3290" s="23"/>
      <c r="X3290" s="23"/>
      <c r="Y3290" s="23"/>
      <c r="Z3290" s="43"/>
      <c r="AA3290" s="23"/>
      <c r="AB3290" s="23"/>
      <c r="AC3290" s="23"/>
      <c r="AD3290" s="23"/>
      <c r="AE3290" s="23"/>
      <c r="AF3290" s="23"/>
      <c r="AG3290" s="23"/>
      <c r="AH3290" s="23"/>
      <c r="AI3290" s="49"/>
    </row>
    <row r="3291" spans="1:35">
      <c r="A3291" s="23"/>
      <c r="B3291" s="42"/>
      <c r="C3291" s="49"/>
      <c r="E3291" s="49"/>
      <c r="G3291" s="43"/>
      <c r="H3291" s="44"/>
      <c r="L3291" s="42"/>
      <c r="M3291" s="42"/>
      <c r="N3291" s="25"/>
      <c r="O3291" s="54"/>
      <c r="P3291"/>
      <c r="Q3291" s="25"/>
      <c r="R3291" s="54"/>
      <c r="W3291" s="23"/>
      <c r="X3291" s="23"/>
      <c r="Y3291" s="23"/>
      <c r="Z3291" s="43"/>
      <c r="AA3291" s="23"/>
      <c r="AB3291" s="23"/>
      <c r="AC3291" s="23"/>
      <c r="AD3291" s="23"/>
      <c r="AE3291" s="23"/>
      <c r="AF3291" s="23"/>
      <c r="AG3291" s="23"/>
      <c r="AH3291" s="23"/>
      <c r="AI3291" s="49"/>
    </row>
    <row r="3292" spans="1:35">
      <c r="A3292" s="23"/>
      <c r="B3292" s="42"/>
      <c r="C3292" s="49"/>
      <c r="E3292" s="49"/>
      <c r="G3292" s="43"/>
      <c r="H3292" s="44"/>
      <c r="L3292" s="42"/>
      <c r="M3292" s="42"/>
      <c r="N3292" s="25"/>
      <c r="O3292" s="54"/>
      <c r="P3292"/>
      <c r="Q3292" s="25"/>
      <c r="R3292" s="54"/>
      <c r="W3292" s="23"/>
      <c r="X3292" s="23"/>
      <c r="Y3292" s="23"/>
      <c r="Z3292" s="43"/>
      <c r="AA3292" s="23"/>
      <c r="AB3292" s="23"/>
      <c r="AC3292" s="23"/>
      <c r="AD3292" s="23"/>
      <c r="AE3292" s="23"/>
      <c r="AF3292" s="23"/>
      <c r="AG3292" s="23"/>
      <c r="AH3292" s="23"/>
      <c r="AI3292" s="49"/>
    </row>
    <row r="3293" spans="1:35">
      <c r="A3293" s="23"/>
      <c r="B3293" s="42"/>
      <c r="C3293" s="49"/>
      <c r="E3293" s="49"/>
      <c r="G3293" s="43"/>
      <c r="H3293" s="44"/>
      <c r="L3293" s="42"/>
      <c r="M3293" s="42"/>
      <c r="N3293" s="25"/>
      <c r="O3293" s="54"/>
      <c r="P3293"/>
      <c r="Q3293" s="25"/>
      <c r="R3293" s="54"/>
      <c r="W3293" s="23"/>
      <c r="X3293" s="23"/>
      <c r="Y3293" s="23"/>
      <c r="Z3293" s="43"/>
      <c r="AA3293" s="23"/>
      <c r="AB3293" s="23"/>
      <c r="AC3293" s="23"/>
      <c r="AD3293" s="23"/>
      <c r="AE3293" s="23"/>
      <c r="AF3293" s="23"/>
      <c r="AG3293" s="23"/>
      <c r="AH3293" s="23"/>
      <c r="AI3293" s="49"/>
    </row>
    <row r="3294" spans="1:35">
      <c r="A3294" s="23"/>
      <c r="B3294" s="42"/>
      <c r="C3294" s="49"/>
      <c r="E3294" s="49"/>
      <c r="G3294" s="43"/>
      <c r="H3294" s="44"/>
      <c r="L3294" s="42"/>
      <c r="M3294" s="42"/>
      <c r="N3294" s="25"/>
      <c r="O3294" s="54"/>
      <c r="P3294"/>
      <c r="Q3294" s="25"/>
      <c r="R3294" s="54"/>
      <c r="W3294" s="23"/>
      <c r="X3294" s="23"/>
      <c r="Y3294" s="23"/>
      <c r="Z3294" s="43"/>
      <c r="AA3294" s="23"/>
      <c r="AB3294" s="23"/>
      <c r="AC3294" s="23"/>
      <c r="AD3294" s="23"/>
      <c r="AE3294" s="23"/>
      <c r="AF3294" s="23"/>
      <c r="AG3294" s="23"/>
      <c r="AH3294" s="23"/>
      <c r="AI3294" s="49"/>
    </row>
    <row r="3295" spans="1:35">
      <c r="A3295" s="23"/>
      <c r="B3295" s="42"/>
      <c r="C3295" s="49"/>
      <c r="E3295" s="49"/>
      <c r="G3295" s="43"/>
      <c r="H3295" s="44"/>
      <c r="L3295" s="42"/>
      <c r="M3295" s="42"/>
      <c r="N3295" s="25"/>
      <c r="O3295" s="54"/>
      <c r="P3295"/>
      <c r="Q3295" s="25"/>
      <c r="R3295" s="54"/>
      <c r="W3295" s="23"/>
      <c r="X3295" s="23"/>
      <c r="Y3295" s="23"/>
      <c r="Z3295" s="43"/>
      <c r="AA3295" s="23"/>
      <c r="AB3295" s="23"/>
      <c r="AC3295" s="23"/>
      <c r="AD3295" s="23"/>
      <c r="AE3295" s="23"/>
      <c r="AF3295" s="23"/>
      <c r="AG3295" s="23"/>
      <c r="AH3295" s="23"/>
      <c r="AI3295" s="49"/>
    </row>
    <row r="3296" spans="1:35">
      <c r="A3296" s="23"/>
      <c r="B3296" s="42"/>
      <c r="C3296" s="49"/>
      <c r="E3296" s="49"/>
      <c r="G3296" s="43"/>
      <c r="H3296" s="44"/>
      <c r="L3296" s="42"/>
      <c r="M3296" s="42"/>
      <c r="N3296" s="25"/>
      <c r="O3296" s="54"/>
      <c r="P3296"/>
      <c r="Q3296" s="25"/>
      <c r="R3296" s="54"/>
      <c r="W3296" s="23"/>
      <c r="X3296" s="23"/>
      <c r="Y3296" s="23"/>
      <c r="Z3296" s="43"/>
      <c r="AA3296" s="23"/>
      <c r="AB3296" s="23"/>
      <c r="AC3296" s="23"/>
      <c r="AD3296" s="23"/>
      <c r="AE3296" s="23"/>
      <c r="AF3296" s="23"/>
      <c r="AG3296" s="23"/>
      <c r="AH3296" s="23"/>
      <c r="AI3296" s="49"/>
    </row>
    <row r="3297" spans="1:35">
      <c r="A3297" s="23"/>
      <c r="B3297" s="42"/>
      <c r="C3297" s="49"/>
      <c r="E3297" s="49"/>
      <c r="G3297" s="43"/>
      <c r="H3297" s="44"/>
      <c r="L3297" s="42"/>
      <c r="M3297" s="42"/>
      <c r="N3297" s="25"/>
      <c r="O3297" s="54"/>
      <c r="P3297"/>
      <c r="Q3297" s="25"/>
      <c r="R3297" s="54"/>
      <c r="W3297" s="23"/>
      <c r="X3297" s="23"/>
      <c r="Y3297" s="23"/>
      <c r="Z3297" s="43"/>
      <c r="AA3297" s="23"/>
      <c r="AB3297" s="23"/>
      <c r="AC3297" s="23"/>
      <c r="AD3297" s="23"/>
      <c r="AE3297" s="23"/>
      <c r="AF3297" s="23"/>
      <c r="AG3297" s="23"/>
      <c r="AH3297" s="23"/>
      <c r="AI3297" s="49"/>
    </row>
    <row r="3298" spans="1:35">
      <c r="A3298" s="23"/>
      <c r="B3298" s="42"/>
      <c r="C3298" s="49"/>
      <c r="E3298" s="49"/>
      <c r="G3298" s="43"/>
      <c r="H3298" s="44"/>
      <c r="L3298" s="42"/>
      <c r="M3298" s="42"/>
      <c r="N3298" s="25"/>
      <c r="O3298" s="54"/>
      <c r="P3298"/>
      <c r="Q3298" s="25"/>
      <c r="R3298" s="54"/>
      <c r="W3298" s="23"/>
      <c r="X3298" s="23"/>
      <c r="Y3298" s="23"/>
      <c r="Z3298" s="43"/>
      <c r="AA3298" s="23"/>
      <c r="AB3298" s="23"/>
      <c r="AC3298" s="23"/>
      <c r="AD3298" s="23"/>
      <c r="AE3298" s="23"/>
      <c r="AF3298" s="23"/>
      <c r="AG3298" s="23"/>
      <c r="AH3298" s="23"/>
      <c r="AI3298" s="49"/>
    </row>
    <row r="3299" spans="1:35">
      <c r="A3299" s="23"/>
      <c r="B3299" s="42"/>
      <c r="C3299" s="49"/>
      <c r="E3299" s="49"/>
      <c r="G3299" s="43"/>
      <c r="H3299" s="44"/>
      <c r="L3299" s="42"/>
      <c r="M3299" s="42"/>
      <c r="N3299" s="25"/>
      <c r="O3299" s="54"/>
      <c r="P3299"/>
      <c r="Q3299" s="25"/>
      <c r="R3299" s="54"/>
      <c r="W3299" s="23"/>
      <c r="X3299" s="23"/>
      <c r="Y3299" s="23"/>
      <c r="Z3299" s="43"/>
      <c r="AA3299" s="23"/>
      <c r="AB3299" s="23"/>
      <c r="AC3299" s="23"/>
      <c r="AD3299" s="23"/>
      <c r="AE3299" s="23"/>
      <c r="AF3299" s="23"/>
      <c r="AG3299" s="23"/>
      <c r="AH3299" s="23"/>
      <c r="AI3299" s="49"/>
    </row>
    <row r="3300" spans="1:35">
      <c r="A3300" s="23"/>
      <c r="B3300" s="42"/>
      <c r="C3300" s="49"/>
      <c r="E3300" s="49"/>
      <c r="G3300" s="43"/>
      <c r="H3300" s="44"/>
      <c r="L3300" s="42"/>
      <c r="M3300" s="42"/>
      <c r="N3300" s="25"/>
      <c r="O3300" s="54"/>
      <c r="P3300"/>
      <c r="Q3300" s="25"/>
      <c r="R3300" s="54"/>
      <c r="W3300" s="23"/>
      <c r="X3300" s="23"/>
      <c r="Y3300" s="23"/>
      <c r="Z3300" s="43"/>
      <c r="AA3300" s="23"/>
      <c r="AB3300" s="23"/>
      <c r="AC3300" s="23"/>
      <c r="AD3300" s="23"/>
      <c r="AE3300" s="23"/>
      <c r="AF3300" s="23"/>
      <c r="AG3300" s="23"/>
      <c r="AH3300" s="23"/>
      <c r="AI3300" s="49"/>
    </row>
    <row r="3301" spans="1:35">
      <c r="A3301" s="23"/>
      <c r="B3301" s="42"/>
      <c r="C3301" s="49"/>
      <c r="E3301" s="49"/>
      <c r="G3301" s="43"/>
      <c r="H3301" s="44"/>
      <c r="L3301" s="42"/>
      <c r="M3301" s="42"/>
      <c r="N3301" s="25"/>
      <c r="O3301" s="54"/>
      <c r="P3301"/>
      <c r="Q3301" s="25"/>
      <c r="R3301" s="54"/>
      <c r="W3301" s="23"/>
      <c r="X3301" s="23"/>
      <c r="Y3301" s="23"/>
      <c r="Z3301" s="43"/>
      <c r="AA3301" s="23"/>
      <c r="AB3301" s="23"/>
      <c r="AC3301" s="23"/>
      <c r="AD3301" s="23"/>
      <c r="AE3301" s="23"/>
      <c r="AF3301" s="23"/>
      <c r="AG3301" s="23"/>
      <c r="AH3301" s="23"/>
      <c r="AI3301" s="49"/>
    </row>
    <row r="3302" spans="1:35">
      <c r="A3302" s="23"/>
      <c r="B3302" s="42"/>
      <c r="C3302" s="49"/>
      <c r="E3302" s="49"/>
      <c r="G3302" s="43"/>
      <c r="H3302" s="44"/>
      <c r="L3302" s="42"/>
      <c r="M3302" s="42"/>
      <c r="N3302" s="25"/>
      <c r="O3302" s="54"/>
      <c r="P3302"/>
      <c r="Q3302" s="25"/>
      <c r="R3302" s="54"/>
      <c r="W3302" s="23"/>
      <c r="X3302" s="23"/>
      <c r="Y3302" s="23"/>
      <c r="Z3302" s="43"/>
      <c r="AA3302" s="23"/>
      <c r="AB3302" s="23"/>
      <c r="AC3302" s="23"/>
      <c r="AD3302" s="23"/>
      <c r="AE3302" s="23"/>
      <c r="AF3302" s="23"/>
      <c r="AG3302" s="23"/>
      <c r="AH3302" s="23"/>
      <c r="AI3302" s="49"/>
    </row>
    <row r="3303" spans="1:35">
      <c r="A3303" s="23"/>
      <c r="B3303" s="42"/>
      <c r="C3303" s="49"/>
      <c r="E3303" s="49"/>
      <c r="G3303" s="43"/>
      <c r="H3303" s="44"/>
      <c r="L3303" s="42"/>
      <c r="M3303" s="42"/>
      <c r="N3303" s="25"/>
      <c r="O3303" s="54"/>
      <c r="P3303"/>
      <c r="Q3303" s="25"/>
      <c r="R3303" s="54"/>
      <c r="W3303" s="23"/>
      <c r="X3303" s="23"/>
      <c r="Y3303" s="23"/>
      <c r="Z3303" s="43"/>
      <c r="AA3303" s="23"/>
      <c r="AB3303" s="23"/>
      <c r="AC3303" s="23"/>
      <c r="AD3303" s="23"/>
      <c r="AE3303" s="23"/>
      <c r="AF3303" s="23"/>
      <c r="AG3303" s="23"/>
      <c r="AH3303" s="23"/>
      <c r="AI3303" s="49"/>
    </row>
    <row r="3304" spans="1:35">
      <c r="A3304" s="23"/>
      <c r="B3304" s="42"/>
      <c r="C3304" s="49"/>
      <c r="E3304" s="49"/>
      <c r="G3304" s="43"/>
      <c r="H3304" s="44"/>
      <c r="L3304" s="42"/>
      <c r="M3304" s="42"/>
      <c r="N3304" s="25"/>
      <c r="O3304" s="54"/>
      <c r="P3304"/>
      <c r="Q3304" s="25"/>
      <c r="R3304" s="54"/>
      <c r="W3304" s="23"/>
      <c r="X3304" s="23"/>
      <c r="Y3304" s="23"/>
      <c r="Z3304" s="43"/>
      <c r="AA3304" s="23"/>
      <c r="AB3304" s="23"/>
      <c r="AC3304" s="23"/>
      <c r="AD3304" s="23"/>
      <c r="AE3304" s="23"/>
      <c r="AF3304" s="23"/>
      <c r="AG3304" s="23"/>
      <c r="AH3304" s="23"/>
      <c r="AI3304" s="49"/>
    </row>
    <row r="3305" spans="1:35">
      <c r="A3305" s="23"/>
      <c r="B3305" s="42"/>
      <c r="C3305" s="49"/>
      <c r="E3305" s="49"/>
      <c r="G3305" s="43"/>
      <c r="H3305" s="44"/>
      <c r="L3305" s="42"/>
      <c r="M3305" s="42"/>
      <c r="N3305" s="25"/>
      <c r="O3305" s="54"/>
      <c r="P3305"/>
      <c r="Q3305" s="25"/>
      <c r="R3305" s="54"/>
      <c r="W3305" s="23"/>
      <c r="X3305" s="23"/>
      <c r="Y3305" s="23"/>
      <c r="Z3305" s="43"/>
      <c r="AA3305" s="23"/>
      <c r="AB3305" s="23"/>
      <c r="AC3305" s="23"/>
      <c r="AD3305" s="23"/>
      <c r="AE3305" s="23"/>
      <c r="AF3305" s="23"/>
      <c r="AG3305" s="23"/>
      <c r="AH3305" s="23"/>
      <c r="AI3305" s="49"/>
    </row>
    <row r="3306" spans="1:35">
      <c r="A3306" s="23"/>
      <c r="B3306" s="42"/>
      <c r="C3306" s="49"/>
      <c r="E3306" s="49"/>
      <c r="G3306" s="43"/>
      <c r="H3306" s="44"/>
      <c r="L3306" s="42"/>
      <c r="M3306" s="42"/>
      <c r="N3306" s="25"/>
      <c r="O3306" s="54"/>
      <c r="P3306"/>
      <c r="Q3306" s="25"/>
      <c r="R3306" s="54"/>
      <c r="W3306" s="23"/>
      <c r="X3306" s="23"/>
      <c r="Y3306" s="23"/>
      <c r="Z3306" s="43"/>
      <c r="AA3306" s="23"/>
      <c r="AB3306" s="23"/>
      <c r="AC3306" s="23"/>
      <c r="AD3306" s="23"/>
      <c r="AE3306" s="23"/>
      <c r="AF3306" s="23"/>
      <c r="AG3306" s="23"/>
      <c r="AH3306" s="23"/>
      <c r="AI3306" s="49"/>
    </row>
    <row r="3307" spans="1:35">
      <c r="A3307" s="23"/>
      <c r="B3307" s="42"/>
      <c r="C3307" s="49"/>
      <c r="E3307" s="49"/>
      <c r="G3307" s="43"/>
      <c r="H3307" s="44"/>
      <c r="L3307" s="42"/>
      <c r="M3307" s="42"/>
      <c r="N3307" s="25"/>
      <c r="O3307" s="54"/>
      <c r="P3307"/>
      <c r="Q3307" s="25"/>
      <c r="R3307" s="54"/>
      <c r="W3307" s="23"/>
      <c r="X3307" s="23"/>
      <c r="Y3307" s="23"/>
      <c r="Z3307" s="43"/>
      <c r="AA3307" s="23"/>
      <c r="AB3307" s="23"/>
      <c r="AC3307" s="23"/>
      <c r="AD3307" s="23"/>
      <c r="AE3307" s="23"/>
      <c r="AF3307" s="23"/>
      <c r="AG3307" s="23"/>
      <c r="AH3307" s="23"/>
      <c r="AI3307" s="49"/>
    </row>
    <row r="3308" spans="1:35">
      <c r="A3308" s="23"/>
      <c r="B3308" s="42"/>
      <c r="C3308" s="49"/>
      <c r="E3308" s="49"/>
      <c r="G3308" s="43"/>
      <c r="H3308" s="44"/>
      <c r="L3308" s="42"/>
      <c r="M3308" s="42"/>
      <c r="N3308" s="25"/>
      <c r="O3308" s="54"/>
      <c r="P3308"/>
      <c r="Q3308" s="25"/>
      <c r="R3308" s="54"/>
      <c r="W3308" s="23"/>
      <c r="X3308" s="23"/>
      <c r="Y3308" s="23"/>
      <c r="Z3308" s="43"/>
      <c r="AA3308" s="23"/>
      <c r="AB3308" s="23"/>
      <c r="AC3308" s="23"/>
      <c r="AD3308" s="23"/>
      <c r="AE3308" s="23"/>
      <c r="AF3308" s="23"/>
      <c r="AG3308" s="23"/>
      <c r="AH3308" s="23"/>
      <c r="AI3308" s="49"/>
    </row>
    <row r="3309" spans="1:35">
      <c r="A3309" s="23"/>
      <c r="B3309" s="42"/>
      <c r="C3309" s="49"/>
      <c r="E3309" s="49"/>
      <c r="G3309" s="43"/>
      <c r="H3309" s="44"/>
      <c r="L3309" s="42"/>
      <c r="M3309" s="42"/>
      <c r="N3309" s="25"/>
      <c r="O3309" s="54"/>
      <c r="P3309"/>
      <c r="Q3309" s="25"/>
      <c r="R3309" s="54"/>
      <c r="W3309" s="23"/>
      <c r="X3309" s="23"/>
      <c r="Y3309" s="23"/>
      <c r="Z3309" s="43"/>
      <c r="AA3309" s="23"/>
      <c r="AB3309" s="23"/>
      <c r="AC3309" s="23"/>
      <c r="AD3309" s="23"/>
      <c r="AE3309" s="23"/>
      <c r="AF3309" s="23"/>
      <c r="AG3309" s="23"/>
      <c r="AH3309" s="23"/>
      <c r="AI3309" s="49"/>
    </row>
    <row r="3310" spans="1:35">
      <c r="A3310" s="23"/>
      <c r="B3310" s="42"/>
      <c r="C3310" s="49"/>
      <c r="E3310" s="49"/>
      <c r="G3310" s="43"/>
      <c r="H3310" s="44"/>
      <c r="L3310" s="42"/>
      <c r="M3310" s="42"/>
      <c r="N3310" s="25"/>
      <c r="O3310" s="54"/>
      <c r="P3310"/>
      <c r="Q3310" s="25"/>
      <c r="R3310" s="54"/>
      <c r="W3310" s="23"/>
      <c r="X3310" s="23"/>
      <c r="Y3310" s="23"/>
      <c r="Z3310" s="43"/>
      <c r="AA3310" s="23"/>
      <c r="AB3310" s="23"/>
      <c r="AC3310" s="23"/>
      <c r="AD3310" s="23"/>
      <c r="AE3310" s="23"/>
      <c r="AF3310" s="23"/>
      <c r="AG3310" s="23"/>
      <c r="AH3310" s="23"/>
      <c r="AI3310" s="49"/>
    </row>
    <row r="3311" spans="1:35">
      <c r="A3311" s="23"/>
      <c r="B3311" s="42"/>
      <c r="C3311" s="49"/>
      <c r="E3311" s="49"/>
      <c r="G3311" s="43"/>
      <c r="H3311" s="44"/>
      <c r="L3311" s="42"/>
      <c r="M3311" s="42"/>
      <c r="N3311" s="25"/>
      <c r="O3311" s="54"/>
      <c r="P3311"/>
      <c r="Q3311" s="25"/>
      <c r="R3311" s="54"/>
      <c r="W3311" s="23"/>
      <c r="X3311" s="23"/>
      <c r="Y3311" s="23"/>
      <c r="Z3311" s="43"/>
      <c r="AA3311" s="23"/>
      <c r="AB3311" s="23"/>
      <c r="AC3311" s="23"/>
      <c r="AD3311" s="23"/>
      <c r="AE3311" s="23"/>
      <c r="AF3311" s="23"/>
      <c r="AG3311" s="23"/>
      <c r="AH3311" s="23"/>
      <c r="AI3311" s="49"/>
    </row>
    <row r="3312" spans="1:35">
      <c r="A3312" s="23"/>
      <c r="B3312" s="42"/>
      <c r="C3312" s="49"/>
      <c r="E3312" s="49"/>
      <c r="G3312" s="43"/>
      <c r="H3312" s="44"/>
      <c r="L3312" s="42"/>
      <c r="M3312" s="42"/>
      <c r="N3312" s="25"/>
      <c r="O3312" s="54"/>
      <c r="P3312"/>
      <c r="Q3312" s="25"/>
      <c r="R3312" s="54"/>
      <c r="W3312" s="23"/>
      <c r="X3312" s="23"/>
      <c r="Y3312" s="23"/>
      <c r="Z3312" s="43"/>
      <c r="AA3312" s="23"/>
      <c r="AB3312" s="23"/>
      <c r="AC3312" s="23"/>
      <c r="AD3312" s="23"/>
      <c r="AE3312" s="23"/>
      <c r="AF3312" s="23"/>
      <c r="AG3312" s="23"/>
      <c r="AH3312" s="23"/>
      <c r="AI3312" s="49"/>
    </row>
    <row r="3313" spans="1:35">
      <c r="A3313" s="23"/>
      <c r="B3313" s="42"/>
      <c r="C3313" s="49"/>
      <c r="E3313" s="49"/>
      <c r="G3313" s="43"/>
      <c r="H3313" s="44"/>
      <c r="L3313" s="42"/>
      <c r="M3313" s="42"/>
      <c r="N3313" s="25"/>
      <c r="O3313" s="54"/>
      <c r="P3313"/>
      <c r="Q3313" s="25"/>
      <c r="R3313" s="54"/>
      <c r="W3313" s="23"/>
      <c r="X3313" s="23"/>
      <c r="Y3313" s="23"/>
      <c r="Z3313" s="43"/>
      <c r="AA3313" s="23"/>
      <c r="AB3313" s="23"/>
      <c r="AC3313" s="23"/>
      <c r="AD3313" s="23"/>
      <c r="AE3313" s="23"/>
      <c r="AF3313" s="23"/>
      <c r="AG3313" s="23"/>
      <c r="AH3313" s="23"/>
      <c r="AI3313" s="49"/>
    </row>
    <row r="3314" spans="1:35">
      <c r="A3314" s="23"/>
      <c r="B3314" s="42"/>
      <c r="C3314" s="49"/>
      <c r="E3314" s="49"/>
      <c r="G3314" s="43"/>
      <c r="H3314" s="44"/>
      <c r="L3314" s="42"/>
      <c r="M3314" s="42"/>
      <c r="N3314" s="25"/>
      <c r="O3314" s="54"/>
      <c r="P3314"/>
      <c r="Q3314" s="25"/>
      <c r="R3314" s="54"/>
      <c r="W3314" s="23"/>
      <c r="X3314" s="23"/>
      <c r="Y3314" s="23"/>
      <c r="Z3314" s="43"/>
      <c r="AA3314" s="23"/>
      <c r="AB3314" s="23"/>
      <c r="AC3314" s="23"/>
      <c r="AD3314" s="23"/>
      <c r="AE3314" s="23"/>
      <c r="AF3314" s="23"/>
      <c r="AG3314" s="23"/>
      <c r="AH3314" s="23"/>
      <c r="AI3314" s="49"/>
    </row>
    <row r="3315" spans="1:35">
      <c r="A3315" s="23"/>
      <c r="B3315" s="42"/>
      <c r="C3315" s="49"/>
      <c r="E3315" s="49"/>
      <c r="G3315" s="43"/>
      <c r="H3315" s="44"/>
      <c r="L3315" s="42"/>
      <c r="M3315" s="42"/>
      <c r="N3315" s="25"/>
      <c r="O3315" s="54"/>
      <c r="P3315"/>
      <c r="Q3315" s="25"/>
      <c r="R3315" s="54"/>
      <c r="W3315" s="23"/>
      <c r="X3315" s="23"/>
      <c r="Y3315" s="23"/>
      <c r="Z3315" s="43"/>
      <c r="AA3315" s="23"/>
      <c r="AB3315" s="23"/>
      <c r="AC3315" s="23"/>
      <c r="AD3315" s="23"/>
      <c r="AE3315" s="23"/>
      <c r="AF3315" s="23"/>
      <c r="AG3315" s="23"/>
      <c r="AH3315" s="23"/>
      <c r="AI3315" s="49"/>
    </row>
    <row r="3316" spans="1:35">
      <c r="A3316" s="23"/>
      <c r="B3316" s="42"/>
      <c r="C3316" s="49"/>
      <c r="E3316" s="49"/>
      <c r="G3316" s="43"/>
      <c r="H3316" s="44"/>
      <c r="L3316" s="42"/>
      <c r="M3316" s="42"/>
      <c r="N3316" s="25"/>
      <c r="O3316" s="54"/>
      <c r="P3316"/>
      <c r="Q3316" s="25"/>
      <c r="R3316" s="54"/>
      <c r="W3316" s="23"/>
      <c r="X3316" s="23"/>
      <c r="Y3316" s="23"/>
      <c r="Z3316" s="43"/>
      <c r="AA3316" s="23"/>
      <c r="AB3316" s="23"/>
      <c r="AC3316" s="23"/>
      <c r="AD3316" s="23"/>
      <c r="AE3316" s="23"/>
      <c r="AF3316" s="23"/>
      <c r="AG3316" s="23"/>
      <c r="AH3316" s="23"/>
      <c r="AI3316" s="49"/>
    </row>
    <row r="3317" spans="1:35">
      <c r="A3317" s="23"/>
      <c r="B3317" s="42"/>
      <c r="C3317" s="49"/>
      <c r="E3317" s="49"/>
      <c r="G3317" s="43"/>
      <c r="H3317" s="44"/>
      <c r="L3317" s="42"/>
      <c r="M3317" s="42"/>
      <c r="N3317" s="25"/>
      <c r="O3317" s="54"/>
      <c r="P3317"/>
      <c r="Q3317" s="25"/>
      <c r="R3317" s="54"/>
      <c r="W3317" s="23"/>
      <c r="X3317" s="23"/>
      <c r="Y3317" s="23"/>
      <c r="Z3317" s="43"/>
      <c r="AA3317" s="23"/>
      <c r="AB3317" s="23"/>
      <c r="AC3317" s="23"/>
      <c r="AD3317" s="23"/>
      <c r="AE3317" s="23"/>
      <c r="AF3317" s="23"/>
      <c r="AG3317" s="23"/>
      <c r="AH3317" s="23"/>
      <c r="AI3317" s="49"/>
    </row>
    <row r="3318" spans="1:35">
      <c r="A3318" s="23"/>
      <c r="B3318" s="42"/>
      <c r="C3318" s="49"/>
      <c r="E3318" s="49"/>
      <c r="G3318" s="43"/>
      <c r="H3318" s="44"/>
      <c r="L3318" s="42"/>
      <c r="M3318" s="42"/>
      <c r="N3318" s="25"/>
      <c r="O3318" s="54"/>
      <c r="P3318"/>
      <c r="Q3318" s="25"/>
      <c r="R3318" s="54"/>
      <c r="W3318" s="23"/>
      <c r="X3318" s="23"/>
      <c r="Y3318" s="23"/>
      <c r="Z3318" s="43"/>
      <c r="AA3318" s="23"/>
      <c r="AB3318" s="23"/>
      <c r="AC3318" s="23"/>
      <c r="AD3318" s="23"/>
      <c r="AE3318" s="23"/>
      <c r="AF3318" s="23"/>
      <c r="AG3318" s="23"/>
      <c r="AH3318" s="23"/>
      <c r="AI3318" s="49"/>
    </row>
    <row r="3319" spans="1:35">
      <c r="A3319" s="23"/>
      <c r="B3319" s="42"/>
      <c r="C3319" s="49"/>
      <c r="E3319" s="49"/>
      <c r="G3319" s="43"/>
      <c r="H3319" s="44"/>
      <c r="L3319" s="42"/>
      <c r="M3319" s="42"/>
      <c r="N3319" s="25"/>
      <c r="O3319" s="54"/>
      <c r="P3319"/>
      <c r="Q3319" s="25"/>
      <c r="R3319" s="54"/>
      <c r="W3319" s="23"/>
      <c r="X3319" s="23"/>
      <c r="Y3319" s="23"/>
      <c r="Z3319" s="43"/>
      <c r="AA3319" s="23"/>
      <c r="AB3319" s="23"/>
      <c r="AC3319" s="23"/>
      <c r="AD3319" s="23"/>
      <c r="AE3319" s="23"/>
      <c r="AF3319" s="23"/>
      <c r="AG3319" s="23"/>
      <c r="AH3319" s="23"/>
      <c r="AI3319" s="49"/>
    </row>
    <row r="3320" spans="1:35">
      <c r="A3320" s="23"/>
      <c r="B3320" s="42"/>
      <c r="C3320" s="49"/>
      <c r="E3320" s="49"/>
      <c r="G3320" s="43"/>
      <c r="H3320" s="44"/>
      <c r="L3320" s="42"/>
      <c r="M3320" s="42"/>
      <c r="N3320" s="25"/>
      <c r="O3320" s="54"/>
      <c r="P3320"/>
      <c r="Q3320" s="25"/>
      <c r="R3320" s="54"/>
      <c r="W3320" s="23"/>
      <c r="X3320" s="23"/>
      <c r="Y3320" s="23"/>
      <c r="Z3320" s="43"/>
      <c r="AA3320" s="23"/>
      <c r="AB3320" s="23"/>
      <c r="AC3320" s="23"/>
      <c r="AD3320" s="23"/>
      <c r="AE3320" s="23"/>
      <c r="AF3320" s="23"/>
      <c r="AG3320" s="23"/>
      <c r="AH3320" s="23"/>
      <c r="AI3320" s="49"/>
    </row>
    <row r="3321" spans="1:35">
      <c r="A3321" s="23"/>
      <c r="B3321" s="42"/>
      <c r="C3321" s="49"/>
      <c r="E3321" s="49"/>
      <c r="G3321" s="43"/>
      <c r="H3321" s="44"/>
      <c r="L3321" s="42"/>
      <c r="M3321" s="42"/>
      <c r="N3321" s="25"/>
      <c r="O3321" s="54"/>
      <c r="P3321"/>
      <c r="Q3321" s="25"/>
      <c r="R3321" s="54"/>
      <c r="W3321" s="23"/>
      <c r="X3321" s="23"/>
      <c r="Y3321" s="23"/>
      <c r="Z3321" s="43"/>
      <c r="AA3321" s="23"/>
      <c r="AB3321" s="23"/>
      <c r="AC3321" s="23"/>
      <c r="AD3321" s="23"/>
      <c r="AE3321" s="23"/>
      <c r="AF3321" s="23"/>
      <c r="AG3321" s="23"/>
      <c r="AH3321" s="23"/>
      <c r="AI3321" s="49"/>
    </row>
    <row r="3322" spans="1:35">
      <c r="A3322" s="23"/>
      <c r="B3322" s="42"/>
      <c r="C3322" s="49"/>
      <c r="E3322" s="49"/>
      <c r="G3322" s="43"/>
      <c r="H3322" s="44"/>
      <c r="L3322" s="42"/>
      <c r="M3322" s="42"/>
      <c r="N3322" s="25"/>
      <c r="O3322" s="54"/>
      <c r="P3322"/>
      <c r="Q3322" s="25"/>
      <c r="R3322" s="54"/>
      <c r="W3322" s="23"/>
      <c r="X3322" s="23"/>
      <c r="Y3322" s="23"/>
      <c r="Z3322" s="43"/>
      <c r="AA3322" s="23"/>
      <c r="AB3322" s="23"/>
      <c r="AC3322" s="23"/>
      <c r="AD3322" s="23"/>
      <c r="AE3322" s="23"/>
      <c r="AF3322" s="23"/>
      <c r="AG3322" s="23"/>
      <c r="AH3322" s="23"/>
      <c r="AI3322" s="49"/>
    </row>
    <row r="3323" spans="1:35">
      <c r="A3323" s="23"/>
      <c r="B3323" s="42"/>
      <c r="C3323" s="49"/>
      <c r="E3323" s="49"/>
      <c r="G3323" s="43"/>
      <c r="H3323" s="44"/>
      <c r="L3323" s="42"/>
      <c r="M3323" s="42"/>
      <c r="N3323" s="25"/>
      <c r="O3323" s="54"/>
      <c r="P3323"/>
      <c r="Q3323" s="25"/>
      <c r="R3323" s="54"/>
      <c r="W3323" s="23"/>
      <c r="X3323" s="23"/>
      <c r="Y3323" s="23"/>
      <c r="Z3323" s="43"/>
      <c r="AA3323" s="23"/>
      <c r="AB3323" s="23"/>
      <c r="AC3323" s="23"/>
      <c r="AD3323" s="23"/>
      <c r="AE3323" s="23"/>
      <c r="AF3323" s="23"/>
      <c r="AG3323" s="23"/>
      <c r="AH3323" s="23"/>
      <c r="AI3323" s="49"/>
    </row>
    <row r="3324" spans="1:35">
      <c r="A3324" s="23"/>
      <c r="B3324" s="42"/>
      <c r="C3324" s="49"/>
      <c r="E3324" s="49"/>
      <c r="G3324" s="43"/>
      <c r="H3324" s="44"/>
      <c r="L3324" s="42"/>
      <c r="M3324" s="42"/>
      <c r="N3324" s="25"/>
      <c r="O3324" s="54"/>
      <c r="P3324"/>
      <c r="Q3324" s="25"/>
      <c r="R3324" s="54"/>
      <c r="W3324" s="23"/>
      <c r="X3324" s="23"/>
      <c r="Y3324" s="23"/>
      <c r="Z3324" s="43"/>
      <c r="AA3324" s="23"/>
      <c r="AB3324" s="23"/>
      <c r="AC3324" s="23"/>
      <c r="AD3324" s="23"/>
      <c r="AE3324" s="23"/>
      <c r="AF3324" s="23"/>
      <c r="AG3324" s="23"/>
      <c r="AH3324" s="23"/>
      <c r="AI3324" s="49"/>
    </row>
    <row r="3325" spans="1:35">
      <c r="A3325" s="23"/>
      <c r="B3325" s="42"/>
      <c r="C3325" s="49"/>
      <c r="E3325" s="49"/>
      <c r="G3325" s="43"/>
      <c r="H3325" s="44"/>
      <c r="L3325" s="42"/>
      <c r="M3325" s="42"/>
      <c r="N3325" s="25"/>
      <c r="O3325" s="54"/>
      <c r="P3325"/>
      <c r="Q3325" s="25"/>
      <c r="R3325" s="54"/>
      <c r="W3325" s="23"/>
      <c r="X3325" s="23"/>
      <c r="Y3325" s="23"/>
      <c r="Z3325" s="43"/>
      <c r="AA3325" s="23"/>
      <c r="AB3325" s="23"/>
      <c r="AC3325" s="23"/>
      <c r="AD3325" s="23"/>
      <c r="AE3325" s="23"/>
      <c r="AF3325" s="23"/>
      <c r="AG3325" s="23"/>
      <c r="AH3325" s="23"/>
      <c r="AI3325" s="49"/>
    </row>
    <row r="3326" spans="1:35">
      <c r="A3326" s="23"/>
      <c r="B3326" s="42"/>
      <c r="C3326" s="49"/>
      <c r="E3326" s="49"/>
      <c r="G3326" s="43"/>
      <c r="H3326" s="44"/>
      <c r="L3326" s="42"/>
      <c r="M3326" s="42"/>
      <c r="N3326" s="25"/>
      <c r="O3326" s="54"/>
      <c r="P3326"/>
      <c r="Q3326" s="25"/>
      <c r="R3326" s="54"/>
      <c r="W3326" s="23"/>
      <c r="X3326" s="23"/>
      <c r="Y3326" s="23"/>
      <c r="Z3326" s="43"/>
      <c r="AA3326" s="23"/>
      <c r="AB3326" s="23"/>
      <c r="AC3326" s="23"/>
      <c r="AD3326" s="23"/>
      <c r="AE3326" s="23"/>
      <c r="AF3326" s="23"/>
      <c r="AG3326" s="23"/>
      <c r="AH3326" s="23"/>
      <c r="AI3326" s="49"/>
    </row>
    <row r="3327" spans="1:35">
      <c r="A3327" s="23"/>
      <c r="B3327" s="42"/>
      <c r="C3327" s="49"/>
      <c r="E3327" s="49"/>
      <c r="G3327" s="43"/>
      <c r="H3327" s="44"/>
      <c r="L3327" s="42"/>
      <c r="M3327" s="42"/>
      <c r="N3327" s="25"/>
      <c r="O3327" s="54"/>
      <c r="P3327"/>
      <c r="Q3327" s="25"/>
      <c r="R3327" s="54"/>
      <c r="W3327" s="23"/>
      <c r="X3327" s="23"/>
      <c r="Y3327" s="23"/>
      <c r="Z3327" s="43"/>
      <c r="AA3327" s="23"/>
      <c r="AB3327" s="23"/>
      <c r="AC3327" s="23"/>
      <c r="AD3327" s="23"/>
      <c r="AE3327" s="23"/>
      <c r="AF3327" s="23"/>
      <c r="AG3327" s="23"/>
      <c r="AH3327" s="23"/>
      <c r="AI3327" s="49"/>
    </row>
    <row r="3328" spans="1:35">
      <c r="A3328" s="23"/>
      <c r="B3328" s="42"/>
      <c r="C3328" s="49"/>
      <c r="E3328" s="49"/>
      <c r="G3328" s="43"/>
      <c r="H3328" s="44"/>
      <c r="L3328" s="42"/>
      <c r="M3328" s="42"/>
      <c r="N3328" s="25"/>
      <c r="O3328" s="54"/>
      <c r="P3328"/>
      <c r="Q3328" s="25"/>
      <c r="R3328" s="54"/>
      <c r="W3328" s="23"/>
      <c r="X3328" s="23"/>
      <c r="Y3328" s="23"/>
      <c r="Z3328" s="43"/>
      <c r="AA3328" s="23"/>
      <c r="AB3328" s="23"/>
      <c r="AC3328" s="23"/>
      <c r="AD3328" s="23"/>
      <c r="AE3328" s="23"/>
      <c r="AF3328" s="23"/>
      <c r="AG3328" s="23"/>
      <c r="AH3328" s="23"/>
      <c r="AI3328" s="49"/>
    </row>
    <row r="3329" spans="1:35">
      <c r="A3329" s="23"/>
      <c r="B3329" s="42"/>
      <c r="C3329" s="49"/>
      <c r="E3329" s="49"/>
      <c r="G3329" s="43"/>
      <c r="H3329" s="44"/>
      <c r="L3329" s="42"/>
      <c r="M3329" s="42"/>
      <c r="N3329" s="25"/>
      <c r="O3329" s="54"/>
      <c r="P3329"/>
      <c r="Q3329" s="25"/>
      <c r="R3329" s="54"/>
      <c r="W3329" s="23"/>
      <c r="X3329" s="23"/>
      <c r="Y3329" s="23"/>
      <c r="Z3329" s="43"/>
      <c r="AA3329" s="23"/>
      <c r="AB3329" s="23"/>
      <c r="AC3329" s="23"/>
      <c r="AD3329" s="23"/>
      <c r="AE3329" s="23"/>
      <c r="AF3329" s="23"/>
      <c r="AG3329" s="23"/>
      <c r="AH3329" s="23"/>
      <c r="AI3329" s="49"/>
    </row>
    <row r="3330" spans="1:35">
      <c r="A3330" s="23"/>
      <c r="B3330" s="42"/>
      <c r="C3330" s="49"/>
      <c r="E3330" s="49"/>
      <c r="G3330" s="43"/>
      <c r="H3330" s="44"/>
      <c r="L3330" s="42"/>
      <c r="M3330" s="42"/>
      <c r="N3330" s="25"/>
      <c r="O3330" s="54"/>
      <c r="P3330"/>
      <c r="Q3330" s="25"/>
      <c r="R3330" s="54"/>
      <c r="W3330" s="23"/>
      <c r="X3330" s="23"/>
      <c r="Y3330" s="23"/>
      <c r="Z3330" s="43"/>
      <c r="AA3330" s="23"/>
      <c r="AB3330" s="23"/>
      <c r="AC3330" s="23"/>
      <c r="AD3330" s="23"/>
      <c r="AE3330" s="23"/>
      <c r="AF3330" s="23"/>
      <c r="AG3330" s="23"/>
      <c r="AH3330" s="23"/>
      <c r="AI3330" s="49"/>
    </row>
    <row r="3331" spans="1:35">
      <c r="A3331" s="23"/>
      <c r="B3331" s="42"/>
      <c r="C3331" s="49"/>
      <c r="E3331" s="49"/>
      <c r="G3331" s="43"/>
      <c r="H3331" s="44"/>
      <c r="L3331" s="42"/>
      <c r="M3331" s="42"/>
      <c r="N3331" s="25"/>
      <c r="O3331" s="54"/>
      <c r="P3331"/>
      <c r="Q3331" s="25"/>
      <c r="R3331" s="54"/>
      <c r="W3331" s="23"/>
      <c r="X3331" s="23"/>
      <c r="Y3331" s="23"/>
      <c r="Z3331" s="43"/>
      <c r="AA3331" s="23"/>
      <c r="AB3331" s="23"/>
      <c r="AC3331" s="23"/>
      <c r="AD3331" s="23"/>
      <c r="AE3331" s="23"/>
      <c r="AF3331" s="23"/>
      <c r="AG3331" s="23"/>
      <c r="AH3331" s="23"/>
      <c r="AI3331" s="49"/>
    </row>
    <row r="3332" spans="1:35">
      <c r="A3332" s="23"/>
      <c r="B3332" s="42"/>
      <c r="C3332" s="49"/>
      <c r="E3332" s="49"/>
      <c r="G3332" s="43"/>
      <c r="H3332" s="44"/>
      <c r="L3332" s="42"/>
      <c r="M3332" s="42"/>
      <c r="N3332" s="25"/>
      <c r="O3332" s="54"/>
      <c r="P3332"/>
      <c r="Q3332" s="25"/>
      <c r="R3332" s="54"/>
      <c r="W3332" s="23"/>
      <c r="X3332" s="23"/>
      <c r="Y3332" s="23"/>
      <c r="Z3332" s="43"/>
      <c r="AA3332" s="23"/>
      <c r="AB3332" s="23"/>
      <c r="AC3332" s="23"/>
      <c r="AD3332" s="23"/>
      <c r="AE3332" s="23"/>
      <c r="AF3332" s="23"/>
      <c r="AG3332" s="23"/>
      <c r="AH3332" s="23"/>
      <c r="AI3332" s="49"/>
    </row>
    <row r="3333" spans="1:35">
      <c r="A3333" s="23"/>
      <c r="B3333" s="42"/>
      <c r="C3333" s="49"/>
      <c r="E3333" s="49"/>
      <c r="G3333" s="43"/>
      <c r="H3333" s="44"/>
      <c r="L3333" s="42"/>
      <c r="M3333" s="42"/>
      <c r="N3333" s="25"/>
      <c r="O3333" s="54"/>
      <c r="P3333"/>
      <c r="Q3333" s="25"/>
      <c r="R3333" s="54"/>
      <c r="W3333" s="23"/>
      <c r="X3333" s="23"/>
      <c r="Y3333" s="23"/>
      <c r="Z3333" s="43"/>
      <c r="AA3333" s="23"/>
      <c r="AB3333" s="23"/>
      <c r="AC3333" s="23"/>
      <c r="AD3333" s="23"/>
      <c r="AE3333" s="23"/>
      <c r="AF3333" s="23"/>
      <c r="AG3333" s="23"/>
      <c r="AH3333" s="23"/>
      <c r="AI3333" s="49"/>
    </row>
    <row r="3334" spans="1:35">
      <c r="A3334" s="23"/>
      <c r="B3334" s="42"/>
      <c r="C3334" s="49"/>
      <c r="E3334" s="49"/>
      <c r="G3334" s="43"/>
      <c r="H3334" s="44"/>
      <c r="L3334" s="42"/>
      <c r="M3334" s="42"/>
      <c r="N3334" s="25"/>
      <c r="O3334" s="54"/>
      <c r="P3334"/>
      <c r="Q3334" s="25"/>
      <c r="R3334" s="54"/>
      <c r="W3334" s="23"/>
      <c r="X3334" s="23"/>
      <c r="Y3334" s="23"/>
      <c r="Z3334" s="43"/>
      <c r="AA3334" s="23"/>
      <c r="AB3334" s="23"/>
      <c r="AC3334" s="23"/>
      <c r="AD3334" s="23"/>
      <c r="AE3334" s="23"/>
      <c r="AF3334" s="23"/>
      <c r="AG3334" s="23"/>
      <c r="AH3334" s="23"/>
      <c r="AI3334" s="49"/>
    </row>
    <row r="3335" spans="1:35">
      <c r="A3335" s="23"/>
      <c r="B3335" s="42"/>
      <c r="C3335" s="49"/>
      <c r="E3335" s="49"/>
      <c r="G3335" s="43"/>
      <c r="H3335" s="44"/>
      <c r="L3335" s="42"/>
      <c r="M3335" s="42"/>
      <c r="N3335" s="25"/>
      <c r="O3335" s="54"/>
      <c r="P3335"/>
      <c r="Q3335" s="25"/>
      <c r="R3335" s="54"/>
      <c r="W3335" s="23"/>
      <c r="X3335" s="23"/>
      <c r="Y3335" s="23"/>
      <c r="Z3335" s="43"/>
      <c r="AA3335" s="23"/>
      <c r="AB3335" s="23"/>
      <c r="AC3335" s="23"/>
      <c r="AD3335" s="23"/>
      <c r="AE3335" s="23"/>
      <c r="AF3335" s="23"/>
      <c r="AG3335" s="23"/>
      <c r="AH3335" s="23"/>
      <c r="AI3335" s="49"/>
    </row>
    <row r="3336" spans="1:35">
      <c r="A3336" s="23"/>
      <c r="B3336" s="42"/>
      <c r="C3336" s="49"/>
      <c r="E3336" s="49"/>
      <c r="G3336" s="43"/>
      <c r="H3336" s="44"/>
      <c r="L3336" s="42"/>
      <c r="M3336" s="42"/>
      <c r="N3336" s="25"/>
      <c r="O3336" s="54"/>
      <c r="P3336"/>
      <c r="Q3336" s="25"/>
      <c r="R3336" s="54"/>
      <c r="W3336" s="23"/>
      <c r="X3336" s="23"/>
      <c r="Y3336" s="23"/>
      <c r="Z3336" s="43"/>
      <c r="AA3336" s="23"/>
      <c r="AB3336" s="23"/>
      <c r="AC3336" s="23"/>
      <c r="AD3336" s="23"/>
      <c r="AE3336" s="23"/>
      <c r="AF3336" s="23"/>
      <c r="AG3336" s="23"/>
      <c r="AH3336" s="23"/>
      <c r="AI3336" s="49"/>
    </row>
    <row r="3337" spans="1:35">
      <c r="A3337" s="23"/>
      <c r="B3337" s="42"/>
      <c r="C3337" s="49"/>
      <c r="E3337" s="49"/>
      <c r="G3337" s="43"/>
      <c r="H3337" s="44"/>
      <c r="L3337" s="42"/>
      <c r="M3337" s="42"/>
      <c r="N3337" s="25"/>
      <c r="O3337" s="54"/>
      <c r="P3337"/>
      <c r="Q3337" s="25"/>
      <c r="R3337" s="54"/>
      <c r="W3337" s="23"/>
      <c r="X3337" s="23"/>
      <c r="Y3337" s="23"/>
      <c r="Z3337" s="43"/>
      <c r="AA3337" s="23"/>
      <c r="AB3337" s="23"/>
      <c r="AC3337" s="23"/>
      <c r="AD3337" s="23"/>
      <c r="AE3337" s="23"/>
      <c r="AF3337" s="23"/>
      <c r="AG3337" s="23"/>
      <c r="AH3337" s="23"/>
      <c r="AI3337" s="49"/>
    </row>
    <row r="3338" spans="1:35">
      <c r="A3338" s="23"/>
      <c r="B3338" s="42"/>
      <c r="C3338" s="49"/>
      <c r="E3338" s="49"/>
      <c r="G3338" s="43"/>
      <c r="H3338" s="44"/>
      <c r="L3338" s="42"/>
      <c r="M3338" s="42"/>
      <c r="N3338" s="25"/>
      <c r="O3338" s="54"/>
      <c r="P3338"/>
      <c r="Q3338" s="25"/>
      <c r="R3338" s="54"/>
      <c r="W3338" s="23"/>
      <c r="X3338" s="23"/>
      <c r="Y3338" s="23"/>
      <c r="Z3338" s="43"/>
      <c r="AA3338" s="23"/>
      <c r="AB3338" s="23"/>
      <c r="AC3338" s="23"/>
      <c r="AD3338" s="23"/>
      <c r="AE3338" s="23"/>
      <c r="AF3338" s="23"/>
      <c r="AG3338" s="23"/>
      <c r="AH3338" s="23"/>
      <c r="AI3338" s="49"/>
    </row>
    <row r="3339" spans="1:35">
      <c r="A3339" s="23"/>
      <c r="B3339" s="42"/>
      <c r="C3339" s="49"/>
      <c r="E3339" s="49"/>
      <c r="G3339" s="43"/>
      <c r="H3339" s="44"/>
      <c r="L3339" s="42"/>
      <c r="M3339" s="42"/>
      <c r="N3339" s="25"/>
      <c r="O3339" s="54"/>
      <c r="P3339"/>
      <c r="Q3339" s="25"/>
      <c r="R3339" s="54"/>
      <c r="W3339" s="23"/>
      <c r="X3339" s="23"/>
      <c r="Y3339" s="23"/>
      <c r="Z3339" s="43"/>
      <c r="AA3339" s="23"/>
      <c r="AB3339" s="23"/>
      <c r="AC3339" s="23"/>
      <c r="AD3339" s="23"/>
      <c r="AE3339" s="23"/>
      <c r="AF3339" s="23"/>
      <c r="AG3339" s="23"/>
      <c r="AH3339" s="23"/>
      <c r="AI3339" s="49"/>
    </row>
    <row r="3340" spans="1:35">
      <c r="A3340" s="23"/>
      <c r="B3340" s="42"/>
      <c r="C3340" s="49"/>
      <c r="E3340" s="49"/>
      <c r="G3340" s="43"/>
      <c r="H3340" s="44"/>
      <c r="L3340" s="42"/>
      <c r="M3340" s="42"/>
      <c r="N3340" s="25"/>
      <c r="O3340" s="54"/>
      <c r="P3340"/>
      <c r="Q3340" s="25"/>
      <c r="R3340" s="54"/>
      <c r="W3340" s="23"/>
      <c r="X3340" s="23"/>
      <c r="Y3340" s="23"/>
      <c r="Z3340" s="43"/>
      <c r="AA3340" s="23"/>
      <c r="AB3340" s="23"/>
      <c r="AC3340" s="23"/>
      <c r="AD3340" s="23"/>
      <c r="AE3340" s="23"/>
      <c r="AF3340" s="23"/>
      <c r="AG3340" s="23"/>
      <c r="AH3340" s="23"/>
      <c r="AI3340" s="49"/>
    </row>
    <row r="3341" spans="1:35">
      <c r="A3341" s="23"/>
      <c r="B3341" s="42"/>
      <c r="C3341" s="49"/>
      <c r="E3341" s="49"/>
      <c r="G3341" s="43"/>
      <c r="H3341" s="44"/>
      <c r="L3341" s="42"/>
      <c r="M3341" s="42"/>
      <c r="N3341" s="25"/>
      <c r="O3341" s="54"/>
      <c r="P3341"/>
      <c r="Q3341" s="25"/>
      <c r="R3341" s="54"/>
      <c r="W3341" s="23"/>
      <c r="X3341" s="23"/>
      <c r="Y3341" s="23"/>
      <c r="Z3341" s="43"/>
      <c r="AA3341" s="23"/>
      <c r="AB3341" s="23"/>
      <c r="AC3341" s="23"/>
      <c r="AD3341" s="23"/>
      <c r="AE3341" s="23"/>
      <c r="AF3341" s="23"/>
      <c r="AG3341" s="23"/>
      <c r="AH3341" s="23"/>
      <c r="AI3341" s="49"/>
    </row>
    <row r="3342" spans="1:35">
      <c r="A3342" s="23"/>
      <c r="B3342" s="42"/>
      <c r="C3342" s="49"/>
      <c r="E3342" s="49"/>
      <c r="G3342" s="43"/>
      <c r="H3342" s="44"/>
      <c r="L3342" s="42"/>
      <c r="M3342" s="42"/>
      <c r="N3342" s="25"/>
      <c r="O3342" s="54"/>
      <c r="P3342"/>
      <c r="Q3342" s="25"/>
      <c r="R3342" s="54"/>
      <c r="W3342" s="23"/>
      <c r="X3342" s="23"/>
      <c r="Y3342" s="23"/>
      <c r="Z3342" s="43"/>
      <c r="AA3342" s="23"/>
      <c r="AB3342" s="23"/>
      <c r="AC3342" s="23"/>
      <c r="AD3342" s="23"/>
      <c r="AE3342" s="23"/>
      <c r="AF3342" s="23"/>
      <c r="AG3342" s="23"/>
      <c r="AH3342" s="23"/>
      <c r="AI3342" s="49"/>
    </row>
    <row r="3343" spans="1:35">
      <c r="A3343" s="23"/>
      <c r="B3343" s="42"/>
      <c r="C3343" s="49"/>
      <c r="E3343" s="49"/>
      <c r="G3343" s="43"/>
      <c r="H3343" s="44"/>
      <c r="L3343" s="42"/>
      <c r="M3343" s="42"/>
      <c r="N3343" s="25"/>
      <c r="O3343" s="54"/>
      <c r="P3343"/>
      <c r="Q3343" s="25"/>
      <c r="R3343" s="54"/>
      <c r="W3343" s="23"/>
      <c r="X3343" s="23"/>
      <c r="Y3343" s="23"/>
      <c r="Z3343" s="43"/>
      <c r="AA3343" s="23"/>
      <c r="AB3343" s="23"/>
      <c r="AC3343" s="23"/>
      <c r="AD3343" s="23"/>
      <c r="AE3343" s="23"/>
      <c r="AF3343" s="23"/>
      <c r="AG3343" s="23"/>
      <c r="AH3343" s="23"/>
      <c r="AI3343" s="49"/>
    </row>
    <row r="3344" spans="1:35">
      <c r="A3344" s="23"/>
      <c r="B3344" s="42"/>
      <c r="C3344" s="49"/>
      <c r="E3344" s="49"/>
      <c r="G3344" s="43"/>
      <c r="H3344" s="44"/>
      <c r="L3344" s="42"/>
      <c r="M3344" s="42"/>
      <c r="N3344" s="25"/>
      <c r="O3344" s="54"/>
      <c r="P3344"/>
      <c r="Q3344" s="25"/>
      <c r="R3344" s="54"/>
      <c r="W3344" s="23"/>
      <c r="X3344" s="23"/>
      <c r="Y3344" s="23"/>
      <c r="Z3344" s="43"/>
      <c r="AA3344" s="23"/>
      <c r="AB3344" s="23"/>
      <c r="AC3344" s="23"/>
      <c r="AD3344" s="23"/>
      <c r="AE3344" s="23"/>
      <c r="AF3344" s="23"/>
      <c r="AG3344" s="23"/>
      <c r="AH3344" s="23"/>
      <c r="AI3344" s="49"/>
    </row>
    <row r="3345" spans="1:35">
      <c r="A3345" s="23"/>
      <c r="B3345" s="42"/>
      <c r="C3345" s="49"/>
      <c r="E3345" s="49"/>
      <c r="G3345" s="43"/>
      <c r="H3345" s="44"/>
      <c r="L3345" s="42"/>
      <c r="M3345" s="42"/>
      <c r="N3345" s="25"/>
      <c r="O3345" s="54"/>
      <c r="P3345"/>
      <c r="Q3345" s="25"/>
      <c r="R3345" s="54"/>
      <c r="W3345" s="23"/>
      <c r="X3345" s="23"/>
      <c r="Y3345" s="23"/>
      <c r="Z3345" s="43"/>
      <c r="AA3345" s="23"/>
      <c r="AB3345" s="23"/>
      <c r="AC3345" s="23"/>
      <c r="AD3345" s="23"/>
      <c r="AE3345" s="23"/>
      <c r="AF3345" s="23"/>
      <c r="AG3345" s="23"/>
      <c r="AH3345" s="23"/>
      <c r="AI3345" s="49"/>
    </row>
    <row r="3346" spans="1:35">
      <c r="A3346" s="23"/>
      <c r="B3346" s="42"/>
      <c r="C3346" s="49"/>
      <c r="E3346" s="49"/>
      <c r="G3346" s="43"/>
      <c r="H3346" s="44"/>
      <c r="L3346" s="42"/>
      <c r="M3346" s="42"/>
      <c r="N3346" s="25"/>
      <c r="O3346" s="54"/>
      <c r="P3346"/>
      <c r="Q3346" s="25"/>
      <c r="R3346" s="54"/>
      <c r="W3346" s="23"/>
      <c r="X3346" s="23"/>
      <c r="Y3346" s="23"/>
      <c r="Z3346" s="43"/>
      <c r="AA3346" s="23"/>
      <c r="AB3346" s="23"/>
      <c r="AC3346" s="23"/>
      <c r="AD3346" s="23"/>
      <c r="AE3346" s="23"/>
      <c r="AF3346" s="23"/>
      <c r="AG3346" s="23"/>
      <c r="AH3346" s="23"/>
      <c r="AI3346" s="49"/>
    </row>
    <row r="3347" spans="1:35">
      <c r="A3347" s="23"/>
      <c r="B3347" s="42"/>
      <c r="C3347" s="49"/>
      <c r="E3347" s="49"/>
      <c r="G3347" s="43"/>
      <c r="H3347" s="44"/>
      <c r="L3347" s="42"/>
      <c r="M3347" s="42"/>
      <c r="N3347" s="25"/>
      <c r="O3347" s="54"/>
      <c r="P3347"/>
      <c r="Q3347" s="25"/>
      <c r="R3347" s="54"/>
      <c r="W3347" s="23"/>
      <c r="X3347" s="23"/>
      <c r="Y3347" s="23"/>
      <c r="Z3347" s="43"/>
      <c r="AA3347" s="23"/>
      <c r="AB3347" s="23"/>
      <c r="AC3347" s="23"/>
      <c r="AD3347" s="23"/>
      <c r="AE3347" s="23"/>
      <c r="AF3347" s="23"/>
      <c r="AG3347" s="23"/>
      <c r="AH3347" s="23"/>
      <c r="AI3347" s="49"/>
    </row>
    <row r="3348" spans="1:35">
      <c r="A3348" s="23"/>
      <c r="B3348" s="42"/>
      <c r="C3348" s="49"/>
      <c r="E3348" s="49"/>
      <c r="G3348" s="43"/>
      <c r="H3348" s="44"/>
      <c r="L3348" s="42"/>
      <c r="M3348" s="42"/>
      <c r="N3348" s="25"/>
      <c r="O3348" s="54"/>
      <c r="P3348"/>
      <c r="Q3348" s="25"/>
      <c r="R3348" s="54"/>
      <c r="W3348" s="23"/>
      <c r="X3348" s="23"/>
      <c r="Y3348" s="23"/>
      <c r="Z3348" s="43"/>
      <c r="AA3348" s="23"/>
      <c r="AB3348" s="23"/>
      <c r="AC3348" s="23"/>
      <c r="AD3348" s="23"/>
      <c r="AE3348" s="23"/>
      <c r="AF3348" s="23"/>
      <c r="AG3348" s="23"/>
      <c r="AH3348" s="23"/>
      <c r="AI3348" s="49"/>
    </row>
    <row r="3349" spans="1:35">
      <c r="A3349" s="23"/>
      <c r="B3349" s="42"/>
      <c r="C3349" s="49"/>
      <c r="E3349" s="49"/>
      <c r="G3349" s="43"/>
      <c r="H3349" s="44"/>
      <c r="L3349" s="42"/>
      <c r="M3349" s="42"/>
      <c r="N3349" s="25"/>
      <c r="O3349" s="54"/>
      <c r="P3349"/>
      <c r="Q3349" s="25"/>
      <c r="R3349" s="54"/>
      <c r="W3349" s="23"/>
      <c r="X3349" s="23"/>
      <c r="Y3349" s="23"/>
      <c r="Z3349" s="43"/>
      <c r="AA3349" s="23"/>
      <c r="AB3349" s="23"/>
      <c r="AC3349" s="23"/>
      <c r="AD3349" s="23"/>
      <c r="AE3349" s="23"/>
      <c r="AF3349" s="23"/>
      <c r="AG3349" s="23"/>
      <c r="AH3349" s="23"/>
      <c r="AI3349" s="49"/>
    </row>
    <row r="3350" spans="1:35">
      <c r="A3350" s="23"/>
      <c r="B3350" s="42"/>
      <c r="C3350" s="49"/>
      <c r="E3350" s="49"/>
      <c r="G3350" s="43"/>
      <c r="H3350" s="44"/>
      <c r="L3350" s="42"/>
      <c r="M3350" s="42"/>
      <c r="N3350" s="25"/>
      <c r="O3350" s="54"/>
      <c r="P3350"/>
      <c r="Q3350" s="25"/>
      <c r="R3350" s="54"/>
      <c r="W3350" s="23"/>
      <c r="X3350" s="23"/>
      <c r="Y3350" s="23"/>
      <c r="Z3350" s="43"/>
      <c r="AA3350" s="23"/>
      <c r="AB3350" s="23"/>
      <c r="AC3350" s="23"/>
      <c r="AD3350" s="23"/>
      <c r="AE3350" s="23"/>
      <c r="AF3350" s="23"/>
      <c r="AG3350" s="23"/>
      <c r="AH3350" s="23"/>
      <c r="AI3350" s="49"/>
    </row>
    <row r="3351" spans="1:35">
      <c r="A3351" s="23"/>
      <c r="B3351" s="42"/>
      <c r="C3351" s="49"/>
      <c r="E3351" s="49"/>
      <c r="G3351" s="43"/>
      <c r="H3351" s="44"/>
      <c r="L3351" s="42"/>
      <c r="M3351" s="42"/>
      <c r="N3351" s="25"/>
      <c r="O3351" s="54"/>
      <c r="P3351"/>
      <c r="Q3351" s="25"/>
      <c r="R3351" s="54"/>
      <c r="W3351" s="23"/>
      <c r="X3351" s="23"/>
      <c r="Y3351" s="23"/>
      <c r="Z3351" s="43"/>
      <c r="AA3351" s="23"/>
      <c r="AB3351" s="23"/>
      <c r="AC3351" s="23"/>
      <c r="AD3351" s="23"/>
      <c r="AE3351" s="23"/>
      <c r="AF3351" s="23"/>
      <c r="AG3351" s="23"/>
      <c r="AH3351" s="23"/>
      <c r="AI3351" s="49"/>
    </row>
    <row r="3352" spans="1:35">
      <c r="A3352" s="23"/>
      <c r="B3352" s="42"/>
      <c r="C3352" s="49"/>
      <c r="E3352" s="49"/>
      <c r="G3352" s="43"/>
      <c r="H3352" s="44"/>
      <c r="L3352" s="42"/>
      <c r="M3352" s="42"/>
      <c r="N3352" s="25"/>
      <c r="O3352" s="54"/>
      <c r="P3352"/>
      <c r="Q3352" s="25"/>
      <c r="R3352" s="54"/>
      <c r="W3352" s="23"/>
      <c r="X3352" s="23"/>
      <c r="Y3352" s="23"/>
      <c r="Z3352" s="43"/>
      <c r="AA3352" s="23"/>
      <c r="AB3352" s="23"/>
      <c r="AC3352" s="23"/>
      <c r="AD3352" s="23"/>
      <c r="AE3352" s="23"/>
      <c r="AF3352" s="23"/>
      <c r="AG3352" s="23"/>
      <c r="AH3352" s="23"/>
      <c r="AI3352" s="49"/>
    </row>
    <row r="3353" spans="1:35">
      <c r="A3353" s="23"/>
      <c r="B3353" s="42"/>
      <c r="C3353" s="49"/>
      <c r="E3353" s="49"/>
      <c r="G3353" s="43"/>
      <c r="H3353" s="44"/>
      <c r="L3353" s="42"/>
      <c r="M3353" s="42"/>
      <c r="N3353" s="25"/>
      <c r="O3353" s="54"/>
      <c r="P3353"/>
      <c r="Q3353" s="25"/>
      <c r="R3353" s="54"/>
      <c r="W3353" s="23"/>
      <c r="X3353" s="23"/>
      <c r="Y3353" s="23"/>
      <c r="Z3353" s="43"/>
      <c r="AA3353" s="23"/>
      <c r="AB3353" s="23"/>
      <c r="AC3353" s="23"/>
      <c r="AD3353" s="23"/>
      <c r="AE3353" s="23"/>
      <c r="AF3353" s="23"/>
      <c r="AG3353" s="23"/>
      <c r="AH3353" s="23"/>
      <c r="AI3353" s="49"/>
    </row>
    <row r="3354" spans="1:35">
      <c r="A3354" s="23"/>
      <c r="B3354" s="42"/>
      <c r="C3354" s="49"/>
      <c r="E3354" s="49"/>
      <c r="G3354" s="43"/>
      <c r="H3354" s="44"/>
      <c r="L3354" s="42"/>
      <c r="M3354" s="42"/>
      <c r="N3354" s="25"/>
      <c r="O3354" s="54"/>
      <c r="P3354"/>
      <c r="Q3354" s="25"/>
      <c r="R3354" s="54"/>
      <c r="W3354" s="23"/>
      <c r="X3354" s="23"/>
      <c r="Y3354" s="23"/>
      <c r="Z3354" s="43"/>
      <c r="AA3354" s="23"/>
      <c r="AB3354" s="23"/>
      <c r="AC3354" s="23"/>
      <c r="AD3354" s="23"/>
      <c r="AE3354" s="23"/>
      <c r="AF3354" s="23"/>
      <c r="AG3354" s="23"/>
      <c r="AH3354" s="23"/>
      <c r="AI3354" s="49"/>
    </row>
    <row r="3355" spans="1:35">
      <c r="A3355" s="23"/>
      <c r="B3355" s="42"/>
      <c r="C3355" s="49"/>
      <c r="E3355" s="49"/>
      <c r="G3355" s="43"/>
      <c r="H3355" s="44"/>
      <c r="L3355" s="42"/>
      <c r="M3355" s="42"/>
      <c r="N3355" s="25"/>
      <c r="O3355" s="54"/>
      <c r="P3355"/>
      <c r="Q3355" s="25"/>
      <c r="R3355" s="54"/>
      <c r="W3355" s="23"/>
      <c r="X3355" s="23"/>
      <c r="Y3355" s="23"/>
      <c r="Z3355" s="43"/>
      <c r="AA3355" s="23"/>
      <c r="AB3355" s="23"/>
      <c r="AC3355" s="23"/>
      <c r="AD3355" s="23"/>
      <c r="AE3355" s="23"/>
      <c r="AF3355" s="23"/>
      <c r="AG3355" s="23"/>
      <c r="AH3355" s="23"/>
      <c r="AI3355" s="49"/>
    </row>
    <row r="3356" spans="1:35">
      <c r="A3356" s="23"/>
      <c r="B3356" s="42"/>
      <c r="C3356" s="49"/>
      <c r="E3356" s="49"/>
      <c r="G3356" s="43"/>
      <c r="H3356" s="44"/>
      <c r="L3356" s="42"/>
      <c r="M3356" s="42"/>
      <c r="N3356" s="25"/>
      <c r="O3356" s="54"/>
      <c r="P3356"/>
      <c r="Q3356" s="25"/>
      <c r="R3356" s="54"/>
      <c r="W3356" s="23"/>
      <c r="X3356" s="23"/>
      <c r="Y3356" s="23"/>
      <c r="Z3356" s="43"/>
      <c r="AA3356" s="23"/>
      <c r="AB3356" s="23"/>
      <c r="AC3356" s="23"/>
      <c r="AD3356" s="23"/>
      <c r="AE3356" s="23"/>
      <c r="AF3356" s="23"/>
      <c r="AG3356" s="23"/>
      <c r="AH3356" s="23"/>
      <c r="AI3356" s="49"/>
    </row>
    <row r="3357" spans="1:35">
      <c r="A3357" s="23"/>
      <c r="B3357" s="42"/>
      <c r="C3357" s="49"/>
      <c r="E3357" s="49"/>
      <c r="G3357" s="43"/>
      <c r="H3357" s="44"/>
      <c r="L3357" s="42"/>
      <c r="M3357" s="42"/>
      <c r="N3357" s="25"/>
      <c r="O3357" s="54"/>
      <c r="P3357"/>
      <c r="Q3357" s="25"/>
      <c r="R3357" s="54"/>
      <c r="W3357" s="23"/>
      <c r="X3357" s="23"/>
      <c r="Y3357" s="23"/>
      <c r="Z3357" s="43"/>
      <c r="AA3357" s="23"/>
      <c r="AB3357" s="23"/>
      <c r="AC3357" s="23"/>
      <c r="AD3357" s="23"/>
      <c r="AE3357" s="23"/>
      <c r="AF3357" s="23"/>
      <c r="AG3357" s="23"/>
      <c r="AH3357" s="23"/>
      <c r="AI3357" s="49"/>
    </row>
    <row r="3358" spans="1:35">
      <c r="A3358" s="23"/>
      <c r="B3358" s="42"/>
      <c r="C3358" s="49"/>
      <c r="E3358" s="49"/>
      <c r="G3358" s="43"/>
      <c r="H3358" s="44"/>
      <c r="L3358" s="42"/>
      <c r="M3358" s="42"/>
      <c r="N3358" s="25"/>
      <c r="O3358" s="54"/>
      <c r="P3358"/>
      <c r="Q3358" s="25"/>
      <c r="R3358" s="54"/>
      <c r="W3358" s="23"/>
      <c r="X3358" s="23"/>
      <c r="Y3358" s="23"/>
      <c r="Z3358" s="43"/>
      <c r="AA3358" s="23"/>
      <c r="AB3358" s="23"/>
      <c r="AC3358" s="23"/>
      <c r="AD3358" s="23"/>
      <c r="AE3358" s="23"/>
      <c r="AF3358" s="23"/>
      <c r="AG3358" s="23"/>
      <c r="AH3358" s="23"/>
      <c r="AI3358" s="49"/>
    </row>
    <row r="3359" spans="1:35">
      <c r="A3359" s="23"/>
      <c r="B3359" s="42"/>
      <c r="C3359" s="49"/>
      <c r="E3359" s="49"/>
      <c r="G3359" s="43"/>
      <c r="H3359" s="44"/>
      <c r="L3359" s="42"/>
      <c r="M3359" s="42"/>
      <c r="N3359" s="25"/>
      <c r="O3359" s="54"/>
      <c r="P3359"/>
      <c r="Q3359" s="25"/>
      <c r="R3359" s="54"/>
      <c r="W3359" s="23"/>
      <c r="X3359" s="23"/>
      <c r="Y3359" s="23"/>
      <c r="Z3359" s="43"/>
      <c r="AA3359" s="23"/>
      <c r="AB3359" s="23"/>
      <c r="AC3359" s="23"/>
      <c r="AD3359" s="23"/>
      <c r="AE3359" s="23"/>
      <c r="AF3359" s="23"/>
      <c r="AG3359" s="23"/>
      <c r="AH3359" s="23"/>
      <c r="AI3359" s="49"/>
    </row>
    <row r="3360" spans="1:35">
      <c r="A3360" s="23"/>
      <c r="B3360" s="42"/>
      <c r="C3360" s="49"/>
      <c r="E3360" s="49"/>
      <c r="G3360" s="43"/>
      <c r="H3360" s="44"/>
      <c r="L3360" s="42"/>
      <c r="M3360" s="42"/>
      <c r="N3360" s="25"/>
      <c r="O3360" s="54"/>
      <c r="P3360"/>
      <c r="Q3360" s="25"/>
      <c r="R3360" s="54"/>
      <c r="W3360" s="23"/>
      <c r="X3360" s="23"/>
      <c r="Y3360" s="23"/>
      <c r="Z3360" s="43"/>
      <c r="AA3360" s="23"/>
      <c r="AB3360" s="23"/>
      <c r="AC3360" s="23"/>
      <c r="AD3360" s="23"/>
      <c r="AE3360" s="23"/>
      <c r="AF3360" s="23"/>
      <c r="AG3360" s="23"/>
      <c r="AH3360" s="23"/>
      <c r="AI3360" s="49"/>
    </row>
    <row r="3361" spans="1:35">
      <c r="A3361" s="23"/>
      <c r="B3361" s="42"/>
      <c r="C3361" s="49"/>
      <c r="E3361" s="49"/>
      <c r="G3361" s="43"/>
      <c r="H3361" s="44"/>
      <c r="L3361" s="42"/>
      <c r="M3361" s="42"/>
      <c r="N3361" s="25"/>
      <c r="O3361" s="54"/>
      <c r="P3361"/>
      <c r="Q3361" s="25"/>
      <c r="R3361" s="54"/>
      <c r="W3361" s="23"/>
      <c r="X3361" s="23"/>
      <c r="Y3361" s="23"/>
      <c r="Z3361" s="43"/>
      <c r="AA3361" s="23"/>
      <c r="AB3361" s="23"/>
      <c r="AC3361" s="23"/>
      <c r="AD3361" s="23"/>
      <c r="AE3361" s="23"/>
      <c r="AF3361" s="23"/>
      <c r="AG3361" s="23"/>
      <c r="AH3361" s="23"/>
      <c r="AI3361" s="49"/>
    </row>
    <row r="3362" spans="1:35">
      <c r="A3362" s="23"/>
      <c r="B3362" s="42"/>
      <c r="C3362" s="49"/>
      <c r="E3362" s="49"/>
      <c r="G3362" s="43"/>
      <c r="H3362" s="44"/>
      <c r="L3362" s="42"/>
      <c r="M3362" s="42"/>
      <c r="N3362" s="25"/>
      <c r="O3362" s="54"/>
      <c r="P3362"/>
      <c r="Q3362" s="25"/>
      <c r="R3362" s="54"/>
      <c r="W3362" s="23"/>
      <c r="X3362" s="23"/>
      <c r="Y3362" s="23"/>
      <c r="Z3362" s="43"/>
      <c r="AA3362" s="23"/>
      <c r="AB3362" s="23"/>
      <c r="AC3362" s="23"/>
      <c r="AD3362" s="23"/>
      <c r="AE3362" s="23"/>
      <c r="AF3362" s="23"/>
      <c r="AG3362" s="23"/>
      <c r="AH3362" s="23"/>
      <c r="AI3362" s="49"/>
    </row>
    <row r="3363" spans="1:35">
      <c r="A3363" s="23"/>
      <c r="B3363" s="42"/>
      <c r="C3363" s="49"/>
      <c r="E3363" s="49"/>
      <c r="G3363" s="43"/>
      <c r="H3363" s="44"/>
      <c r="L3363" s="42"/>
      <c r="M3363" s="42"/>
      <c r="N3363" s="25"/>
      <c r="O3363" s="54"/>
      <c r="P3363"/>
      <c r="Q3363" s="25"/>
      <c r="R3363" s="54"/>
      <c r="W3363" s="23"/>
      <c r="X3363" s="23"/>
      <c r="Y3363" s="23"/>
      <c r="Z3363" s="43"/>
      <c r="AA3363" s="23"/>
      <c r="AB3363" s="23"/>
      <c r="AC3363" s="23"/>
      <c r="AD3363" s="23"/>
      <c r="AE3363" s="23"/>
      <c r="AF3363" s="23"/>
      <c r="AG3363" s="23"/>
      <c r="AH3363" s="23"/>
      <c r="AI3363" s="49"/>
    </row>
    <row r="3364" spans="1:35">
      <c r="A3364" s="23"/>
      <c r="B3364" s="42"/>
      <c r="C3364" s="49"/>
      <c r="E3364" s="49"/>
      <c r="G3364" s="43"/>
      <c r="H3364" s="44"/>
      <c r="L3364" s="42"/>
      <c r="M3364" s="42"/>
      <c r="N3364" s="25"/>
      <c r="O3364" s="54"/>
      <c r="P3364"/>
      <c r="Q3364" s="25"/>
      <c r="R3364" s="54"/>
      <c r="W3364" s="23"/>
      <c r="X3364" s="23"/>
      <c r="Y3364" s="23"/>
      <c r="Z3364" s="43"/>
      <c r="AA3364" s="23"/>
      <c r="AB3364" s="23"/>
      <c r="AC3364" s="23"/>
      <c r="AD3364" s="23"/>
      <c r="AE3364" s="23"/>
      <c r="AF3364" s="23"/>
      <c r="AG3364" s="23"/>
      <c r="AH3364" s="23"/>
      <c r="AI3364" s="49"/>
    </row>
    <row r="3365" spans="1:35">
      <c r="A3365" s="23"/>
      <c r="B3365" s="42"/>
      <c r="C3365" s="49"/>
      <c r="E3365" s="49"/>
      <c r="G3365" s="43"/>
      <c r="H3365" s="44"/>
      <c r="L3365" s="42"/>
      <c r="M3365" s="42"/>
      <c r="N3365" s="25"/>
      <c r="O3365" s="54"/>
      <c r="P3365"/>
      <c r="Q3365" s="25"/>
      <c r="R3365" s="54"/>
      <c r="W3365" s="23"/>
      <c r="X3365" s="23"/>
      <c r="Y3365" s="23"/>
      <c r="Z3365" s="43"/>
      <c r="AA3365" s="23"/>
      <c r="AB3365" s="23"/>
      <c r="AC3365" s="23"/>
      <c r="AD3365" s="23"/>
      <c r="AE3365" s="23"/>
      <c r="AF3365" s="23"/>
      <c r="AG3365" s="23"/>
      <c r="AH3365" s="23"/>
      <c r="AI3365" s="49"/>
    </row>
    <row r="3366" spans="1:35">
      <c r="A3366" s="23"/>
      <c r="B3366" s="42"/>
      <c r="C3366" s="49"/>
      <c r="E3366" s="49"/>
      <c r="G3366" s="43"/>
      <c r="H3366" s="44"/>
      <c r="L3366" s="42"/>
      <c r="M3366" s="42"/>
      <c r="N3366" s="25"/>
      <c r="O3366" s="54"/>
      <c r="P3366"/>
      <c r="Q3366" s="25"/>
      <c r="R3366" s="54"/>
      <c r="W3366" s="23"/>
      <c r="X3366" s="23"/>
      <c r="Y3366" s="23"/>
      <c r="Z3366" s="43"/>
      <c r="AA3366" s="23"/>
      <c r="AB3366" s="23"/>
      <c r="AC3366" s="23"/>
      <c r="AD3366" s="23"/>
      <c r="AE3366" s="23"/>
      <c r="AF3366" s="23"/>
      <c r="AG3366" s="23"/>
      <c r="AH3366" s="23"/>
      <c r="AI3366" s="49"/>
    </row>
    <row r="3367" spans="1:35">
      <c r="A3367" s="23"/>
      <c r="B3367" s="42"/>
      <c r="C3367" s="49"/>
      <c r="E3367" s="49"/>
      <c r="G3367" s="43"/>
      <c r="H3367" s="44"/>
      <c r="L3367" s="42"/>
      <c r="M3367" s="42"/>
      <c r="N3367" s="25"/>
      <c r="O3367" s="54"/>
      <c r="P3367"/>
      <c r="Q3367" s="25"/>
      <c r="R3367" s="54"/>
      <c r="W3367" s="23"/>
      <c r="X3367" s="23"/>
      <c r="Y3367" s="23"/>
      <c r="Z3367" s="43"/>
      <c r="AA3367" s="23"/>
      <c r="AB3367" s="23"/>
      <c r="AC3367" s="23"/>
      <c r="AD3367" s="23"/>
      <c r="AE3367" s="23"/>
      <c r="AF3367" s="23"/>
      <c r="AG3367" s="23"/>
      <c r="AH3367" s="23"/>
      <c r="AI3367" s="49"/>
    </row>
    <row r="3368" spans="1:35">
      <c r="A3368" s="23"/>
      <c r="B3368" s="42"/>
      <c r="C3368" s="49"/>
      <c r="E3368" s="49"/>
      <c r="G3368" s="43"/>
      <c r="H3368" s="44"/>
      <c r="L3368" s="42"/>
      <c r="M3368" s="42"/>
      <c r="N3368" s="25"/>
      <c r="O3368" s="54"/>
      <c r="P3368"/>
      <c r="Q3368" s="25"/>
      <c r="R3368" s="54"/>
      <c r="W3368" s="23"/>
      <c r="X3368" s="23"/>
      <c r="Y3368" s="23"/>
      <c r="Z3368" s="43"/>
      <c r="AA3368" s="23"/>
      <c r="AB3368" s="23"/>
      <c r="AC3368" s="23"/>
      <c r="AD3368" s="23"/>
      <c r="AE3368" s="23"/>
      <c r="AF3368" s="23"/>
      <c r="AG3368" s="23"/>
      <c r="AH3368" s="23"/>
      <c r="AI3368" s="49"/>
    </row>
    <row r="3369" spans="1:35">
      <c r="A3369" s="23"/>
      <c r="B3369" s="42"/>
      <c r="C3369" s="49"/>
      <c r="E3369" s="49"/>
      <c r="G3369" s="43"/>
      <c r="H3369" s="44"/>
      <c r="L3369" s="42"/>
      <c r="M3369" s="42"/>
      <c r="N3369" s="25"/>
      <c r="O3369" s="54"/>
      <c r="P3369"/>
      <c r="Q3369" s="25"/>
      <c r="R3369" s="54"/>
      <c r="W3369" s="23"/>
      <c r="X3369" s="23"/>
      <c r="Y3369" s="23"/>
      <c r="Z3369" s="43"/>
      <c r="AA3369" s="23"/>
      <c r="AB3369" s="23"/>
      <c r="AC3369" s="23"/>
      <c r="AD3369" s="23"/>
      <c r="AE3369" s="23"/>
      <c r="AF3369" s="23"/>
      <c r="AG3369" s="23"/>
      <c r="AH3369" s="23"/>
      <c r="AI3369" s="49"/>
    </row>
    <row r="3370" spans="1:35">
      <c r="A3370" s="23"/>
      <c r="B3370" s="42"/>
      <c r="C3370" s="49"/>
      <c r="E3370" s="49"/>
      <c r="G3370" s="43"/>
      <c r="H3370" s="44"/>
      <c r="L3370" s="42"/>
      <c r="M3370" s="42"/>
      <c r="N3370" s="25"/>
      <c r="O3370" s="54"/>
      <c r="P3370"/>
      <c r="Q3370" s="25"/>
      <c r="R3370" s="54"/>
      <c r="W3370" s="23"/>
      <c r="X3370" s="23"/>
      <c r="Y3370" s="23"/>
      <c r="Z3370" s="43"/>
      <c r="AA3370" s="23"/>
      <c r="AB3370" s="23"/>
      <c r="AC3370" s="23"/>
      <c r="AD3370" s="23"/>
      <c r="AE3370" s="23"/>
      <c r="AF3370" s="23"/>
      <c r="AG3370" s="23"/>
      <c r="AH3370" s="23"/>
      <c r="AI3370" s="49"/>
    </row>
    <row r="3371" spans="1:35">
      <c r="A3371" s="23"/>
      <c r="B3371" s="42"/>
      <c r="C3371" s="49"/>
      <c r="E3371" s="49"/>
      <c r="G3371" s="43"/>
      <c r="H3371" s="44"/>
      <c r="L3371" s="42"/>
      <c r="M3371" s="42"/>
      <c r="N3371" s="25"/>
      <c r="O3371" s="54"/>
      <c r="P3371"/>
      <c r="Q3371" s="25"/>
      <c r="R3371" s="54"/>
      <c r="W3371" s="23"/>
      <c r="X3371" s="23"/>
      <c r="Y3371" s="23"/>
      <c r="Z3371" s="43"/>
      <c r="AA3371" s="23"/>
      <c r="AB3371" s="23"/>
      <c r="AC3371" s="23"/>
      <c r="AD3371" s="23"/>
      <c r="AE3371" s="23"/>
      <c r="AF3371" s="23"/>
      <c r="AG3371" s="23"/>
      <c r="AH3371" s="23"/>
      <c r="AI3371" s="49"/>
    </row>
    <row r="3372" spans="1:35">
      <c r="A3372" s="23"/>
      <c r="B3372" s="42"/>
      <c r="C3372" s="49"/>
      <c r="E3372" s="49"/>
      <c r="G3372" s="43"/>
      <c r="H3372" s="44"/>
      <c r="L3372" s="42"/>
      <c r="M3372" s="42"/>
      <c r="N3372" s="25"/>
      <c r="O3372" s="54"/>
      <c r="P3372"/>
      <c r="Q3372" s="25"/>
      <c r="R3372" s="54"/>
      <c r="W3372" s="23"/>
      <c r="X3372" s="23"/>
      <c r="Y3372" s="23"/>
      <c r="Z3372" s="43"/>
      <c r="AA3372" s="23"/>
      <c r="AB3372" s="23"/>
      <c r="AC3372" s="23"/>
      <c r="AD3372" s="23"/>
      <c r="AE3372" s="23"/>
      <c r="AF3372" s="23"/>
      <c r="AG3372" s="23"/>
      <c r="AH3372" s="23"/>
      <c r="AI3372" s="49"/>
    </row>
    <row r="3373" spans="1:35">
      <c r="A3373" s="23"/>
      <c r="B3373" s="42"/>
      <c r="C3373" s="49"/>
      <c r="E3373" s="49"/>
      <c r="G3373" s="43"/>
      <c r="H3373" s="44"/>
      <c r="L3373" s="42"/>
      <c r="M3373" s="42"/>
      <c r="N3373" s="25"/>
      <c r="O3373" s="54"/>
      <c r="P3373"/>
      <c r="Q3373" s="25"/>
      <c r="R3373" s="54"/>
      <c r="W3373" s="23"/>
      <c r="X3373" s="23"/>
      <c r="Y3373" s="23"/>
      <c r="Z3373" s="43"/>
      <c r="AA3373" s="23"/>
      <c r="AB3373" s="23"/>
      <c r="AC3373" s="23"/>
      <c r="AD3373" s="23"/>
      <c r="AE3373" s="23"/>
      <c r="AF3373" s="23"/>
      <c r="AG3373" s="23"/>
      <c r="AH3373" s="23"/>
      <c r="AI3373" s="49"/>
    </row>
    <row r="3374" spans="1:35">
      <c r="A3374" s="23"/>
      <c r="B3374" s="42"/>
      <c r="C3374" s="49"/>
      <c r="E3374" s="49"/>
      <c r="G3374" s="43"/>
      <c r="H3374" s="44"/>
      <c r="L3374" s="42"/>
      <c r="M3374" s="42"/>
      <c r="N3374" s="25"/>
      <c r="O3374" s="54"/>
      <c r="P3374"/>
      <c r="Q3374" s="25"/>
      <c r="R3374" s="54"/>
      <c r="W3374" s="23"/>
      <c r="X3374" s="23"/>
      <c r="Y3374" s="23"/>
      <c r="Z3374" s="43"/>
      <c r="AA3374" s="23"/>
      <c r="AB3374" s="23"/>
      <c r="AC3374" s="23"/>
      <c r="AD3374" s="23"/>
      <c r="AE3374" s="23"/>
      <c r="AF3374" s="23"/>
      <c r="AG3374" s="23"/>
      <c r="AH3374" s="23"/>
      <c r="AI3374" s="49"/>
    </row>
    <row r="3375" spans="1:35">
      <c r="A3375" s="23"/>
      <c r="B3375" s="42"/>
      <c r="C3375" s="49"/>
      <c r="E3375" s="49"/>
      <c r="G3375" s="43"/>
      <c r="H3375" s="44"/>
      <c r="L3375" s="42"/>
      <c r="M3375" s="42"/>
      <c r="N3375" s="25"/>
      <c r="O3375" s="54"/>
      <c r="P3375"/>
      <c r="Q3375" s="25"/>
      <c r="R3375" s="54"/>
      <c r="W3375" s="23"/>
      <c r="X3375" s="23"/>
      <c r="Y3375" s="23"/>
      <c r="Z3375" s="43"/>
      <c r="AA3375" s="23"/>
      <c r="AB3375" s="23"/>
      <c r="AC3375" s="23"/>
      <c r="AD3375" s="23"/>
      <c r="AE3375" s="23"/>
      <c r="AF3375" s="23"/>
      <c r="AG3375" s="23"/>
      <c r="AH3375" s="23"/>
      <c r="AI3375" s="49"/>
    </row>
    <row r="3376" spans="1:35">
      <c r="A3376" s="23"/>
      <c r="B3376" s="42"/>
      <c r="C3376" s="49"/>
      <c r="E3376" s="49"/>
      <c r="G3376" s="43"/>
      <c r="H3376" s="44"/>
      <c r="L3376" s="42"/>
      <c r="M3376" s="42"/>
      <c r="N3376" s="25"/>
      <c r="O3376" s="54"/>
      <c r="P3376"/>
      <c r="Q3376" s="25"/>
      <c r="R3376" s="54"/>
      <c r="W3376" s="23"/>
      <c r="X3376" s="23"/>
      <c r="Y3376" s="23"/>
      <c r="Z3376" s="43"/>
      <c r="AA3376" s="23"/>
      <c r="AB3376" s="23"/>
      <c r="AC3376" s="23"/>
      <c r="AD3376" s="23"/>
      <c r="AE3376" s="23"/>
      <c r="AF3376" s="23"/>
      <c r="AG3376" s="23"/>
      <c r="AH3376" s="23"/>
      <c r="AI3376" s="49"/>
    </row>
    <row r="3377" spans="1:35">
      <c r="A3377" s="23"/>
      <c r="B3377" s="42"/>
      <c r="C3377" s="49"/>
      <c r="E3377" s="49"/>
      <c r="G3377" s="43"/>
      <c r="H3377" s="44"/>
      <c r="L3377" s="42"/>
      <c r="M3377" s="42"/>
      <c r="N3377" s="25"/>
      <c r="O3377" s="54"/>
      <c r="P3377"/>
      <c r="Q3377" s="25"/>
      <c r="R3377" s="54"/>
      <c r="W3377" s="23"/>
      <c r="X3377" s="23"/>
      <c r="Y3377" s="23"/>
      <c r="Z3377" s="43"/>
      <c r="AA3377" s="23"/>
      <c r="AB3377" s="23"/>
      <c r="AC3377" s="23"/>
      <c r="AD3377" s="23"/>
      <c r="AE3377" s="23"/>
      <c r="AF3377" s="23"/>
      <c r="AG3377" s="23"/>
      <c r="AH3377" s="23"/>
      <c r="AI3377" s="49"/>
    </row>
    <row r="3378" spans="1:35">
      <c r="A3378" s="23"/>
      <c r="B3378" s="42"/>
      <c r="C3378" s="49"/>
      <c r="E3378" s="49"/>
      <c r="G3378" s="43"/>
      <c r="H3378" s="44"/>
      <c r="L3378" s="42"/>
      <c r="M3378" s="42"/>
      <c r="N3378" s="25"/>
      <c r="O3378" s="54"/>
      <c r="P3378"/>
      <c r="Q3378" s="25"/>
      <c r="R3378" s="54"/>
      <c r="W3378" s="23"/>
      <c r="X3378" s="23"/>
      <c r="Y3378" s="23"/>
      <c r="Z3378" s="43"/>
      <c r="AA3378" s="23"/>
      <c r="AB3378" s="23"/>
      <c r="AC3378" s="23"/>
      <c r="AD3378" s="23"/>
      <c r="AE3378" s="23"/>
      <c r="AF3378" s="23"/>
      <c r="AG3378" s="23"/>
      <c r="AH3378" s="23"/>
      <c r="AI3378" s="49"/>
    </row>
    <row r="3379" spans="1:35">
      <c r="A3379" s="23"/>
      <c r="B3379" s="42"/>
      <c r="C3379" s="49"/>
      <c r="E3379" s="49"/>
      <c r="G3379" s="43"/>
      <c r="H3379" s="44"/>
      <c r="L3379" s="42"/>
      <c r="M3379" s="42"/>
      <c r="N3379" s="25"/>
      <c r="O3379" s="54"/>
      <c r="P3379"/>
      <c r="Q3379" s="25"/>
      <c r="R3379" s="54"/>
      <c r="W3379" s="23"/>
      <c r="X3379" s="23"/>
      <c r="Y3379" s="23"/>
      <c r="Z3379" s="43"/>
      <c r="AA3379" s="23"/>
      <c r="AB3379" s="23"/>
      <c r="AC3379" s="23"/>
      <c r="AD3379" s="23"/>
      <c r="AE3379" s="23"/>
      <c r="AF3379" s="23"/>
      <c r="AG3379" s="23"/>
      <c r="AH3379" s="23"/>
      <c r="AI3379" s="49"/>
    </row>
    <row r="3380" spans="1:35">
      <c r="A3380" s="23"/>
      <c r="B3380" s="42"/>
      <c r="C3380" s="49"/>
      <c r="E3380" s="49"/>
      <c r="G3380" s="43"/>
      <c r="H3380" s="44"/>
      <c r="L3380" s="42"/>
      <c r="M3380" s="42"/>
      <c r="N3380" s="25"/>
      <c r="O3380" s="54"/>
      <c r="P3380"/>
      <c r="Q3380" s="25"/>
      <c r="R3380" s="54"/>
      <c r="W3380" s="23"/>
      <c r="X3380" s="23"/>
      <c r="Y3380" s="23"/>
      <c r="Z3380" s="43"/>
      <c r="AA3380" s="23"/>
      <c r="AB3380" s="23"/>
      <c r="AC3380" s="23"/>
      <c r="AD3380" s="23"/>
      <c r="AE3380" s="23"/>
      <c r="AF3380" s="23"/>
      <c r="AG3380" s="23"/>
      <c r="AH3380" s="23"/>
      <c r="AI3380" s="49"/>
    </row>
    <row r="3381" spans="1:35">
      <c r="A3381" s="23"/>
      <c r="B3381" s="42"/>
      <c r="C3381" s="49"/>
      <c r="E3381" s="49"/>
      <c r="G3381" s="43"/>
      <c r="H3381" s="44"/>
      <c r="L3381" s="42"/>
      <c r="M3381" s="42"/>
      <c r="N3381" s="25"/>
      <c r="O3381" s="54"/>
      <c r="P3381"/>
      <c r="Q3381" s="25"/>
      <c r="R3381" s="54"/>
      <c r="W3381" s="23"/>
      <c r="X3381" s="23"/>
      <c r="Y3381" s="23"/>
      <c r="Z3381" s="43"/>
      <c r="AA3381" s="23"/>
      <c r="AB3381" s="23"/>
      <c r="AC3381" s="23"/>
      <c r="AD3381" s="23"/>
      <c r="AE3381" s="23"/>
      <c r="AF3381" s="23"/>
      <c r="AG3381" s="23"/>
      <c r="AH3381" s="23"/>
      <c r="AI3381" s="49"/>
    </row>
    <row r="3382" spans="1:35">
      <c r="A3382" s="23"/>
      <c r="B3382" s="42"/>
      <c r="C3382" s="49"/>
      <c r="E3382" s="49"/>
      <c r="G3382" s="43"/>
      <c r="H3382" s="44"/>
      <c r="L3382" s="42"/>
      <c r="M3382" s="42"/>
      <c r="N3382" s="25"/>
      <c r="O3382" s="54"/>
      <c r="P3382"/>
      <c r="Q3382" s="25"/>
      <c r="R3382" s="54"/>
      <c r="W3382" s="23"/>
      <c r="X3382" s="23"/>
      <c r="Y3382" s="23"/>
      <c r="Z3382" s="43"/>
      <c r="AA3382" s="23"/>
      <c r="AB3382" s="23"/>
      <c r="AC3382" s="23"/>
      <c r="AD3382" s="23"/>
      <c r="AE3382" s="23"/>
      <c r="AF3382" s="23"/>
      <c r="AG3382" s="23"/>
      <c r="AH3382" s="23"/>
      <c r="AI3382" s="49"/>
    </row>
    <row r="3383" spans="1:35">
      <c r="A3383" s="23"/>
      <c r="B3383" s="42"/>
      <c r="C3383" s="49"/>
      <c r="E3383" s="49"/>
      <c r="G3383" s="43"/>
      <c r="H3383" s="44"/>
      <c r="L3383" s="42"/>
      <c r="M3383" s="42"/>
      <c r="N3383" s="25"/>
      <c r="O3383" s="54"/>
      <c r="P3383"/>
      <c r="Q3383" s="25"/>
      <c r="R3383" s="54"/>
      <c r="W3383" s="23"/>
      <c r="X3383" s="23"/>
      <c r="Y3383" s="23"/>
      <c r="Z3383" s="43"/>
      <c r="AA3383" s="23"/>
      <c r="AB3383" s="23"/>
      <c r="AC3383" s="23"/>
      <c r="AD3383" s="23"/>
      <c r="AE3383" s="23"/>
      <c r="AF3383" s="23"/>
      <c r="AG3383" s="23"/>
      <c r="AH3383" s="23"/>
      <c r="AI3383" s="49"/>
    </row>
    <row r="3384" spans="1:35">
      <c r="A3384" s="23"/>
      <c r="B3384" s="42"/>
      <c r="C3384" s="49"/>
      <c r="E3384" s="49"/>
      <c r="G3384" s="43"/>
      <c r="H3384" s="44"/>
      <c r="L3384" s="42"/>
      <c r="M3384" s="42"/>
      <c r="N3384" s="25"/>
      <c r="O3384" s="54"/>
      <c r="P3384"/>
      <c r="Q3384" s="25"/>
      <c r="R3384" s="54"/>
      <c r="W3384" s="23"/>
      <c r="X3384" s="23"/>
      <c r="Y3384" s="23"/>
      <c r="Z3384" s="43"/>
      <c r="AA3384" s="23"/>
      <c r="AB3384" s="23"/>
      <c r="AC3384" s="23"/>
      <c r="AD3384" s="23"/>
      <c r="AE3384" s="23"/>
      <c r="AF3384" s="23"/>
      <c r="AG3384" s="23"/>
      <c r="AH3384" s="23"/>
      <c r="AI3384" s="49"/>
    </row>
    <row r="3385" spans="1:35">
      <c r="A3385" s="23"/>
      <c r="B3385" s="42"/>
      <c r="C3385" s="49"/>
      <c r="E3385" s="49"/>
      <c r="G3385" s="43"/>
      <c r="H3385" s="44"/>
      <c r="L3385" s="42"/>
      <c r="M3385" s="42"/>
      <c r="N3385" s="25"/>
      <c r="O3385" s="54"/>
      <c r="P3385"/>
      <c r="Q3385" s="25"/>
      <c r="R3385" s="54"/>
      <c r="W3385" s="23"/>
      <c r="X3385" s="23"/>
      <c r="Y3385" s="23"/>
      <c r="Z3385" s="43"/>
      <c r="AA3385" s="23"/>
      <c r="AB3385" s="23"/>
      <c r="AC3385" s="23"/>
      <c r="AD3385" s="23"/>
      <c r="AE3385" s="23"/>
      <c r="AF3385" s="23"/>
      <c r="AG3385" s="23"/>
      <c r="AH3385" s="23"/>
      <c r="AI3385" s="49"/>
    </row>
    <row r="3386" spans="1:35">
      <c r="A3386" s="23"/>
      <c r="B3386" s="42"/>
      <c r="C3386" s="49"/>
      <c r="E3386" s="49"/>
      <c r="G3386" s="43"/>
      <c r="H3386" s="44"/>
      <c r="L3386" s="42"/>
      <c r="M3386" s="42"/>
      <c r="N3386" s="25"/>
      <c r="O3386" s="54"/>
      <c r="P3386"/>
      <c r="Q3386" s="25"/>
      <c r="R3386" s="54"/>
      <c r="W3386" s="23"/>
      <c r="X3386" s="23"/>
      <c r="Y3386" s="23"/>
      <c r="Z3386" s="43"/>
      <c r="AA3386" s="23"/>
      <c r="AB3386" s="23"/>
      <c r="AC3386" s="23"/>
      <c r="AD3386" s="23"/>
      <c r="AE3386" s="23"/>
      <c r="AF3386" s="23"/>
      <c r="AG3386" s="23"/>
      <c r="AH3386" s="23"/>
      <c r="AI3386" s="49"/>
    </row>
    <row r="3387" spans="1:35">
      <c r="A3387" s="23"/>
      <c r="B3387" s="42"/>
      <c r="C3387" s="49"/>
      <c r="E3387" s="49"/>
      <c r="G3387" s="43"/>
      <c r="H3387" s="44"/>
      <c r="L3387" s="42"/>
      <c r="M3387" s="42"/>
      <c r="N3387" s="25"/>
      <c r="O3387" s="54"/>
      <c r="P3387"/>
      <c r="Q3387" s="25"/>
      <c r="R3387" s="54"/>
      <c r="W3387" s="23"/>
      <c r="X3387" s="23"/>
      <c r="Y3387" s="23"/>
      <c r="Z3387" s="43"/>
      <c r="AA3387" s="23"/>
      <c r="AB3387" s="23"/>
      <c r="AC3387" s="23"/>
      <c r="AD3387" s="23"/>
      <c r="AE3387" s="23"/>
      <c r="AF3387" s="23"/>
      <c r="AG3387" s="23"/>
      <c r="AH3387" s="23"/>
      <c r="AI3387" s="49"/>
    </row>
    <row r="3388" spans="1:35">
      <c r="A3388" s="23"/>
      <c r="B3388" s="42"/>
      <c r="C3388" s="49"/>
      <c r="E3388" s="49"/>
      <c r="G3388" s="43"/>
      <c r="H3388" s="44"/>
      <c r="L3388" s="42"/>
      <c r="M3388" s="42"/>
      <c r="N3388" s="25"/>
      <c r="O3388" s="54"/>
      <c r="P3388"/>
      <c r="Q3388" s="25"/>
      <c r="R3388" s="54"/>
      <c r="W3388" s="23"/>
      <c r="X3388" s="23"/>
      <c r="Y3388" s="23"/>
      <c r="Z3388" s="43"/>
      <c r="AA3388" s="23"/>
      <c r="AB3388" s="23"/>
      <c r="AC3388" s="23"/>
      <c r="AD3388" s="23"/>
      <c r="AE3388" s="23"/>
      <c r="AF3388" s="23"/>
      <c r="AG3388" s="23"/>
      <c r="AH3388" s="23"/>
      <c r="AI3388" s="49"/>
    </row>
    <row r="3389" spans="1:35">
      <c r="A3389" s="23"/>
      <c r="B3389" s="42"/>
      <c r="C3389" s="49"/>
      <c r="E3389" s="49"/>
      <c r="G3389" s="43"/>
      <c r="H3389" s="44"/>
      <c r="L3389" s="42"/>
      <c r="M3389" s="42"/>
      <c r="N3389" s="25"/>
      <c r="O3389" s="54"/>
      <c r="P3389"/>
      <c r="Q3389" s="25"/>
      <c r="R3389" s="54"/>
      <c r="W3389" s="23"/>
      <c r="X3389" s="23"/>
      <c r="Y3389" s="23"/>
      <c r="Z3389" s="43"/>
      <c r="AA3389" s="23"/>
      <c r="AB3389" s="23"/>
      <c r="AC3389" s="23"/>
      <c r="AD3389" s="23"/>
      <c r="AE3389" s="23"/>
      <c r="AF3389" s="23"/>
      <c r="AG3389" s="23"/>
      <c r="AH3389" s="23"/>
      <c r="AI3389" s="49"/>
    </row>
    <row r="3390" spans="1:35">
      <c r="A3390" s="23"/>
      <c r="B3390" s="42"/>
      <c r="C3390" s="49"/>
      <c r="E3390" s="49"/>
      <c r="G3390" s="43"/>
      <c r="H3390" s="44"/>
      <c r="L3390" s="42"/>
      <c r="M3390" s="42"/>
      <c r="N3390" s="25"/>
      <c r="O3390" s="54"/>
      <c r="P3390"/>
      <c r="Q3390" s="25"/>
      <c r="R3390" s="54"/>
      <c r="W3390" s="23"/>
      <c r="X3390" s="23"/>
      <c r="Y3390" s="23"/>
      <c r="Z3390" s="43"/>
      <c r="AA3390" s="23"/>
      <c r="AB3390" s="23"/>
      <c r="AC3390" s="23"/>
      <c r="AD3390" s="23"/>
      <c r="AE3390" s="23"/>
      <c r="AF3390" s="23"/>
      <c r="AG3390" s="23"/>
      <c r="AH3390" s="23"/>
      <c r="AI3390" s="49"/>
    </row>
    <row r="3391" spans="1:35">
      <c r="A3391" s="23"/>
      <c r="B3391" s="42"/>
      <c r="C3391" s="49"/>
      <c r="E3391" s="49"/>
      <c r="G3391" s="43"/>
      <c r="H3391" s="44"/>
      <c r="L3391" s="42"/>
      <c r="M3391" s="42"/>
      <c r="N3391" s="25"/>
      <c r="O3391" s="54"/>
      <c r="P3391"/>
      <c r="Q3391" s="25"/>
      <c r="R3391" s="54"/>
      <c r="W3391" s="23"/>
      <c r="X3391" s="23"/>
      <c r="Y3391" s="23"/>
      <c r="Z3391" s="43"/>
      <c r="AA3391" s="23"/>
      <c r="AB3391" s="23"/>
      <c r="AC3391" s="23"/>
      <c r="AD3391" s="23"/>
      <c r="AE3391" s="23"/>
      <c r="AF3391" s="23"/>
      <c r="AG3391" s="23"/>
      <c r="AH3391" s="23"/>
      <c r="AI3391" s="49"/>
    </row>
    <row r="3392" spans="1:35">
      <c r="A3392" s="23"/>
      <c r="B3392" s="42"/>
      <c r="C3392" s="49"/>
      <c r="E3392" s="49"/>
      <c r="G3392" s="43"/>
      <c r="H3392" s="44"/>
      <c r="L3392" s="42"/>
      <c r="M3392" s="42"/>
      <c r="N3392" s="25"/>
      <c r="O3392" s="54"/>
      <c r="P3392"/>
      <c r="Q3392" s="25"/>
      <c r="R3392" s="54"/>
      <c r="W3392" s="23"/>
      <c r="X3392" s="23"/>
      <c r="Y3392" s="23"/>
      <c r="Z3392" s="43"/>
      <c r="AA3392" s="23"/>
      <c r="AB3392" s="23"/>
      <c r="AC3392" s="23"/>
      <c r="AD3392" s="23"/>
      <c r="AE3392" s="23"/>
      <c r="AF3392" s="23"/>
      <c r="AG3392" s="23"/>
      <c r="AH3392" s="23"/>
      <c r="AI3392" s="49"/>
    </row>
    <row r="3393" spans="1:35">
      <c r="A3393" s="23"/>
      <c r="B3393" s="42"/>
      <c r="C3393" s="49"/>
      <c r="E3393" s="49"/>
      <c r="G3393" s="43"/>
      <c r="H3393" s="44"/>
      <c r="L3393" s="42"/>
      <c r="M3393" s="42"/>
      <c r="N3393" s="25"/>
      <c r="O3393" s="54"/>
      <c r="P3393"/>
      <c r="Q3393" s="25"/>
      <c r="R3393" s="54"/>
      <c r="W3393" s="23"/>
      <c r="X3393" s="23"/>
      <c r="Y3393" s="23"/>
      <c r="Z3393" s="43"/>
      <c r="AA3393" s="23"/>
      <c r="AB3393" s="23"/>
      <c r="AC3393" s="23"/>
      <c r="AD3393" s="23"/>
      <c r="AE3393" s="23"/>
      <c r="AF3393" s="23"/>
      <c r="AG3393" s="23"/>
      <c r="AH3393" s="23"/>
      <c r="AI3393" s="49"/>
    </row>
    <row r="3394" spans="1:35">
      <c r="A3394" s="23"/>
      <c r="B3394" s="42"/>
      <c r="C3394" s="49"/>
      <c r="E3394" s="49"/>
      <c r="G3394" s="43"/>
      <c r="H3394" s="44"/>
      <c r="L3394" s="42"/>
      <c r="M3394" s="42"/>
      <c r="N3394" s="25"/>
      <c r="O3394" s="54"/>
      <c r="P3394"/>
      <c r="Q3394" s="25"/>
      <c r="R3394" s="54"/>
      <c r="W3394" s="23"/>
      <c r="X3394" s="23"/>
      <c r="Y3394" s="23"/>
      <c r="Z3394" s="43"/>
      <c r="AA3394" s="23"/>
      <c r="AB3394" s="23"/>
      <c r="AC3394" s="23"/>
      <c r="AD3394" s="23"/>
      <c r="AE3394" s="23"/>
      <c r="AF3394" s="23"/>
      <c r="AG3394" s="23"/>
      <c r="AH3394" s="23"/>
      <c r="AI3394" s="49"/>
    </row>
    <row r="3395" spans="1:35">
      <c r="A3395" s="23"/>
      <c r="B3395" s="42"/>
      <c r="C3395" s="49"/>
      <c r="E3395" s="49"/>
      <c r="G3395" s="43"/>
      <c r="H3395" s="44"/>
      <c r="L3395" s="42"/>
      <c r="M3395" s="42"/>
      <c r="N3395" s="25"/>
      <c r="O3395" s="54"/>
      <c r="P3395"/>
      <c r="Q3395" s="25"/>
      <c r="R3395" s="54"/>
      <c r="W3395" s="23"/>
      <c r="X3395" s="23"/>
      <c r="Y3395" s="23"/>
      <c r="Z3395" s="43"/>
      <c r="AA3395" s="23"/>
      <c r="AB3395" s="23"/>
      <c r="AC3395" s="23"/>
      <c r="AD3395" s="23"/>
      <c r="AE3395" s="23"/>
      <c r="AF3395" s="23"/>
      <c r="AG3395" s="23"/>
      <c r="AH3395" s="23"/>
      <c r="AI3395" s="49"/>
    </row>
    <row r="3396" spans="1:35">
      <c r="A3396" s="23"/>
      <c r="B3396" s="42"/>
      <c r="C3396" s="49"/>
      <c r="E3396" s="49"/>
      <c r="G3396" s="43"/>
      <c r="H3396" s="44"/>
      <c r="L3396" s="42"/>
      <c r="M3396" s="42"/>
      <c r="N3396" s="25"/>
      <c r="O3396" s="54"/>
      <c r="P3396"/>
      <c r="Q3396" s="25"/>
      <c r="R3396" s="54"/>
      <c r="W3396" s="23"/>
      <c r="X3396" s="23"/>
      <c r="Y3396" s="23"/>
      <c r="Z3396" s="43"/>
      <c r="AA3396" s="23"/>
      <c r="AB3396" s="23"/>
      <c r="AC3396" s="23"/>
      <c r="AD3396" s="23"/>
      <c r="AE3396" s="23"/>
      <c r="AF3396" s="23"/>
      <c r="AG3396" s="23"/>
      <c r="AH3396" s="23"/>
      <c r="AI3396" s="49"/>
    </row>
    <row r="3397" spans="1:35">
      <c r="A3397" s="23"/>
      <c r="B3397" s="42"/>
      <c r="C3397" s="49"/>
      <c r="E3397" s="49"/>
      <c r="G3397" s="43"/>
      <c r="H3397" s="44"/>
      <c r="L3397" s="42"/>
      <c r="M3397" s="42"/>
      <c r="N3397" s="25"/>
      <c r="O3397" s="54"/>
      <c r="P3397"/>
      <c r="Q3397" s="25"/>
      <c r="R3397" s="54"/>
      <c r="W3397" s="23"/>
      <c r="X3397" s="23"/>
      <c r="Y3397" s="23"/>
      <c r="Z3397" s="43"/>
      <c r="AA3397" s="23"/>
      <c r="AB3397" s="23"/>
      <c r="AC3397" s="23"/>
      <c r="AD3397" s="23"/>
      <c r="AE3397" s="23"/>
      <c r="AF3397" s="23"/>
      <c r="AG3397" s="23"/>
      <c r="AH3397" s="23"/>
      <c r="AI3397" s="49"/>
    </row>
    <row r="3398" spans="1:35">
      <c r="A3398" s="23"/>
      <c r="B3398" s="42"/>
      <c r="C3398" s="49"/>
      <c r="E3398" s="49"/>
      <c r="G3398" s="43"/>
      <c r="H3398" s="44"/>
      <c r="L3398" s="42"/>
      <c r="M3398" s="42"/>
      <c r="N3398" s="25"/>
      <c r="O3398" s="54"/>
      <c r="P3398"/>
      <c r="Q3398" s="25"/>
      <c r="R3398" s="54"/>
      <c r="W3398" s="23"/>
      <c r="X3398" s="23"/>
      <c r="Y3398" s="23"/>
      <c r="Z3398" s="43"/>
      <c r="AA3398" s="23"/>
      <c r="AB3398" s="23"/>
      <c r="AC3398" s="23"/>
      <c r="AD3398" s="23"/>
      <c r="AE3398" s="23"/>
      <c r="AF3398" s="23"/>
      <c r="AG3398" s="23"/>
      <c r="AH3398" s="23"/>
      <c r="AI3398" s="49"/>
    </row>
    <row r="3399" spans="1:35">
      <c r="A3399" s="23"/>
      <c r="B3399" s="42"/>
      <c r="C3399" s="49"/>
      <c r="E3399" s="49"/>
      <c r="G3399" s="43"/>
      <c r="H3399" s="44"/>
      <c r="L3399" s="42"/>
      <c r="M3399" s="42"/>
      <c r="N3399" s="25"/>
      <c r="O3399" s="54"/>
      <c r="P3399"/>
      <c r="Q3399" s="25"/>
      <c r="R3399" s="54"/>
      <c r="W3399" s="23"/>
      <c r="X3399" s="23"/>
      <c r="Y3399" s="23"/>
      <c r="Z3399" s="43"/>
      <c r="AA3399" s="23"/>
      <c r="AB3399" s="23"/>
      <c r="AC3399" s="23"/>
      <c r="AD3399" s="23"/>
      <c r="AE3399" s="23"/>
      <c r="AF3399" s="23"/>
      <c r="AG3399" s="23"/>
      <c r="AH3399" s="23"/>
      <c r="AI3399" s="49"/>
    </row>
    <row r="3400" spans="1:35">
      <c r="A3400" s="23"/>
      <c r="B3400" s="42"/>
      <c r="C3400" s="49"/>
      <c r="E3400" s="49"/>
      <c r="G3400" s="43"/>
      <c r="H3400" s="44"/>
      <c r="L3400" s="42"/>
      <c r="M3400" s="42"/>
      <c r="N3400" s="25"/>
      <c r="O3400" s="54"/>
      <c r="P3400"/>
      <c r="Q3400" s="25"/>
      <c r="R3400" s="54"/>
      <c r="W3400" s="23"/>
      <c r="X3400" s="23"/>
      <c r="Y3400" s="23"/>
      <c r="Z3400" s="43"/>
      <c r="AA3400" s="23"/>
      <c r="AB3400" s="23"/>
      <c r="AC3400" s="23"/>
      <c r="AD3400" s="23"/>
      <c r="AE3400" s="23"/>
      <c r="AF3400" s="23"/>
      <c r="AG3400" s="23"/>
      <c r="AH3400" s="23"/>
      <c r="AI3400" s="49"/>
    </row>
    <row r="3401" spans="1:35">
      <c r="A3401" s="23"/>
      <c r="B3401" s="42"/>
      <c r="C3401" s="49"/>
      <c r="E3401" s="49"/>
      <c r="G3401" s="43"/>
      <c r="H3401" s="44"/>
      <c r="L3401" s="42"/>
      <c r="M3401" s="42"/>
      <c r="N3401" s="25"/>
      <c r="O3401" s="54"/>
      <c r="P3401"/>
      <c r="Q3401" s="25"/>
      <c r="R3401" s="54"/>
      <c r="W3401" s="23"/>
      <c r="X3401" s="23"/>
      <c r="Y3401" s="23"/>
      <c r="Z3401" s="43"/>
      <c r="AA3401" s="23"/>
      <c r="AB3401" s="23"/>
      <c r="AC3401" s="23"/>
      <c r="AD3401" s="23"/>
      <c r="AE3401" s="23"/>
      <c r="AF3401" s="23"/>
      <c r="AG3401" s="23"/>
      <c r="AH3401" s="23"/>
      <c r="AI3401" s="49"/>
    </row>
    <row r="3402" spans="1:35">
      <c r="A3402" s="23"/>
      <c r="B3402" s="42"/>
      <c r="C3402" s="49"/>
      <c r="E3402" s="49"/>
      <c r="G3402" s="43"/>
      <c r="H3402" s="44"/>
      <c r="L3402" s="42"/>
      <c r="M3402" s="42"/>
      <c r="N3402" s="25"/>
      <c r="O3402" s="54"/>
      <c r="P3402"/>
      <c r="Q3402" s="25"/>
      <c r="R3402" s="54"/>
      <c r="W3402" s="23"/>
      <c r="X3402" s="23"/>
      <c r="Y3402" s="23"/>
      <c r="Z3402" s="43"/>
      <c r="AA3402" s="23"/>
      <c r="AB3402" s="23"/>
      <c r="AC3402" s="23"/>
      <c r="AD3402" s="23"/>
      <c r="AE3402" s="23"/>
      <c r="AF3402" s="23"/>
      <c r="AG3402" s="23"/>
      <c r="AH3402" s="23"/>
      <c r="AI3402" s="49"/>
    </row>
    <row r="3403" spans="1:35">
      <c r="A3403" s="23"/>
      <c r="B3403" s="42"/>
      <c r="C3403" s="49"/>
      <c r="E3403" s="49"/>
      <c r="G3403" s="43"/>
      <c r="H3403" s="44"/>
      <c r="L3403" s="42"/>
      <c r="M3403" s="42"/>
      <c r="N3403" s="25"/>
      <c r="O3403" s="54"/>
      <c r="P3403"/>
      <c r="Q3403" s="25"/>
      <c r="R3403" s="54"/>
      <c r="W3403" s="23"/>
      <c r="X3403" s="23"/>
      <c r="Y3403" s="23"/>
      <c r="Z3403" s="43"/>
      <c r="AA3403" s="23"/>
      <c r="AB3403" s="23"/>
      <c r="AC3403" s="23"/>
      <c r="AD3403" s="23"/>
      <c r="AE3403" s="23"/>
      <c r="AF3403" s="23"/>
      <c r="AG3403" s="23"/>
      <c r="AH3403" s="23"/>
      <c r="AI3403" s="49"/>
    </row>
    <row r="3404" spans="1:35">
      <c r="A3404" s="23"/>
      <c r="B3404" s="42"/>
      <c r="C3404" s="49"/>
      <c r="E3404" s="49"/>
      <c r="G3404" s="43"/>
      <c r="H3404" s="44"/>
      <c r="L3404" s="42"/>
      <c r="M3404" s="42"/>
      <c r="N3404" s="25"/>
      <c r="O3404" s="54"/>
      <c r="P3404"/>
      <c r="Q3404" s="25"/>
      <c r="R3404" s="54"/>
      <c r="W3404" s="23"/>
      <c r="X3404" s="23"/>
      <c r="Y3404" s="23"/>
      <c r="Z3404" s="43"/>
      <c r="AA3404" s="23"/>
      <c r="AB3404" s="23"/>
      <c r="AC3404" s="23"/>
      <c r="AD3404" s="23"/>
      <c r="AE3404" s="23"/>
      <c r="AF3404" s="23"/>
      <c r="AG3404" s="23"/>
      <c r="AH3404" s="23"/>
      <c r="AI3404" s="49"/>
    </row>
    <row r="3405" spans="1:35">
      <c r="A3405" s="23"/>
      <c r="B3405" s="42"/>
      <c r="C3405" s="49"/>
      <c r="E3405" s="49"/>
      <c r="G3405" s="43"/>
      <c r="H3405" s="44"/>
      <c r="L3405" s="42"/>
      <c r="M3405" s="42"/>
      <c r="N3405" s="25"/>
      <c r="O3405" s="54"/>
      <c r="P3405"/>
      <c r="Q3405" s="25"/>
      <c r="R3405" s="54"/>
      <c r="W3405" s="23"/>
      <c r="X3405" s="23"/>
      <c r="Y3405" s="23"/>
      <c r="Z3405" s="43"/>
      <c r="AA3405" s="23"/>
      <c r="AB3405" s="23"/>
      <c r="AC3405" s="23"/>
      <c r="AD3405" s="23"/>
      <c r="AE3405" s="23"/>
      <c r="AF3405" s="23"/>
      <c r="AG3405" s="23"/>
      <c r="AH3405" s="23"/>
      <c r="AI3405" s="49"/>
    </row>
    <row r="3406" spans="1:35">
      <c r="A3406" s="23"/>
      <c r="B3406" s="42"/>
      <c r="C3406" s="49"/>
      <c r="E3406" s="49"/>
      <c r="G3406" s="43"/>
      <c r="H3406" s="44"/>
      <c r="L3406" s="42"/>
      <c r="M3406" s="42"/>
      <c r="N3406" s="25"/>
      <c r="O3406" s="54"/>
      <c r="P3406"/>
      <c r="Q3406" s="25"/>
      <c r="R3406" s="54"/>
      <c r="W3406" s="23"/>
      <c r="X3406" s="23"/>
      <c r="Y3406" s="23"/>
      <c r="Z3406" s="43"/>
      <c r="AA3406" s="23"/>
      <c r="AB3406" s="23"/>
      <c r="AC3406" s="23"/>
      <c r="AD3406" s="23"/>
      <c r="AE3406" s="23"/>
      <c r="AF3406" s="23"/>
      <c r="AG3406" s="23"/>
      <c r="AH3406" s="23"/>
      <c r="AI3406" s="49"/>
    </row>
    <row r="3407" spans="1:35">
      <c r="A3407" s="23"/>
      <c r="B3407" s="42"/>
      <c r="C3407" s="49"/>
      <c r="E3407" s="49"/>
      <c r="G3407" s="43"/>
      <c r="H3407" s="44"/>
      <c r="L3407" s="42"/>
      <c r="M3407" s="42"/>
      <c r="N3407" s="25"/>
      <c r="O3407" s="54"/>
      <c r="P3407"/>
      <c r="Q3407" s="25"/>
      <c r="R3407" s="54"/>
      <c r="W3407" s="23"/>
      <c r="X3407" s="23"/>
      <c r="Y3407" s="23"/>
      <c r="Z3407" s="43"/>
      <c r="AA3407" s="23"/>
      <c r="AB3407" s="23"/>
      <c r="AC3407" s="23"/>
      <c r="AD3407" s="23"/>
      <c r="AE3407" s="23"/>
      <c r="AF3407" s="23"/>
      <c r="AG3407" s="23"/>
      <c r="AH3407" s="23"/>
      <c r="AI3407" s="49"/>
    </row>
    <row r="3408" spans="1:35">
      <c r="A3408" s="23"/>
      <c r="B3408" s="42"/>
      <c r="C3408" s="49"/>
      <c r="E3408" s="49"/>
      <c r="G3408" s="43"/>
      <c r="H3408" s="44"/>
      <c r="L3408" s="42"/>
      <c r="M3408" s="42"/>
      <c r="N3408" s="25"/>
      <c r="O3408" s="54"/>
      <c r="P3408"/>
      <c r="Q3408" s="25"/>
      <c r="R3408" s="54"/>
      <c r="W3408" s="23"/>
      <c r="X3408" s="23"/>
      <c r="Y3408" s="23"/>
      <c r="Z3408" s="43"/>
      <c r="AA3408" s="23"/>
      <c r="AB3408" s="23"/>
      <c r="AC3408" s="23"/>
      <c r="AD3408" s="23"/>
      <c r="AE3408" s="23"/>
      <c r="AF3408" s="23"/>
      <c r="AG3408" s="23"/>
      <c r="AH3408" s="23"/>
      <c r="AI3408" s="49"/>
    </row>
    <row r="3409" spans="1:35">
      <c r="A3409" s="23"/>
      <c r="B3409" s="42"/>
      <c r="C3409" s="49"/>
      <c r="E3409" s="49"/>
      <c r="G3409" s="43"/>
      <c r="H3409" s="44"/>
      <c r="L3409" s="42"/>
      <c r="M3409" s="42"/>
      <c r="N3409" s="25"/>
      <c r="O3409" s="54"/>
      <c r="P3409"/>
      <c r="Q3409" s="25"/>
      <c r="R3409" s="54"/>
      <c r="W3409" s="23"/>
      <c r="X3409" s="23"/>
      <c r="Y3409" s="23"/>
      <c r="Z3409" s="43"/>
      <c r="AA3409" s="23"/>
      <c r="AB3409" s="23"/>
      <c r="AC3409" s="23"/>
      <c r="AD3409" s="23"/>
      <c r="AE3409" s="23"/>
      <c r="AF3409" s="23"/>
      <c r="AG3409" s="23"/>
      <c r="AH3409" s="23"/>
      <c r="AI3409" s="49"/>
    </row>
    <row r="3410" spans="1:35">
      <c r="A3410" s="23"/>
      <c r="B3410" s="42"/>
      <c r="C3410" s="49"/>
      <c r="E3410" s="49"/>
      <c r="G3410" s="43"/>
      <c r="H3410" s="44"/>
      <c r="L3410" s="42"/>
      <c r="M3410" s="42"/>
      <c r="N3410" s="25"/>
      <c r="O3410" s="54"/>
      <c r="P3410"/>
      <c r="Q3410" s="25"/>
      <c r="R3410" s="54"/>
      <c r="W3410" s="23"/>
      <c r="X3410" s="23"/>
      <c r="Y3410" s="23"/>
      <c r="Z3410" s="43"/>
      <c r="AA3410" s="23"/>
      <c r="AB3410" s="23"/>
      <c r="AC3410" s="23"/>
      <c r="AD3410" s="23"/>
      <c r="AE3410" s="23"/>
      <c r="AF3410" s="23"/>
      <c r="AG3410" s="23"/>
      <c r="AH3410" s="23"/>
      <c r="AI3410" s="49"/>
    </row>
    <row r="3411" spans="1:35">
      <c r="B3411" s="42"/>
      <c r="G3411" s="43"/>
      <c r="H3411" s="44"/>
      <c r="L3411" s="42"/>
      <c r="M3411" s="42"/>
      <c r="N3411" s="25"/>
      <c r="O3411" s="54"/>
      <c r="P3411"/>
      <c r="Q3411" s="25"/>
      <c r="R3411" s="54"/>
      <c r="W3411" s="23"/>
      <c r="X3411" s="23"/>
      <c r="Y3411" s="23"/>
      <c r="Z3411" s="43"/>
      <c r="AA3411" s="23"/>
      <c r="AB3411" s="23"/>
      <c r="AC3411" s="23"/>
      <c r="AD3411" s="23"/>
      <c r="AE3411" s="23"/>
      <c r="AF3411" s="23"/>
      <c r="AG3411" s="23"/>
      <c r="AH3411" s="23"/>
      <c r="AI3411" s="48"/>
    </row>
    <row r="3412" spans="1:35">
      <c r="B3412" s="42"/>
      <c r="G3412" s="43"/>
      <c r="H3412" s="44"/>
      <c r="L3412" s="42"/>
      <c r="M3412" s="42"/>
      <c r="N3412" s="25"/>
      <c r="O3412" s="54"/>
      <c r="P3412"/>
      <c r="Q3412" s="25"/>
      <c r="R3412" s="54"/>
      <c r="W3412" s="23"/>
      <c r="X3412" s="23"/>
      <c r="Y3412" s="23"/>
      <c r="Z3412" s="43"/>
      <c r="AA3412" s="23"/>
      <c r="AB3412" s="23"/>
      <c r="AC3412" s="23"/>
      <c r="AD3412" s="23"/>
      <c r="AE3412" s="23"/>
      <c r="AF3412" s="23"/>
      <c r="AG3412" s="23"/>
      <c r="AH3412" s="23"/>
      <c r="AI3412" s="48"/>
    </row>
    <row r="3413" spans="1:35">
      <c r="B3413" s="42"/>
      <c r="G3413" s="43"/>
      <c r="H3413" s="44"/>
      <c r="L3413" s="42"/>
      <c r="M3413" s="42"/>
      <c r="N3413" s="25"/>
      <c r="O3413" s="54"/>
      <c r="P3413"/>
      <c r="Q3413" s="25"/>
      <c r="R3413" s="54"/>
      <c r="W3413" s="23"/>
      <c r="X3413" s="23"/>
      <c r="Y3413" s="23"/>
      <c r="Z3413" s="43"/>
      <c r="AA3413" s="23"/>
      <c r="AB3413" s="23"/>
      <c r="AC3413" s="23"/>
      <c r="AD3413" s="23"/>
      <c r="AE3413" s="23"/>
      <c r="AF3413" s="23"/>
      <c r="AG3413" s="23"/>
      <c r="AH3413" s="23"/>
      <c r="AI3413" s="48"/>
    </row>
    <row r="3414" spans="1:35">
      <c r="B3414" s="42"/>
      <c r="G3414" s="43"/>
      <c r="H3414" s="44"/>
      <c r="L3414" s="42"/>
      <c r="M3414" s="42"/>
      <c r="N3414" s="25"/>
      <c r="O3414" s="54"/>
      <c r="P3414"/>
      <c r="Q3414" s="25"/>
      <c r="R3414" s="54"/>
      <c r="W3414" s="23"/>
      <c r="X3414" s="23"/>
      <c r="Y3414" s="23"/>
      <c r="Z3414" s="43"/>
      <c r="AA3414" s="23"/>
      <c r="AB3414" s="23"/>
      <c r="AC3414" s="23"/>
      <c r="AD3414" s="23"/>
      <c r="AE3414" s="23"/>
      <c r="AF3414" s="23"/>
      <c r="AG3414" s="23"/>
      <c r="AH3414" s="23"/>
      <c r="AI3414" s="48"/>
    </row>
    <row r="3415" spans="1:35">
      <c r="B3415" s="42"/>
      <c r="G3415" s="43"/>
      <c r="H3415" s="44"/>
      <c r="L3415" s="42"/>
      <c r="M3415" s="42"/>
      <c r="N3415" s="25"/>
      <c r="O3415" s="54"/>
      <c r="P3415"/>
      <c r="Q3415" s="25"/>
      <c r="R3415" s="54"/>
      <c r="W3415" s="23"/>
      <c r="X3415" s="23"/>
      <c r="Y3415" s="23"/>
      <c r="Z3415" s="43"/>
      <c r="AA3415" s="23"/>
      <c r="AB3415" s="23"/>
      <c r="AC3415" s="23"/>
      <c r="AD3415" s="23"/>
      <c r="AE3415" s="23"/>
      <c r="AF3415" s="23"/>
      <c r="AG3415" s="23"/>
      <c r="AH3415" s="23"/>
      <c r="AI3415" s="48"/>
    </row>
    <row r="3416" spans="1:35">
      <c r="B3416" s="42"/>
      <c r="G3416" s="43"/>
      <c r="H3416" s="44"/>
      <c r="L3416" s="42"/>
      <c r="M3416" s="42"/>
      <c r="N3416" s="25"/>
      <c r="O3416" s="54"/>
      <c r="P3416"/>
      <c r="Q3416" s="25"/>
      <c r="R3416" s="54"/>
      <c r="W3416" s="23"/>
      <c r="X3416" s="23"/>
      <c r="Y3416" s="23"/>
      <c r="Z3416" s="43"/>
      <c r="AA3416" s="23"/>
      <c r="AB3416" s="23"/>
      <c r="AC3416" s="23"/>
      <c r="AD3416" s="23"/>
      <c r="AE3416" s="23"/>
      <c r="AF3416" s="23"/>
      <c r="AG3416" s="23"/>
      <c r="AH3416" s="23"/>
      <c r="AI3416" s="48"/>
    </row>
    <row r="3417" spans="1:35">
      <c r="B3417" s="42"/>
      <c r="G3417" s="43"/>
      <c r="H3417" s="44"/>
      <c r="L3417" s="42"/>
      <c r="M3417" s="42"/>
      <c r="N3417" s="25"/>
      <c r="O3417" s="54"/>
      <c r="P3417"/>
      <c r="Q3417" s="25"/>
      <c r="R3417" s="54"/>
      <c r="W3417" s="23"/>
      <c r="X3417" s="23"/>
      <c r="Y3417" s="23"/>
      <c r="Z3417" s="43"/>
      <c r="AA3417" s="23"/>
      <c r="AB3417" s="23"/>
      <c r="AC3417" s="23"/>
      <c r="AD3417" s="23"/>
      <c r="AE3417" s="23"/>
      <c r="AF3417" s="23"/>
      <c r="AG3417" s="23"/>
      <c r="AH3417" s="23"/>
      <c r="AI3417" s="48"/>
    </row>
    <row r="3418" spans="1:35">
      <c r="B3418" s="42"/>
      <c r="G3418" s="43"/>
      <c r="H3418" s="44"/>
      <c r="L3418" s="42"/>
      <c r="M3418" s="42"/>
      <c r="N3418" s="25"/>
      <c r="O3418" s="54"/>
      <c r="P3418"/>
      <c r="Q3418" s="25"/>
      <c r="R3418" s="54"/>
      <c r="W3418" s="23"/>
      <c r="X3418" s="23"/>
      <c r="Y3418" s="23"/>
      <c r="Z3418" s="43"/>
      <c r="AA3418" s="23"/>
      <c r="AB3418" s="23"/>
      <c r="AC3418" s="23"/>
      <c r="AD3418" s="23"/>
      <c r="AE3418" s="23"/>
      <c r="AF3418" s="23"/>
      <c r="AG3418" s="23"/>
      <c r="AH3418" s="23"/>
      <c r="AI3418" s="48"/>
    </row>
    <row r="3419" spans="1:35">
      <c r="B3419" s="42"/>
      <c r="G3419" s="43"/>
      <c r="H3419" s="44"/>
      <c r="L3419" s="42"/>
      <c r="M3419" s="42"/>
      <c r="N3419" s="25"/>
      <c r="O3419" s="54"/>
      <c r="P3419"/>
      <c r="Q3419" s="25"/>
      <c r="R3419" s="54"/>
      <c r="W3419" s="23"/>
      <c r="X3419" s="23"/>
      <c r="Y3419" s="23"/>
      <c r="Z3419" s="43"/>
      <c r="AA3419" s="23"/>
      <c r="AB3419" s="23"/>
      <c r="AC3419" s="23"/>
      <c r="AD3419" s="23"/>
      <c r="AE3419" s="23"/>
      <c r="AF3419" s="23"/>
      <c r="AG3419" s="23"/>
      <c r="AH3419" s="23"/>
      <c r="AI3419" s="48"/>
    </row>
    <row r="3420" spans="1:35">
      <c r="B3420" s="42"/>
      <c r="G3420" s="43"/>
      <c r="H3420" s="44"/>
      <c r="L3420" s="42"/>
      <c r="M3420" s="42"/>
      <c r="N3420" s="25"/>
      <c r="O3420" s="54"/>
      <c r="P3420"/>
      <c r="Q3420" s="25"/>
      <c r="R3420" s="54"/>
      <c r="W3420" s="23"/>
      <c r="X3420" s="23"/>
      <c r="Y3420" s="23"/>
      <c r="Z3420" s="43"/>
      <c r="AA3420" s="23"/>
      <c r="AB3420" s="23"/>
      <c r="AC3420" s="23"/>
      <c r="AD3420" s="23"/>
      <c r="AE3420" s="23"/>
      <c r="AF3420" s="23"/>
      <c r="AG3420" s="23"/>
      <c r="AH3420" s="23"/>
      <c r="AI3420" s="48"/>
    </row>
    <row r="3421" spans="1:35">
      <c r="B3421" s="42"/>
      <c r="G3421" s="43"/>
      <c r="H3421" s="44"/>
      <c r="L3421" s="42"/>
      <c r="M3421" s="42"/>
      <c r="N3421" s="25"/>
      <c r="O3421" s="54"/>
      <c r="P3421"/>
      <c r="Q3421" s="25"/>
      <c r="R3421" s="54"/>
      <c r="W3421" s="23"/>
      <c r="X3421" s="23"/>
      <c r="Y3421" s="23"/>
      <c r="Z3421" s="43"/>
      <c r="AA3421" s="23"/>
      <c r="AB3421" s="23"/>
      <c r="AC3421" s="23"/>
      <c r="AD3421" s="23"/>
      <c r="AE3421" s="23"/>
      <c r="AF3421" s="23"/>
      <c r="AG3421" s="23"/>
      <c r="AH3421" s="23"/>
      <c r="AI3421" s="48"/>
    </row>
    <row r="3422" spans="1:35">
      <c r="B3422" s="42"/>
      <c r="G3422" s="43"/>
      <c r="H3422" s="44"/>
      <c r="L3422" s="42"/>
      <c r="M3422" s="42"/>
      <c r="N3422" s="25"/>
      <c r="O3422" s="54"/>
      <c r="P3422"/>
      <c r="Q3422" s="25"/>
      <c r="R3422" s="54"/>
      <c r="W3422" s="23"/>
      <c r="X3422" s="23"/>
      <c r="Y3422" s="23"/>
      <c r="Z3422" s="43"/>
      <c r="AA3422" s="23"/>
      <c r="AB3422" s="23"/>
      <c r="AC3422" s="23"/>
      <c r="AD3422" s="23"/>
      <c r="AE3422" s="23"/>
      <c r="AF3422" s="23"/>
      <c r="AG3422" s="23"/>
      <c r="AH3422" s="23"/>
      <c r="AI3422" s="48"/>
    </row>
    <row r="3423" spans="1:35">
      <c r="B3423" s="42"/>
      <c r="G3423" s="43"/>
      <c r="H3423" s="44"/>
      <c r="L3423" s="42"/>
      <c r="M3423" s="42"/>
      <c r="N3423" s="25"/>
      <c r="O3423" s="54"/>
      <c r="P3423"/>
      <c r="Q3423" s="25"/>
      <c r="R3423" s="54"/>
      <c r="W3423" s="23"/>
      <c r="X3423" s="23"/>
      <c r="Y3423" s="23"/>
      <c r="Z3423" s="43"/>
      <c r="AA3423" s="23"/>
      <c r="AB3423" s="23"/>
      <c r="AC3423" s="23"/>
      <c r="AD3423" s="23"/>
      <c r="AE3423" s="23"/>
      <c r="AF3423" s="23"/>
      <c r="AG3423" s="23"/>
      <c r="AH3423" s="23"/>
      <c r="AI3423" s="48"/>
    </row>
    <row r="3424" spans="1:35">
      <c r="B3424" s="42"/>
      <c r="G3424" s="43"/>
      <c r="H3424" s="44"/>
      <c r="L3424" s="42"/>
      <c r="M3424" s="42"/>
      <c r="N3424" s="25"/>
      <c r="O3424" s="54"/>
      <c r="P3424"/>
      <c r="Q3424" s="25"/>
      <c r="R3424" s="54"/>
      <c r="W3424" s="23"/>
      <c r="X3424" s="23"/>
      <c r="Y3424" s="23"/>
      <c r="Z3424" s="43"/>
      <c r="AA3424" s="23"/>
      <c r="AB3424" s="23"/>
      <c r="AC3424" s="23"/>
      <c r="AD3424" s="23"/>
      <c r="AE3424" s="23"/>
      <c r="AF3424" s="23"/>
      <c r="AG3424" s="23"/>
      <c r="AH3424" s="23"/>
      <c r="AI3424" s="48"/>
    </row>
    <row r="3425" spans="1:35">
      <c r="B3425" s="42"/>
      <c r="G3425" s="43"/>
      <c r="H3425" s="44"/>
      <c r="L3425" s="42"/>
      <c r="M3425" s="42"/>
      <c r="N3425" s="25"/>
      <c r="O3425" s="54"/>
      <c r="P3425"/>
      <c r="Q3425" s="25"/>
      <c r="R3425" s="54"/>
      <c r="W3425" s="23"/>
      <c r="X3425" s="23"/>
      <c r="Y3425" s="23"/>
      <c r="Z3425" s="43"/>
      <c r="AA3425" s="23"/>
      <c r="AB3425" s="23"/>
      <c r="AC3425" s="23"/>
      <c r="AD3425" s="23"/>
      <c r="AE3425" s="23"/>
      <c r="AF3425" s="23"/>
      <c r="AG3425" s="23"/>
      <c r="AH3425" s="23"/>
      <c r="AI3425" s="48"/>
    </row>
    <row r="3426" spans="1:35">
      <c r="B3426" s="42"/>
      <c r="G3426" s="43"/>
      <c r="H3426" s="44"/>
      <c r="L3426" s="42"/>
      <c r="M3426" s="42"/>
      <c r="N3426" s="25"/>
      <c r="O3426" s="54"/>
      <c r="P3426"/>
      <c r="Q3426" s="25"/>
      <c r="R3426" s="54"/>
      <c r="W3426" s="23"/>
      <c r="X3426" s="23"/>
      <c r="Y3426" s="23"/>
      <c r="Z3426" s="43"/>
      <c r="AA3426" s="23"/>
      <c r="AB3426" s="23"/>
      <c r="AC3426" s="23"/>
      <c r="AD3426" s="23"/>
      <c r="AE3426" s="23"/>
      <c r="AF3426" s="23"/>
      <c r="AG3426" s="23"/>
      <c r="AH3426" s="23"/>
      <c r="AI3426" s="48"/>
    </row>
    <row r="3427" spans="1:35">
      <c r="B3427" s="42"/>
      <c r="G3427" s="43"/>
      <c r="H3427" s="44"/>
      <c r="L3427" s="42"/>
      <c r="M3427" s="42"/>
      <c r="N3427" s="25"/>
      <c r="O3427" s="54"/>
      <c r="P3427"/>
      <c r="Q3427" s="25"/>
      <c r="R3427" s="54"/>
      <c r="W3427" s="23"/>
      <c r="X3427" s="23"/>
      <c r="Y3427" s="23"/>
      <c r="Z3427" s="43"/>
      <c r="AA3427" s="23"/>
      <c r="AB3427" s="23"/>
      <c r="AC3427" s="23"/>
      <c r="AD3427" s="23"/>
      <c r="AE3427" s="23"/>
      <c r="AF3427" s="23"/>
      <c r="AG3427" s="23"/>
      <c r="AH3427" s="23"/>
      <c r="AI3427" s="48"/>
    </row>
    <row r="3428" spans="1:35">
      <c r="B3428" s="42"/>
      <c r="G3428" s="43"/>
      <c r="H3428" s="44"/>
      <c r="L3428" s="42"/>
      <c r="M3428" s="42"/>
      <c r="N3428" s="25"/>
      <c r="O3428" s="54"/>
      <c r="P3428"/>
      <c r="Q3428" s="25"/>
      <c r="R3428" s="54"/>
      <c r="W3428" s="23"/>
      <c r="X3428" s="23"/>
      <c r="Y3428" s="23"/>
      <c r="Z3428" s="43"/>
      <c r="AA3428" s="23"/>
      <c r="AB3428" s="23"/>
      <c r="AC3428" s="23"/>
      <c r="AD3428" s="23"/>
      <c r="AE3428" s="23"/>
      <c r="AF3428" s="23"/>
      <c r="AG3428" s="23"/>
      <c r="AH3428" s="23"/>
      <c r="AI3428" s="48"/>
    </row>
    <row r="3429" spans="1:35">
      <c r="B3429" s="42"/>
      <c r="G3429" s="43"/>
      <c r="H3429" s="44"/>
      <c r="L3429" s="42"/>
      <c r="M3429" s="42"/>
      <c r="N3429" s="25"/>
      <c r="O3429" s="54"/>
      <c r="P3429"/>
      <c r="Q3429" s="25"/>
      <c r="R3429" s="54"/>
      <c r="W3429" s="23"/>
      <c r="X3429" s="23"/>
      <c r="Y3429" s="23"/>
      <c r="Z3429" s="43"/>
      <c r="AA3429" s="23"/>
      <c r="AB3429" s="23"/>
      <c r="AC3429" s="23"/>
      <c r="AD3429" s="23"/>
      <c r="AE3429" s="23"/>
      <c r="AF3429" s="23"/>
      <c r="AG3429" s="23"/>
      <c r="AH3429" s="23"/>
      <c r="AI3429" s="48"/>
    </row>
    <row r="3430" spans="1:35">
      <c r="B3430" s="42"/>
      <c r="G3430" s="43"/>
      <c r="H3430" s="44"/>
      <c r="L3430" s="42"/>
      <c r="M3430" s="42"/>
      <c r="N3430" s="25"/>
      <c r="O3430" s="54"/>
      <c r="P3430"/>
      <c r="Q3430" s="25"/>
      <c r="R3430" s="54"/>
      <c r="W3430" s="23"/>
      <c r="X3430" s="23"/>
      <c r="Y3430" s="23"/>
      <c r="Z3430" s="43"/>
      <c r="AA3430" s="23"/>
      <c r="AB3430" s="23"/>
      <c r="AC3430" s="23"/>
      <c r="AD3430" s="23"/>
      <c r="AE3430" s="23"/>
      <c r="AF3430" s="23"/>
      <c r="AG3430" s="23"/>
      <c r="AH3430" s="23"/>
      <c r="AI3430" s="48"/>
    </row>
    <row r="3431" spans="1:35">
      <c r="A3431" s="45"/>
      <c r="B3431" s="42"/>
      <c r="C3431" s="45"/>
      <c r="E3431" s="45"/>
      <c r="G3431" s="43"/>
      <c r="H3431" s="44"/>
      <c r="L3431" s="42"/>
      <c r="M3431" s="42"/>
      <c r="N3431" s="25"/>
      <c r="O3431" s="54"/>
      <c r="P3431"/>
      <c r="Q3431" s="25"/>
      <c r="R3431" s="54"/>
      <c r="W3431" s="23"/>
      <c r="X3431" s="23"/>
      <c r="Y3431" s="23"/>
      <c r="Z3431" s="43"/>
      <c r="AA3431" s="23"/>
      <c r="AB3431" s="23"/>
      <c r="AC3431" s="23"/>
      <c r="AD3431" s="23"/>
      <c r="AE3431" s="23"/>
      <c r="AF3431" s="23"/>
      <c r="AG3431" s="23"/>
      <c r="AH3431" s="23"/>
      <c r="AI3431" s="48"/>
    </row>
    <row r="3432" spans="1:35">
      <c r="A3432" s="45"/>
      <c r="B3432" s="42"/>
      <c r="C3432" s="45"/>
      <c r="E3432" s="45"/>
      <c r="G3432" s="43"/>
      <c r="H3432" s="44"/>
      <c r="L3432" s="42"/>
      <c r="M3432" s="42"/>
      <c r="N3432" s="25"/>
      <c r="O3432" s="54"/>
      <c r="P3432"/>
      <c r="Q3432" s="25"/>
      <c r="R3432" s="54"/>
      <c r="W3432" s="23"/>
      <c r="X3432" s="23"/>
      <c r="Y3432" s="23"/>
      <c r="Z3432" s="43"/>
      <c r="AA3432" s="23"/>
      <c r="AB3432" s="23"/>
      <c r="AC3432" s="23"/>
      <c r="AD3432" s="23"/>
      <c r="AE3432" s="23"/>
      <c r="AF3432" s="23"/>
      <c r="AG3432" s="23"/>
      <c r="AH3432" s="23"/>
      <c r="AI3432" s="48"/>
    </row>
    <row r="3433" spans="1:35">
      <c r="A3433" s="45"/>
      <c r="B3433" s="42"/>
      <c r="C3433" s="45"/>
      <c r="E3433" s="45"/>
      <c r="G3433" s="43"/>
      <c r="H3433" s="44"/>
      <c r="L3433" s="42"/>
      <c r="M3433" s="42"/>
      <c r="N3433" s="25"/>
      <c r="O3433" s="54"/>
      <c r="P3433"/>
      <c r="Q3433" s="25"/>
      <c r="R3433" s="54"/>
      <c r="W3433" s="23"/>
      <c r="X3433" s="23"/>
      <c r="Y3433" s="23"/>
      <c r="Z3433" s="43"/>
      <c r="AA3433" s="23"/>
      <c r="AB3433" s="23"/>
      <c r="AC3433" s="23"/>
      <c r="AD3433" s="23"/>
      <c r="AE3433" s="23"/>
      <c r="AF3433" s="23"/>
      <c r="AG3433" s="23"/>
      <c r="AH3433" s="23"/>
      <c r="AI3433" s="48"/>
    </row>
    <row r="3434" spans="1:35">
      <c r="A3434" s="45"/>
      <c r="B3434" s="42"/>
      <c r="C3434" s="45"/>
      <c r="E3434" s="45"/>
      <c r="G3434" s="43"/>
      <c r="H3434" s="44"/>
      <c r="L3434" s="42"/>
      <c r="M3434" s="42"/>
      <c r="N3434" s="25"/>
      <c r="O3434" s="54"/>
      <c r="P3434"/>
      <c r="Q3434" s="25"/>
      <c r="R3434" s="54"/>
      <c r="W3434" s="23"/>
      <c r="X3434" s="23"/>
      <c r="Y3434" s="23"/>
      <c r="Z3434" s="43"/>
      <c r="AA3434" s="23"/>
      <c r="AB3434" s="23"/>
      <c r="AC3434" s="23"/>
      <c r="AD3434" s="23"/>
      <c r="AE3434" s="23"/>
      <c r="AF3434" s="23"/>
      <c r="AG3434" s="23"/>
      <c r="AH3434" s="23"/>
      <c r="AI3434" s="48"/>
    </row>
    <row r="3435" spans="1:35">
      <c r="A3435" s="45"/>
      <c r="B3435" s="42"/>
      <c r="C3435" s="45"/>
      <c r="E3435" s="45"/>
      <c r="G3435" s="43"/>
      <c r="H3435" s="44"/>
      <c r="L3435" s="42"/>
      <c r="M3435" s="42"/>
      <c r="N3435" s="25"/>
      <c r="O3435" s="54"/>
      <c r="P3435"/>
      <c r="Q3435" s="25"/>
      <c r="R3435" s="54"/>
      <c r="W3435" s="23"/>
      <c r="X3435" s="23"/>
      <c r="Y3435" s="23"/>
      <c r="Z3435" s="43"/>
      <c r="AA3435" s="23"/>
      <c r="AB3435" s="23"/>
      <c r="AC3435" s="23"/>
      <c r="AD3435" s="23"/>
      <c r="AE3435" s="23"/>
      <c r="AF3435" s="23"/>
      <c r="AG3435" s="23"/>
      <c r="AH3435" s="23"/>
      <c r="AI3435" s="48"/>
    </row>
    <row r="3436" spans="1:35">
      <c r="A3436" s="45"/>
      <c r="B3436" s="42"/>
      <c r="C3436" s="45"/>
      <c r="E3436" s="45"/>
      <c r="G3436" s="43"/>
      <c r="H3436" s="44"/>
      <c r="L3436" s="42"/>
      <c r="M3436" s="42"/>
      <c r="N3436" s="25"/>
      <c r="O3436" s="54"/>
      <c r="P3436"/>
      <c r="Q3436" s="25"/>
      <c r="R3436" s="54"/>
      <c r="W3436" s="23"/>
      <c r="X3436" s="23"/>
      <c r="Y3436" s="23"/>
      <c r="Z3436" s="43"/>
      <c r="AA3436" s="23"/>
      <c r="AB3436" s="23"/>
      <c r="AC3436" s="23"/>
      <c r="AD3436" s="23"/>
      <c r="AE3436" s="23"/>
      <c r="AF3436" s="23"/>
      <c r="AG3436" s="23"/>
      <c r="AH3436" s="23"/>
      <c r="AI3436" s="48"/>
    </row>
    <row r="3437" spans="1:35">
      <c r="A3437" s="45"/>
      <c r="B3437" s="42"/>
      <c r="C3437" s="45"/>
      <c r="E3437" s="45"/>
      <c r="G3437" s="43"/>
      <c r="H3437" s="44"/>
      <c r="L3437" s="42"/>
      <c r="M3437" s="42"/>
      <c r="N3437" s="25"/>
      <c r="O3437" s="54"/>
      <c r="P3437"/>
      <c r="Q3437" s="25"/>
      <c r="R3437" s="54"/>
      <c r="W3437" s="23"/>
      <c r="X3437" s="23"/>
      <c r="Y3437" s="23"/>
      <c r="Z3437" s="43"/>
      <c r="AA3437" s="23"/>
      <c r="AB3437" s="23"/>
      <c r="AC3437" s="23"/>
      <c r="AD3437" s="23"/>
      <c r="AE3437" s="23"/>
      <c r="AF3437" s="23"/>
      <c r="AG3437" s="23"/>
      <c r="AH3437" s="23"/>
      <c r="AI3437" s="48"/>
    </row>
    <row r="3438" spans="1:35">
      <c r="B3438" s="42"/>
      <c r="G3438" s="43"/>
      <c r="H3438" s="44"/>
      <c r="L3438" s="42"/>
      <c r="M3438" s="42"/>
      <c r="N3438" s="25"/>
      <c r="O3438" s="54"/>
      <c r="P3438"/>
      <c r="Q3438" s="25"/>
      <c r="R3438" s="54"/>
      <c r="W3438" s="23"/>
      <c r="X3438" s="23"/>
      <c r="Y3438" s="23"/>
      <c r="Z3438" s="43"/>
      <c r="AA3438" s="23"/>
      <c r="AB3438" s="23"/>
      <c r="AC3438" s="23"/>
      <c r="AD3438" s="23"/>
      <c r="AE3438" s="23"/>
      <c r="AF3438" s="23"/>
      <c r="AG3438" s="23"/>
      <c r="AH3438" s="23"/>
      <c r="AI3438" s="48"/>
    </row>
    <row r="3439" spans="1:35">
      <c r="B3439" s="42"/>
      <c r="G3439" s="43"/>
      <c r="H3439" s="44"/>
      <c r="L3439" s="42"/>
      <c r="M3439" s="42"/>
      <c r="N3439" s="25"/>
      <c r="O3439" s="54"/>
      <c r="P3439"/>
      <c r="Q3439" s="25"/>
      <c r="R3439" s="54"/>
      <c r="W3439" s="23"/>
      <c r="X3439" s="23"/>
      <c r="Y3439" s="23"/>
      <c r="Z3439" s="43"/>
      <c r="AA3439" s="23"/>
      <c r="AB3439" s="23"/>
      <c r="AC3439" s="23"/>
      <c r="AD3439" s="23"/>
      <c r="AE3439" s="23"/>
      <c r="AF3439" s="23"/>
      <c r="AG3439" s="23"/>
      <c r="AH3439" s="23"/>
      <c r="AI3439" s="48"/>
    </row>
    <row r="3440" spans="1:35">
      <c r="B3440" s="42"/>
      <c r="G3440" s="43"/>
      <c r="H3440" s="44"/>
      <c r="L3440" s="42"/>
      <c r="M3440" s="42"/>
      <c r="N3440" s="25"/>
      <c r="O3440" s="54"/>
      <c r="P3440"/>
      <c r="Q3440" s="25"/>
      <c r="R3440" s="54"/>
      <c r="W3440" s="23"/>
      <c r="X3440" s="23"/>
      <c r="Y3440" s="23"/>
      <c r="Z3440" s="43"/>
      <c r="AA3440" s="23"/>
      <c r="AB3440" s="23"/>
      <c r="AC3440" s="23"/>
      <c r="AD3440" s="23"/>
      <c r="AE3440" s="23"/>
      <c r="AF3440" s="23"/>
      <c r="AG3440" s="23"/>
      <c r="AH3440" s="23"/>
    </row>
    <row r="3441" spans="1:35">
      <c r="B3441" s="42"/>
      <c r="G3441" s="43"/>
      <c r="H3441" s="44"/>
      <c r="L3441" s="42"/>
      <c r="M3441" s="42"/>
      <c r="N3441" s="25"/>
      <c r="O3441" s="54"/>
      <c r="P3441"/>
      <c r="Q3441" s="25"/>
      <c r="R3441" s="54"/>
      <c r="W3441" s="23"/>
      <c r="X3441" s="23"/>
      <c r="Y3441" s="23"/>
      <c r="Z3441" s="43"/>
      <c r="AA3441" s="23"/>
      <c r="AB3441" s="23"/>
      <c r="AC3441" s="23"/>
      <c r="AD3441" s="23"/>
      <c r="AE3441" s="23"/>
      <c r="AF3441" s="23"/>
      <c r="AG3441" s="23"/>
      <c r="AH3441" s="23"/>
      <c r="AI3441" s="48"/>
    </row>
    <row r="3442" spans="1:35">
      <c r="A3442" s="23"/>
      <c r="B3442" s="42"/>
      <c r="C3442" s="49"/>
      <c r="E3442" s="49"/>
      <c r="G3442" s="43"/>
      <c r="H3442" s="44"/>
      <c r="L3442" s="42"/>
      <c r="M3442" s="42"/>
      <c r="N3442" s="25"/>
      <c r="O3442" s="54"/>
      <c r="P3442"/>
      <c r="Q3442" s="25"/>
      <c r="R3442" s="54"/>
      <c r="W3442" s="23"/>
      <c r="X3442" s="23"/>
      <c r="Y3442" s="23"/>
      <c r="Z3442" s="43"/>
      <c r="AA3442" s="23"/>
      <c r="AB3442" s="23"/>
      <c r="AC3442" s="23"/>
      <c r="AD3442" s="23"/>
      <c r="AE3442" s="23"/>
      <c r="AF3442" s="23"/>
      <c r="AG3442" s="23"/>
      <c r="AH3442" s="23"/>
      <c r="AI3442" s="49"/>
    </row>
    <row r="3443" spans="1:35">
      <c r="A3443" s="23"/>
      <c r="B3443" s="42"/>
      <c r="C3443" s="49"/>
      <c r="E3443" s="49"/>
      <c r="G3443" s="43"/>
      <c r="H3443" s="44"/>
      <c r="L3443" s="42"/>
      <c r="M3443" s="42"/>
      <c r="N3443" s="25"/>
      <c r="O3443" s="54"/>
      <c r="P3443"/>
      <c r="Q3443" s="25"/>
      <c r="R3443" s="54"/>
      <c r="W3443" s="23"/>
      <c r="X3443" s="23"/>
      <c r="Y3443" s="23"/>
      <c r="Z3443" s="43"/>
      <c r="AA3443" s="23"/>
      <c r="AB3443" s="23"/>
      <c r="AC3443" s="23"/>
      <c r="AD3443" s="23"/>
      <c r="AE3443" s="23"/>
      <c r="AF3443" s="23"/>
      <c r="AG3443" s="23"/>
      <c r="AH3443" s="23"/>
      <c r="AI3443" s="49"/>
    </row>
    <row r="3444" spans="1:35">
      <c r="A3444" s="23"/>
      <c r="B3444" s="42"/>
      <c r="C3444" s="49"/>
      <c r="E3444" s="49"/>
      <c r="G3444" s="43"/>
      <c r="H3444" s="44"/>
      <c r="L3444" s="42"/>
      <c r="M3444" s="42"/>
      <c r="N3444" s="25"/>
      <c r="O3444" s="54"/>
      <c r="P3444"/>
      <c r="Q3444" s="25"/>
      <c r="R3444" s="54"/>
      <c r="W3444" s="23"/>
      <c r="X3444" s="23"/>
      <c r="Y3444" s="23"/>
      <c r="Z3444" s="43"/>
      <c r="AA3444" s="23"/>
      <c r="AB3444" s="23"/>
      <c r="AC3444" s="23"/>
      <c r="AD3444" s="23"/>
      <c r="AE3444" s="23"/>
      <c r="AF3444" s="23"/>
      <c r="AG3444" s="23"/>
      <c r="AH3444" s="23"/>
      <c r="AI3444" s="49"/>
    </row>
    <row r="3445" spans="1:35">
      <c r="A3445" s="23"/>
      <c r="B3445" s="42"/>
      <c r="C3445" s="49"/>
      <c r="E3445" s="49"/>
      <c r="G3445" s="43"/>
      <c r="H3445" s="44"/>
      <c r="L3445" s="42"/>
      <c r="M3445" s="42"/>
      <c r="N3445" s="25"/>
      <c r="O3445" s="54"/>
      <c r="P3445"/>
      <c r="Q3445" s="25"/>
      <c r="R3445" s="54"/>
      <c r="W3445" s="23"/>
      <c r="X3445" s="23"/>
      <c r="Y3445" s="23"/>
      <c r="Z3445" s="43"/>
      <c r="AA3445" s="23"/>
      <c r="AB3445" s="23"/>
      <c r="AC3445" s="23"/>
      <c r="AD3445" s="23"/>
      <c r="AE3445" s="23"/>
      <c r="AF3445" s="23"/>
      <c r="AG3445" s="23"/>
      <c r="AH3445" s="23"/>
      <c r="AI3445" s="49"/>
    </row>
    <row r="3446" spans="1:35">
      <c r="A3446" s="23"/>
      <c r="B3446" s="42"/>
      <c r="C3446" s="49"/>
      <c r="E3446" s="49"/>
      <c r="G3446" s="43"/>
      <c r="H3446" s="44"/>
      <c r="L3446" s="42"/>
      <c r="M3446" s="42"/>
      <c r="N3446" s="25"/>
      <c r="O3446" s="54"/>
      <c r="P3446"/>
      <c r="Q3446" s="25"/>
      <c r="R3446" s="54"/>
      <c r="W3446" s="23"/>
      <c r="X3446" s="23"/>
      <c r="Y3446" s="23"/>
      <c r="Z3446" s="43"/>
      <c r="AA3446" s="23"/>
      <c r="AB3446" s="23"/>
      <c r="AC3446" s="23"/>
      <c r="AD3446" s="23"/>
      <c r="AE3446" s="23"/>
      <c r="AF3446" s="23"/>
      <c r="AG3446" s="23"/>
      <c r="AH3446" s="23"/>
      <c r="AI3446" s="49"/>
    </row>
    <row r="3447" spans="1:35">
      <c r="A3447" s="23"/>
      <c r="B3447" s="42"/>
      <c r="C3447" s="49"/>
      <c r="E3447" s="49"/>
      <c r="G3447" s="43"/>
      <c r="H3447" s="44"/>
      <c r="L3447" s="42"/>
      <c r="M3447" s="42"/>
      <c r="N3447" s="25"/>
      <c r="O3447" s="54"/>
      <c r="P3447"/>
      <c r="Q3447" s="25"/>
      <c r="R3447" s="54"/>
      <c r="W3447" s="23"/>
      <c r="X3447" s="23"/>
      <c r="Y3447" s="23"/>
      <c r="Z3447" s="43"/>
      <c r="AA3447" s="23"/>
      <c r="AB3447" s="23"/>
      <c r="AC3447" s="23"/>
      <c r="AD3447" s="23"/>
      <c r="AE3447" s="23"/>
      <c r="AF3447" s="23"/>
      <c r="AG3447" s="23"/>
      <c r="AH3447" s="23"/>
      <c r="AI3447" s="49"/>
    </row>
    <row r="3448" spans="1:35">
      <c r="A3448" s="23"/>
      <c r="B3448" s="42"/>
      <c r="C3448" s="49"/>
      <c r="E3448" s="49"/>
      <c r="G3448" s="43"/>
      <c r="H3448" s="44"/>
      <c r="L3448" s="42"/>
      <c r="M3448" s="42"/>
      <c r="N3448" s="25"/>
      <c r="O3448" s="54"/>
      <c r="P3448"/>
      <c r="Q3448" s="25"/>
      <c r="R3448" s="54"/>
      <c r="W3448" s="23"/>
      <c r="X3448" s="23"/>
      <c r="Y3448" s="23"/>
      <c r="Z3448" s="43"/>
      <c r="AA3448" s="23"/>
      <c r="AB3448" s="23"/>
      <c r="AC3448" s="23"/>
      <c r="AD3448" s="23"/>
      <c r="AE3448" s="23"/>
      <c r="AF3448" s="23"/>
      <c r="AG3448" s="23"/>
      <c r="AH3448" s="23"/>
      <c r="AI3448" s="49"/>
    </row>
    <row r="3449" spans="1:35">
      <c r="A3449" s="23"/>
      <c r="B3449" s="42"/>
      <c r="C3449" s="49"/>
      <c r="E3449" s="49"/>
      <c r="G3449" s="43"/>
      <c r="H3449" s="44"/>
      <c r="L3449" s="42"/>
      <c r="M3449" s="42"/>
      <c r="N3449" s="25"/>
      <c r="O3449" s="54"/>
      <c r="P3449"/>
      <c r="Q3449" s="25"/>
      <c r="R3449" s="54"/>
      <c r="W3449" s="23"/>
      <c r="X3449" s="23"/>
      <c r="Y3449" s="23"/>
      <c r="Z3449" s="43"/>
      <c r="AA3449" s="23"/>
      <c r="AB3449" s="23"/>
      <c r="AC3449" s="23"/>
      <c r="AD3449" s="23"/>
      <c r="AE3449" s="23"/>
      <c r="AF3449" s="23"/>
      <c r="AG3449" s="23"/>
      <c r="AH3449" s="23"/>
      <c r="AI3449" s="49"/>
    </row>
    <row r="3450" spans="1:35">
      <c r="A3450" s="23"/>
      <c r="B3450" s="42"/>
      <c r="C3450" s="49"/>
      <c r="E3450" s="49"/>
      <c r="G3450" s="43"/>
      <c r="H3450" s="44"/>
      <c r="L3450" s="42"/>
      <c r="M3450" s="42"/>
      <c r="N3450" s="25"/>
      <c r="O3450" s="54"/>
      <c r="P3450"/>
      <c r="Q3450" s="25"/>
      <c r="R3450" s="54"/>
      <c r="W3450" s="23"/>
      <c r="X3450" s="23"/>
      <c r="Y3450" s="23"/>
      <c r="Z3450" s="43"/>
      <c r="AA3450" s="23"/>
      <c r="AB3450" s="23"/>
      <c r="AC3450" s="23"/>
      <c r="AD3450" s="23"/>
      <c r="AE3450" s="23"/>
      <c r="AF3450" s="23"/>
      <c r="AG3450" s="23"/>
      <c r="AH3450" s="23"/>
      <c r="AI3450" s="49"/>
    </row>
    <row r="3451" spans="1:35">
      <c r="A3451" s="23"/>
      <c r="B3451" s="42"/>
      <c r="C3451" s="49"/>
      <c r="E3451" s="49"/>
      <c r="G3451" s="43"/>
      <c r="H3451" s="44"/>
      <c r="L3451" s="42"/>
      <c r="M3451" s="42"/>
      <c r="N3451" s="25"/>
      <c r="O3451" s="54"/>
      <c r="P3451"/>
      <c r="Q3451" s="25"/>
      <c r="R3451" s="54"/>
      <c r="W3451" s="23"/>
      <c r="X3451" s="23"/>
      <c r="Y3451" s="23"/>
      <c r="Z3451" s="43"/>
      <c r="AA3451" s="23"/>
      <c r="AB3451" s="23"/>
      <c r="AC3451" s="23"/>
      <c r="AD3451" s="23"/>
      <c r="AE3451" s="23"/>
      <c r="AF3451" s="23"/>
      <c r="AG3451" s="23"/>
      <c r="AH3451" s="23"/>
      <c r="AI3451" s="49"/>
    </row>
    <row r="3452" spans="1:35">
      <c r="A3452" s="23"/>
      <c r="B3452" s="42"/>
      <c r="C3452" s="49"/>
      <c r="E3452" s="49"/>
      <c r="G3452" s="43"/>
      <c r="H3452" s="44"/>
      <c r="L3452" s="42"/>
      <c r="M3452" s="42"/>
      <c r="N3452" s="25"/>
      <c r="O3452" s="54"/>
      <c r="P3452"/>
      <c r="Q3452" s="25"/>
      <c r="R3452" s="54"/>
      <c r="W3452" s="23"/>
      <c r="X3452" s="23"/>
      <c r="Y3452" s="23"/>
      <c r="Z3452" s="43"/>
      <c r="AA3452" s="23"/>
      <c r="AB3452" s="23"/>
      <c r="AC3452" s="23"/>
      <c r="AD3452" s="23"/>
      <c r="AE3452" s="23"/>
      <c r="AF3452" s="23"/>
      <c r="AG3452" s="23"/>
      <c r="AH3452" s="23"/>
      <c r="AI3452" s="49"/>
    </row>
    <row r="3453" spans="1:35">
      <c r="A3453" s="23"/>
      <c r="B3453" s="42"/>
      <c r="C3453" s="49"/>
      <c r="E3453" s="49"/>
      <c r="G3453" s="43"/>
      <c r="H3453" s="44"/>
      <c r="L3453" s="42"/>
      <c r="M3453" s="42"/>
      <c r="N3453" s="25"/>
      <c r="O3453" s="54"/>
      <c r="P3453"/>
      <c r="Q3453" s="25"/>
      <c r="R3453" s="54"/>
      <c r="W3453" s="23"/>
      <c r="X3453" s="23"/>
      <c r="Y3453" s="23"/>
      <c r="Z3453" s="43"/>
      <c r="AA3453" s="23"/>
      <c r="AB3453" s="23"/>
      <c r="AC3453" s="23"/>
      <c r="AD3453" s="23"/>
      <c r="AE3453" s="23"/>
      <c r="AF3453" s="23"/>
      <c r="AG3453" s="23"/>
      <c r="AH3453" s="23"/>
      <c r="AI3453" s="49"/>
    </row>
    <row r="3454" spans="1:35">
      <c r="A3454" s="23"/>
      <c r="B3454" s="42"/>
      <c r="C3454" s="49"/>
      <c r="E3454" s="49"/>
      <c r="G3454" s="43"/>
      <c r="H3454" s="44"/>
      <c r="L3454" s="42"/>
      <c r="M3454" s="42"/>
      <c r="N3454" s="25"/>
      <c r="O3454" s="54"/>
      <c r="P3454"/>
      <c r="Q3454" s="25"/>
      <c r="R3454" s="54"/>
      <c r="W3454" s="23"/>
      <c r="X3454" s="23"/>
      <c r="Y3454" s="23"/>
      <c r="Z3454" s="43"/>
      <c r="AA3454" s="23"/>
      <c r="AB3454" s="23"/>
      <c r="AC3454" s="23"/>
      <c r="AD3454" s="23"/>
      <c r="AE3454" s="23"/>
      <c r="AF3454" s="23"/>
      <c r="AG3454" s="23"/>
      <c r="AH3454" s="23"/>
      <c r="AI3454" s="49"/>
    </row>
    <row r="3455" spans="1:35">
      <c r="A3455" s="23"/>
      <c r="B3455" s="42"/>
      <c r="C3455" s="49"/>
      <c r="E3455" s="49"/>
      <c r="G3455" s="43"/>
      <c r="H3455" s="44"/>
      <c r="L3455" s="42"/>
      <c r="M3455" s="42"/>
      <c r="N3455" s="25"/>
      <c r="O3455" s="54"/>
      <c r="P3455"/>
      <c r="Q3455" s="25"/>
      <c r="R3455" s="54"/>
      <c r="W3455" s="23"/>
      <c r="X3455" s="23"/>
      <c r="Y3455" s="23"/>
      <c r="Z3455" s="43"/>
      <c r="AA3455" s="23"/>
      <c r="AB3455" s="23"/>
      <c r="AC3455" s="23"/>
      <c r="AD3455" s="23"/>
      <c r="AE3455" s="23"/>
      <c r="AF3455" s="23"/>
      <c r="AG3455" s="23"/>
      <c r="AH3455" s="23"/>
      <c r="AI3455" s="49"/>
    </row>
    <row r="3456" spans="1:35">
      <c r="A3456" s="23"/>
      <c r="B3456" s="42"/>
      <c r="C3456" s="49"/>
      <c r="E3456" s="49"/>
      <c r="G3456" s="43"/>
      <c r="H3456" s="44"/>
      <c r="L3456" s="42"/>
      <c r="M3456" s="42"/>
      <c r="N3456" s="25"/>
      <c r="O3456" s="54"/>
      <c r="P3456"/>
      <c r="Q3456" s="25"/>
      <c r="R3456" s="54"/>
      <c r="W3456" s="23"/>
      <c r="X3456" s="23"/>
      <c r="Y3456" s="23"/>
      <c r="Z3456" s="43"/>
      <c r="AA3456" s="23"/>
      <c r="AB3456" s="23"/>
      <c r="AC3456" s="23"/>
      <c r="AD3456" s="23"/>
      <c r="AE3456" s="23"/>
      <c r="AF3456" s="23"/>
      <c r="AG3456" s="23"/>
      <c r="AH3456" s="23"/>
      <c r="AI3456" s="49"/>
    </row>
    <row r="3457" spans="1:35">
      <c r="A3457" s="23"/>
      <c r="B3457" s="42"/>
      <c r="C3457" s="49"/>
      <c r="E3457" s="49"/>
      <c r="G3457" s="43"/>
      <c r="H3457" s="44"/>
      <c r="L3457" s="42"/>
      <c r="M3457" s="42"/>
      <c r="N3457" s="25"/>
      <c r="O3457" s="54"/>
      <c r="P3457"/>
      <c r="Q3457" s="25"/>
      <c r="R3457" s="54"/>
      <c r="W3457" s="23"/>
      <c r="X3457" s="23"/>
      <c r="Y3457" s="23"/>
      <c r="Z3457" s="43"/>
      <c r="AA3457" s="23"/>
      <c r="AB3457" s="23"/>
      <c r="AC3457" s="23"/>
      <c r="AD3457" s="23"/>
      <c r="AE3457" s="23"/>
      <c r="AF3457" s="23"/>
      <c r="AG3457" s="23"/>
      <c r="AH3457" s="23"/>
      <c r="AI3457" s="49"/>
    </row>
    <row r="3458" spans="1:35">
      <c r="A3458" s="23"/>
      <c r="B3458" s="42"/>
      <c r="C3458" s="49"/>
      <c r="E3458" s="49"/>
      <c r="G3458" s="43"/>
      <c r="H3458" s="44"/>
      <c r="L3458" s="42"/>
      <c r="M3458" s="42"/>
      <c r="N3458" s="25"/>
      <c r="O3458" s="54"/>
      <c r="P3458"/>
      <c r="Q3458" s="25"/>
      <c r="R3458" s="54"/>
      <c r="W3458" s="23"/>
      <c r="X3458" s="23"/>
      <c r="Y3458" s="23"/>
      <c r="Z3458" s="43"/>
      <c r="AA3458" s="23"/>
      <c r="AB3458" s="23"/>
      <c r="AC3458" s="23"/>
      <c r="AD3458" s="23"/>
      <c r="AE3458" s="23"/>
      <c r="AF3458" s="23"/>
      <c r="AG3458" s="23"/>
      <c r="AH3458" s="23"/>
      <c r="AI3458" s="49"/>
    </row>
    <row r="3459" spans="1:35">
      <c r="B3459" s="42"/>
      <c r="C3459" s="49"/>
      <c r="E3459" s="49"/>
      <c r="G3459" s="43"/>
      <c r="H3459" s="44"/>
      <c r="L3459" s="42"/>
      <c r="M3459" s="42"/>
      <c r="N3459" s="25"/>
      <c r="O3459" s="54"/>
      <c r="P3459"/>
      <c r="Q3459" s="25"/>
      <c r="R3459" s="54"/>
      <c r="W3459" s="23"/>
      <c r="X3459" s="23"/>
      <c r="Y3459" s="23"/>
      <c r="Z3459" s="43"/>
      <c r="AA3459" s="23"/>
      <c r="AB3459" s="23"/>
      <c r="AC3459" s="23"/>
      <c r="AD3459" s="23"/>
      <c r="AE3459" s="23"/>
      <c r="AF3459" s="23"/>
      <c r="AG3459" s="23"/>
      <c r="AH3459" s="23"/>
      <c r="AI3459" s="23"/>
    </row>
    <row r="3460" spans="1:35">
      <c r="B3460" s="42"/>
      <c r="C3460" s="49"/>
      <c r="E3460" s="49"/>
      <c r="G3460" s="43"/>
      <c r="H3460" s="44"/>
      <c r="L3460" s="42"/>
      <c r="M3460" s="42"/>
      <c r="N3460" s="25"/>
      <c r="O3460" s="54"/>
      <c r="P3460"/>
      <c r="Q3460" s="25"/>
      <c r="R3460" s="54"/>
      <c r="W3460" s="23"/>
      <c r="X3460" s="23"/>
      <c r="Y3460" s="23"/>
      <c r="Z3460" s="43"/>
      <c r="AA3460" s="23"/>
      <c r="AB3460" s="23"/>
      <c r="AC3460" s="23"/>
      <c r="AD3460" s="23"/>
      <c r="AE3460" s="23"/>
      <c r="AF3460" s="23"/>
      <c r="AG3460" s="23"/>
      <c r="AH3460" s="23"/>
      <c r="AI3460" s="23"/>
    </row>
    <row r="3461" spans="1:35">
      <c r="B3461" s="42"/>
      <c r="C3461" s="49"/>
      <c r="E3461" s="49"/>
      <c r="G3461" s="43"/>
      <c r="H3461" s="44"/>
      <c r="L3461" s="42"/>
      <c r="M3461" s="42"/>
      <c r="N3461" s="25"/>
      <c r="O3461" s="54"/>
      <c r="P3461"/>
      <c r="Q3461" s="25"/>
      <c r="R3461" s="54"/>
      <c r="W3461" s="23"/>
      <c r="X3461" s="23"/>
      <c r="Y3461" s="23"/>
      <c r="Z3461" s="43"/>
      <c r="AA3461" s="23"/>
      <c r="AB3461" s="23"/>
      <c r="AC3461" s="23"/>
      <c r="AD3461" s="23"/>
      <c r="AE3461" s="23"/>
      <c r="AF3461" s="23"/>
      <c r="AG3461" s="23"/>
      <c r="AH3461" s="23"/>
      <c r="AI3461" s="23"/>
    </row>
    <row r="3462" spans="1:35">
      <c r="B3462" s="42"/>
      <c r="C3462" s="49"/>
      <c r="E3462" s="49"/>
      <c r="G3462" s="43"/>
      <c r="H3462" s="44"/>
      <c r="L3462" s="42"/>
      <c r="M3462" s="42"/>
      <c r="N3462" s="25"/>
      <c r="O3462" s="54"/>
      <c r="P3462"/>
      <c r="Q3462" s="25"/>
      <c r="R3462" s="54"/>
      <c r="W3462" s="23"/>
      <c r="X3462" s="23"/>
      <c r="Y3462" s="23"/>
      <c r="Z3462" s="43"/>
      <c r="AA3462" s="23"/>
      <c r="AB3462" s="23"/>
      <c r="AC3462" s="23"/>
      <c r="AD3462" s="23"/>
      <c r="AE3462" s="23"/>
      <c r="AF3462" s="23"/>
      <c r="AG3462" s="23"/>
      <c r="AH3462" s="23"/>
      <c r="AI3462" s="23"/>
    </row>
    <row r="3463" spans="1:35">
      <c r="B3463" s="42"/>
      <c r="C3463" s="49"/>
      <c r="E3463" s="49"/>
      <c r="G3463" s="43"/>
      <c r="H3463" s="44"/>
      <c r="L3463" s="42"/>
      <c r="M3463" s="42"/>
      <c r="N3463" s="25"/>
      <c r="O3463" s="54"/>
      <c r="P3463"/>
      <c r="Q3463" s="25"/>
      <c r="R3463" s="54"/>
      <c r="W3463" s="23"/>
      <c r="X3463" s="23"/>
      <c r="Y3463" s="23"/>
      <c r="Z3463" s="43"/>
      <c r="AA3463" s="23"/>
      <c r="AB3463" s="23"/>
      <c r="AC3463" s="23"/>
      <c r="AD3463" s="23"/>
      <c r="AE3463" s="23"/>
      <c r="AF3463" s="23"/>
      <c r="AG3463" s="23"/>
      <c r="AH3463" s="23"/>
      <c r="AI3463" s="23"/>
    </row>
    <row r="3464" spans="1:35">
      <c r="B3464" s="42"/>
      <c r="C3464" s="49"/>
      <c r="E3464" s="49"/>
      <c r="G3464" s="43"/>
      <c r="H3464" s="44"/>
      <c r="L3464" s="42"/>
      <c r="M3464" s="42"/>
      <c r="N3464" s="25"/>
      <c r="O3464" s="54"/>
      <c r="P3464"/>
      <c r="Q3464" s="25"/>
      <c r="R3464" s="54"/>
      <c r="W3464" s="23"/>
      <c r="X3464" s="23"/>
      <c r="Y3464" s="23"/>
      <c r="Z3464" s="43"/>
      <c r="AA3464" s="23"/>
      <c r="AB3464" s="23"/>
      <c r="AC3464" s="23"/>
      <c r="AD3464" s="23"/>
      <c r="AE3464" s="23"/>
      <c r="AF3464" s="23"/>
      <c r="AG3464" s="23"/>
      <c r="AH3464" s="23"/>
      <c r="AI3464" s="23"/>
    </row>
    <row r="3465" spans="1:35">
      <c r="B3465" s="42"/>
      <c r="C3465" s="49"/>
      <c r="E3465" s="49"/>
      <c r="G3465" s="43"/>
      <c r="H3465" s="44"/>
      <c r="L3465" s="42"/>
      <c r="M3465" s="42"/>
      <c r="N3465" s="25"/>
      <c r="O3465" s="54"/>
      <c r="P3465"/>
      <c r="Q3465" s="25"/>
      <c r="R3465" s="54"/>
      <c r="W3465" s="23"/>
      <c r="X3465" s="23"/>
      <c r="Y3465" s="23"/>
      <c r="Z3465" s="43"/>
      <c r="AA3465" s="23"/>
      <c r="AB3465" s="23"/>
      <c r="AC3465" s="23"/>
      <c r="AD3465" s="23"/>
      <c r="AE3465" s="23"/>
      <c r="AF3465" s="23"/>
      <c r="AG3465" s="23"/>
      <c r="AH3465" s="23"/>
      <c r="AI3465" s="23"/>
    </row>
    <row r="3466" spans="1:35">
      <c r="B3466" s="42"/>
      <c r="C3466" s="49"/>
      <c r="E3466" s="49"/>
      <c r="G3466" s="43"/>
      <c r="H3466" s="44"/>
      <c r="L3466" s="42"/>
      <c r="M3466" s="42"/>
      <c r="N3466" s="25"/>
      <c r="O3466" s="54"/>
      <c r="P3466"/>
      <c r="Q3466" s="25"/>
      <c r="R3466" s="54"/>
      <c r="W3466" s="23"/>
      <c r="X3466" s="23"/>
      <c r="Y3466" s="23"/>
      <c r="Z3466" s="43"/>
      <c r="AA3466" s="23"/>
      <c r="AB3466" s="23"/>
      <c r="AC3466" s="23"/>
      <c r="AD3466" s="23"/>
      <c r="AE3466" s="23"/>
      <c r="AF3466" s="23"/>
      <c r="AG3466" s="23"/>
      <c r="AH3466" s="23"/>
      <c r="AI3466" s="23"/>
    </row>
    <row r="3467" spans="1:35">
      <c r="B3467" s="42"/>
      <c r="C3467" s="49"/>
      <c r="E3467" s="49"/>
      <c r="G3467" s="43"/>
      <c r="H3467" s="44"/>
      <c r="L3467" s="42"/>
      <c r="M3467" s="42"/>
      <c r="N3467" s="25"/>
      <c r="O3467" s="54"/>
      <c r="P3467"/>
      <c r="Q3467" s="25"/>
      <c r="R3467" s="54"/>
      <c r="W3467" s="23"/>
      <c r="X3467" s="23"/>
      <c r="Y3467" s="23"/>
      <c r="Z3467" s="43"/>
      <c r="AA3467" s="23"/>
      <c r="AB3467" s="23"/>
      <c r="AC3467" s="23"/>
      <c r="AD3467" s="23"/>
      <c r="AE3467" s="23"/>
      <c r="AF3467" s="23"/>
      <c r="AG3467" s="23"/>
      <c r="AH3467" s="23"/>
      <c r="AI3467" s="23"/>
    </row>
    <row r="3468" spans="1:35">
      <c r="B3468" s="42"/>
      <c r="C3468" s="49"/>
      <c r="E3468" s="49"/>
      <c r="G3468" s="43"/>
      <c r="H3468" s="44"/>
      <c r="L3468" s="42"/>
      <c r="M3468" s="42"/>
      <c r="N3468" s="25"/>
      <c r="O3468" s="54"/>
      <c r="P3468"/>
      <c r="Q3468" s="25"/>
      <c r="R3468" s="54"/>
      <c r="W3468" s="23"/>
      <c r="X3468" s="23"/>
      <c r="Y3468" s="23"/>
      <c r="Z3468" s="43"/>
      <c r="AA3468" s="23"/>
      <c r="AB3468" s="23"/>
      <c r="AC3468" s="23"/>
      <c r="AD3468" s="23"/>
      <c r="AE3468" s="23"/>
      <c r="AF3468" s="23"/>
      <c r="AG3468" s="23"/>
      <c r="AH3468" s="23"/>
      <c r="AI3468" s="23"/>
    </row>
    <row r="3469" spans="1:35">
      <c r="B3469" s="42"/>
      <c r="C3469" s="49"/>
      <c r="E3469" s="49"/>
      <c r="G3469" s="43"/>
      <c r="H3469" s="44"/>
      <c r="L3469" s="42"/>
      <c r="M3469" s="42"/>
      <c r="N3469" s="25"/>
      <c r="O3469" s="54"/>
      <c r="P3469"/>
      <c r="Q3469" s="25"/>
      <c r="R3469" s="54"/>
      <c r="W3469" s="23"/>
      <c r="X3469" s="23"/>
      <c r="Y3469" s="23"/>
      <c r="Z3469" s="43"/>
      <c r="AA3469" s="23"/>
      <c r="AB3469" s="23"/>
      <c r="AC3469" s="23"/>
      <c r="AD3469" s="23"/>
      <c r="AE3469" s="23"/>
      <c r="AF3469" s="23"/>
      <c r="AG3469" s="23"/>
      <c r="AH3469" s="23"/>
      <c r="AI3469" s="23"/>
    </row>
    <row r="3470" spans="1:35">
      <c r="B3470" s="42"/>
      <c r="C3470" s="49"/>
      <c r="E3470" s="49"/>
      <c r="G3470" s="43"/>
      <c r="H3470" s="44"/>
      <c r="L3470" s="42"/>
      <c r="M3470" s="42"/>
      <c r="N3470" s="25"/>
      <c r="O3470" s="54"/>
      <c r="P3470"/>
      <c r="Q3470" s="25"/>
      <c r="R3470" s="54"/>
      <c r="W3470" s="23"/>
      <c r="X3470" s="23"/>
      <c r="Y3470" s="23"/>
      <c r="Z3470" s="43"/>
      <c r="AA3470" s="23"/>
      <c r="AB3470" s="23"/>
      <c r="AC3470" s="23"/>
      <c r="AD3470" s="23"/>
      <c r="AE3470" s="23"/>
      <c r="AF3470" s="23"/>
      <c r="AG3470" s="23"/>
      <c r="AH3470" s="23"/>
      <c r="AI3470" s="23"/>
    </row>
    <row r="3471" spans="1:35">
      <c r="B3471" s="42"/>
      <c r="C3471" s="49"/>
      <c r="E3471" s="49"/>
      <c r="G3471" s="43"/>
      <c r="H3471" s="44"/>
      <c r="L3471" s="42"/>
      <c r="M3471" s="42"/>
      <c r="N3471" s="25"/>
      <c r="O3471" s="54"/>
      <c r="P3471"/>
      <c r="Q3471" s="25"/>
      <c r="R3471" s="54"/>
      <c r="W3471" s="23"/>
      <c r="X3471" s="23"/>
      <c r="Y3471" s="23"/>
      <c r="Z3471" s="43"/>
      <c r="AA3471" s="23"/>
      <c r="AB3471" s="23"/>
      <c r="AC3471" s="23"/>
      <c r="AD3471" s="23"/>
      <c r="AE3471" s="23"/>
      <c r="AF3471" s="23"/>
      <c r="AG3471" s="23"/>
      <c r="AH3471" s="23"/>
      <c r="AI3471" s="23"/>
    </row>
    <row r="3472" spans="1:35">
      <c r="B3472" s="42"/>
      <c r="C3472" s="49"/>
      <c r="E3472" s="49"/>
      <c r="G3472" s="43"/>
      <c r="H3472" s="44"/>
      <c r="L3472" s="42"/>
      <c r="M3472" s="42"/>
      <c r="N3472" s="25"/>
      <c r="O3472" s="54"/>
      <c r="P3472"/>
      <c r="Q3472" s="25"/>
      <c r="R3472" s="54"/>
      <c r="W3472" s="23"/>
      <c r="X3472" s="23"/>
      <c r="Y3472" s="23"/>
      <c r="Z3472" s="43"/>
      <c r="AA3472" s="23"/>
      <c r="AB3472" s="23"/>
      <c r="AC3472" s="23"/>
      <c r="AD3472" s="23"/>
      <c r="AE3472" s="23"/>
      <c r="AF3472" s="23"/>
      <c r="AG3472" s="23"/>
      <c r="AH3472" s="23"/>
      <c r="AI3472" s="23"/>
    </row>
    <row r="3473" spans="2:35">
      <c r="B3473" s="42"/>
      <c r="C3473" s="49"/>
      <c r="E3473" s="49"/>
      <c r="G3473" s="43"/>
      <c r="H3473" s="44"/>
      <c r="L3473" s="42"/>
      <c r="M3473" s="42"/>
      <c r="N3473" s="25"/>
      <c r="O3473" s="54"/>
      <c r="P3473"/>
      <c r="Q3473" s="25"/>
      <c r="R3473" s="54"/>
      <c r="W3473" s="23"/>
      <c r="X3473" s="23"/>
      <c r="Y3473" s="23"/>
      <c r="Z3473" s="43"/>
      <c r="AA3473" s="23"/>
      <c r="AB3473" s="23"/>
      <c r="AC3473" s="23"/>
      <c r="AD3473" s="23"/>
      <c r="AE3473" s="23"/>
      <c r="AF3473" s="23"/>
      <c r="AG3473" s="23"/>
      <c r="AH3473" s="23"/>
      <c r="AI3473" s="23"/>
    </row>
    <row r="3474" spans="2:35">
      <c r="B3474" s="42"/>
      <c r="C3474" s="49"/>
      <c r="E3474" s="49"/>
      <c r="G3474" s="43"/>
      <c r="H3474" s="44"/>
      <c r="L3474" s="42"/>
      <c r="M3474" s="42"/>
      <c r="N3474" s="25"/>
      <c r="O3474" s="54"/>
      <c r="P3474"/>
      <c r="Q3474" s="25"/>
      <c r="R3474" s="54"/>
      <c r="W3474" s="23"/>
      <c r="X3474" s="23"/>
      <c r="Y3474" s="23"/>
      <c r="Z3474" s="43"/>
      <c r="AA3474" s="23"/>
      <c r="AB3474" s="23"/>
      <c r="AC3474" s="23"/>
      <c r="AD3474" s="23"/>
      <c r="AE3474" s="23"/>
      <c r="AF3474" s="23"/>
      <c r="AG3474" s="23"/>
      <c r="AH3474" s="23"/>
      <c r="AI3474" s="23"/>
    </row>
    <row r="3475" spans="2:35">
      <c r="B3475" s="42"/>
      <c r="C3475" s="49"/>
      <c r="E3475" s="49"/>
      <c r="G3475" s="43"/>
      <c r="H3475" s="44"/>
      <c r="L3475" s="42"/>
      <c r="M3475" s="42"/>
      <c r="N3475" s="25"/>
      <c r="O3475" s="54"/>
      <c r="P3475"/>
      <c r="Q3475" s="25"/>
      <c r="R3475" s="54"/>
      <c r="W3475" s="23"/>
      <c r="X3475" s="23"/>
      <c r="Y3475" s="23"/>
      <c r="Z3475" s="43"/>
      <c r="AA3475" s="23"/>
      <c r="AB3475" s="23"/>
      <c r="AC3475" s="23"/>
      <c r="AD3475" s="23"/>
      <c r="AE3475" s="23"/>
      <c r="AF3475" s="23"/>
      <c r="AG3475" s="23"/>
      <c r="AH3475" s="23"/>
      <c r="AI3475" s="23"/>
    </row>
    <row r="3476" spans="2:35">
      <c r="B3476" s="42"/>
      <c r="C3476" s="49"/>
      <c r="E3476" s="49"/>
      <c r="G3476" s="43"/>
      <c r="H3476" s="44"/>
      <c r="L3476" s="42"/>
      <c r="M3476" s="42"/>
      <c r="N3476" s="25"/>
      <c r="O3476" s="54"/>
      <c r="P3476"/>
      <c r="Q3476" s="25"/>
      <c r="R3476" s="54"/>
      <c r="W3476" s="23"/>
      <c r="X3476" s="23"/>
      <c r="Y3476" s="23"/>
      <c r="Z3476" s="43"/>
      <c r="AA3476" s="23"/>
      <c r="AB3476" s="23"/>
      <c r="AC3476" s="23"/>
      <c r="AD3476" s="23"/>
      <c r="AE3476" s="23"/>
      <c r="AF3476" s="23"/>
      <c r="AG3476" s="23"/>
      <c r="AH3476" s="23"/>
      <c r="AI3476" s="23"/>
    </row>
    <row r="3477" spans="2:35">
      <c r="B3477" s="42"/>
      <c r="C3477" s="49"/>
      <c r="E3477" s="49"/>
      <c r="G3477" s="43"/>
      <c r="H3477" s="44"/>
      <c r="L3477" s="42"/>
      <c r="M3477" s="42"/>
      <c r="N3477" s="25"/>
      <c r="O3477" s="54"/>
      <c r="P3477"/>
      <c r="Q3477" s="25"/>
      <c r="R3477" s="54"/>
      <c r="W3477" s="23"/>
      <c r="X3477" s="23"/>
      <c r="Y3477" s="23"/>
      <c r="Z3477" s="43"/>
      <c r="AA3477" s="23"/>
      <c r="AB3477" s="23"/>
      <c r="AC3477" s="23"/>
      <c r="AD3477" s="23"/>
      <c r="AE3477" s="23"/>
      <c r="AF3477" s="23"/>
      <c r="AG3477" s="23"/>
      <c r="AH3477" s="23"/>
      <c r="AI3477" s="23"/>
    </row>
    <row r="3478" spans="2:35">
      <c r="B3478" s="42"/>
      <c r="C3478" s="49"/>
      <c r="E3478" s="49"/>
      <c r="G3478" s="43"/>
      <c r="H3478" s="44"/>
      <c r="L3478" s="42"/>
      <c r="M3478" s="42"/>
      <c r="N3478" s="25"/>
      <c r="O3478" s="54"/>
      <c r="P3478"/>
      <c r="Q3478" s="25"/>
      <c r="R3478" s="54"/>
      <c r="W3478" s="23"/>
      <c r="X3478" s="23"/>
      <c r="Y3478" s="23"/>
      <c r="Z3478" s="43"/>
      <c r="AA3478" s="23"/>
      <c r="AB3478" s="23"/>
      <c r="AC3478" s="23"/>
      <c r="AD3478" s="23"/>
      <c r="AE3478" s="23"/>
      <c r="AF3478" s="23"/>
      <c r="AG3478" s="23"/>
      <c r="AH3478" s="23"/>
      <c r="AI3478" s="23"/>
    </row>
    <row r="3479" spans="2:35">
      <c r="B3479" s="42"/>
      <c r="C3479" s="49"/>
      <c r="E3479" s="49"/>
      <c r="G3479" s="43"/>
      <c r="H3479" s="44"/>
      <c r="L3479" s="42"/>
      <c r="M3479" s="42"/>
      <c r="N3479" s="25"/>
      <c r="O3479" s="54"/>
      <c r="P3479"/>
      <c r="Q3479" s="25"/>
      <c r="R3479" s="54"/>
      <c r="W3479" s="23"/>
      <c r="X3479" s="23"/>
      <c r="Y3479" s="23"/>
      <c r="Z3479" s="43"/>
      <c r="AA3479" s="23"/>
      <c r="AB3479" s="23"/>
      <c r="AC3479" s="23"/>
      <c r="AD3479" s="23"/>
      <c r="AE3479" s="23"/>
      <c r="AF3479" s="23"/>
      <c r="AG3479" s="23"/>
      <c r="AH3479" s="23"/>
      <c r="AI3479" s="23"/>
    </row>
    <row r="3480" spans="2:35">
      <c r="B3480" s="42"/>
      <c r="C3480" s="49"/>
      <c r="E3480" s="49"/>
      <c r="G3480" s="43"/>
      <c r="H3480" s="44"/>
      <c r="L3480" s="42"/>
      <c r="M3480" s="42"/>
      <c r="N3480" s="25"/>
      <c r="O3480" s="54"/>
      <c r="P3480"/>
      <c r="Q3480" s="25"/>
      <c r="R3480" s="54"/>
      <c r="W3480" s="23"/>
      <c r="X3480" s="23"/>
      <c r="Y3480" s="23"/>
      <c r="Z3480" s="43"/>
      <c r="AA3480" s="23"/>
      <c r="AB3480" s="23"/>
      <c r="AC3480" s="23"/>
      <c r="AD3480" s="23"/>
      <c r="AE3480" s="23"/>
      <c r="AF3480" s="23"/>
      <c r="AG3480" s="23"/>
      <c r="AH3480" s="23"/>
      <c r="AI3480" s="23"/>
    </row>
    <row r="3481" spans="2:35">
      <c r="B3481" s="42"/>
      <c r="C3481" s="49"/>
      <c r="E3481" s="49"/>
      <c r="G3481" s="43"/>
      <c r="H3481" s="44"/>
      <c r="L3481" s="42"/>
      <c r="M3481" s="42"/>
      <c r="N3481" s="25"/>
      <c r="O3481" s="54"/>
      <c r="P3481"/>
      <c r="Q3481" s="25"/>
      <c r="R3481" s="54"/>
      <c r="W3481" s="23"/>
      <c r="X3481" s="23"/>
      <c r="Y3481" s="23"/>
      <c r="Z3481" s="43"/>
      <c r="AA3481" s="23"/>
      <c r="AB3481" s="23"/>
      <c r="AC3481" s="23"/>
      <c r="AD3481" s="23"/>
      <c r="AE3481" s="23"/>
      <c r="AF3481" s="23"/>
      <c r="AG3481" s="23"/>
      <c r="AH3481" s="23"/>
      <c r="AI3481" s="23"/>
    </row>
    <row r="3482" spans="2:35">
      <c r="B3482" s="42"/>
      <c r="C3482" s="49"/>
      <c r="E3482" s="49"/>
      <c r="G3482" s="43"/>
      <c r="H3482" s="44"/>
      <c r="L3482" s="42"/>
      <c r="M3482" s="42"/>
      <c r="N3482" s="25"/>
      <c r="O3482" s="54"/>
      <c r="P3482"/>
      <c r="Q3482" s="25"/>
      <c r="R3482" s="54"/>
      <c r="W3482" s="23"/>
      <c r="X3482" s="23"/>
      <c r="Y3482" s="23"/>
      <c r="Z3482" s="43"/>
      <c r="AA3482" s="23"/>
      <c r="AB3482" s="23"/>
      <c r="AC3482" s="23"/>
      <c r="AD3482" s="23"/>
      <c r="AE3482" s="23"/>
      <c r="AF3482" s="23"/>
      <c r="AG3482" s="23"/>
      <c r="AH3482" s="23"/>
      <c r="AI3482" s="23"/>
    </row>
    <row r="3483" spans="2:35">
      <c r="B3483" s="42"/>
      <c r="C3483" s="49"/>
      <c r="E3483" s="49"/>
      <c r="G3483" s="43"/>
      <c r="H3483" s="44"/>
      <c r="L3483" s="42"/>
      <c r="M3483" s="42"/>
      <c r="N3483" s="25"/>
      <c r="O3483" s="54"/>
      <c r="P3483"/>
      <c r="Q3483" s="25"/>
      <c r="R3483" s="54"/>
      <c r="W3483" s="23"/>
      <c r="X3483" s="23"/>
      <c r="Y3483" s="23"/>
      <c r="Z3483" s="43"/>
      <c r="AA3483" s="23"/>
      <c r="AB3483" s="23"/>
      <c r="AC3483" s="23"/>
      <c r="AD3483" s="23"/>
      <c r="AE3483" s="23"/>
      <c r="AF3483" s="23"/>
      <c r="AG3483" s="23"/>
      <c r="AH3483" s="23"/>
      <c r="AI3483" s="23"/>
    </row>
    <row r="3484" spans="2:35">
      <c r="B3484" s="42"/>
      <c r="C3484" s="49"/>
      <c r="E3484" s="49"/>
      <c r="G3484" s="43"/>
      <c r="H3484" s="44"/>
      <c r="L3484" s="42"/>
      <c r="M3484" s="42"/>
      <c r="N3484" s="25"/>
      <c r="O3484" s="54"/>
      <c r="P3484"/>
      <c r="Q3484" s="25"/>
      <c r="R3484" s="54"/>
      <c r="W3484" s="23"/>
      <c r="X3484" s="23"/>
      <c r="Y3484" s="23"/>
      <c r="Z3484" s="43"/>
      <c r="AA3484" s="23"/>
      <c r="AB3484" s="23"/>
      <c r="AC3484" s="23"/>
      <c r="AD3484" s="23"/>
      <c r="AE3484" s="23"/>
      <c r="AF3484" s="23"/>
      <c r="AG3484" s="23"/>
      <c r="AH3484" s="23"/>
      <c r="AI3484" s="23"/>
    </row>
    <row r="3485" spans="2:35">
      <c r="B3485" s="42"/>
      <c r="C3485" s="49"/>
      <c r="E3485" s="49"/>
      <c r="G3485" s="43"/>
      <c r="H3485" s="44"/>
      <c r="L3485" s="42"/>
      <c r="M3485" s="42"/>
      <c r="N3485" s="25"/>
      <c r="O3485" s="54"/>
      <c r="P3485"/>
      <c r="Q3485" s="25"/>
      <c r="R3485" s="54"/>
      <c r="W3485" s="23"/>
      <c r="X3485" s="23"/>
      <c r="Y3485" s="23"/>
      <c r="Z3485" s="43"/>
      <c r="AA3485" s="23"/>
      <c r="AB3485" s="23"/>
      <c r="AC3485" s="23"/>
      <c r="AD3485" s="23"/>
      <c r="AE3485" s="23"/>
      <c r="AF3485" s="23"/>
      <c r="AG3485" s="23"/>
      <c r="AH3485" s="23"/>
      <c r="AI3485" s="23"/>
    </row>
    <row r="3486" spans="2:35">
      <c r="B3486" s="42"/>
      <c r="C3486" s="49"/>
      <c r="E3486" s="49"/>
      <c r="G3486" s="43"/>
      <c r="H3486" s="44"/>
      <c r="L3486" s="42"/>
      <c r="M3486" s="42"/>
      <c r="N3486" s="25"/>
      <c r="O3486" s="54"/>
      <c r="P3486"/>
      <c r="Q3486" s="25"/>
      <c r="R3486" s="54"/>
      <c r="W3486" s="23"/>
      <c r="X3486" s="23"/>
      <c r="Y3486" s="23"/>
      <c r="Z3486" s="43"/>
      <c r="AA3486" s="23"/>
      <c r="AB3486" s="23"/>
      <c r="AC3486" s="23"/>
      <c r="AD3486" s="23"/>
      <c r="AE3486" s="23"/>
      <c r="AF3486" s="23"/>
      <c r="AG3486" s="23"/>
      <c r="AH3486" s="23"/>
      <c r="AI3486" s="23"/>
    </row>
    <row r="3487" spans="2:35">
      <c r="B3487" s="42"/>
      <c r="C3487" s="49"/>
      <c r="E3487" s="49"/>
      <c r="G3487" s="43"/>
      <c r="H3487" s="44"/>
      <c r="L3487" s="42"/>
      <c r="M3487" s="42"/>
      <c r="N3487" s="25"/>
      <c r="O3487" s="54"/>
      <c r="P3487"/>
      <c r="Q3487" s="25"/>
      <c r="R3487" s="54"/>
      <c r="W3487" s="23"/>
      <c r="X3487" s="23"/>
      <c r="Y3487" s="23"/>
      <c r="Z3487" s="43"/>
      <c r="AA3487" s="23"/>
      <c r="AB3487" s="23"/>
      <c r="AC3487" s="23"/>
      <c r="AD3487" s="23"/>
      <c r="AE3487" s="23"/>
      <c r="AF3487" s="23"/>
      <c r="AG3487" s="23"/>
      <c r="AH3487" s="23"/>
      <c r="AI3487" s="23"/>
    </row>
    <row r="3488" spans="2:35">
      <c r="B3488" s="42"/>
      <c r="C3488" s="49"/>
      <c r="E3488" s="49"/>
      <c r="G3488" s="43"/>
      <c r="H3488" s="44"/>
      <c r="L3488" s="42"/>
      <c r="M3488" s="42"/>
      <c r="N3488" s="25"/>
      <c r="O3488" s="54"/>
      <c r="P3488"/>
      <c r="Q3488" s="25"/>
      <c r="R3488" s="54"/>
      <c r="W3488" s="23"/>
      <c r="X3488" s="23"/>
      <c r="Y3488" s="23"/>
      <c r="Z3488" s="43"/>
      <c r="AA3488" s="23"/>
      <c r="AB3488" s="23"/>
      <c r="AC3488" s="23"/>
      <c r="AD3488" s="23"/>
      <c r="AE3488" s="23"/>
      <c r="AF3488" s="23"/>
      <c r="AG3488" s="23"/>
      <c r="AH3488" s="23"/>
      <c r="AI3488" s="23"/>
    </row>
    <row r="3489" spans="2:35">
      <c r="B3489" s="42"/>
      <c r="C3489" s="49"/>
      <c r="E3489" s="49"/>
      <c r="G3489" s="43"/>
      <c r="H3489" s="44"/>
      <c r="L3489" s="42"/>
      <c r="M3489" s="42"/>
      <c r="N3489" s="25"/>
      <c r="O3489" s="54"/>
      <c r="P3489"/>
      <c r="Q3489" s="25"/>
      <c r="R3489" s="54"/>
      <c r="W3489" s="23"/>
      <c r="X3489" s="23"/>
      <c r="Y3489" s="23"/>
      <c r="Z3489" s="43"/>
      <c r="AA3489" s="23"/>
      <c r="AB3489" s="23"/>
      <c r="AC3489" s="23"/>
      <c r="AD3489" s="23"/>
      <c r="AE3489" s="23"/>
      <c r="AF3489" s="23"/>
      <c r="AG3489" s="23"/>
      <c r="AH3489" s="23"/>
      <c r="AI3489" s="23"/>
    </row>
    <row r="3490" spans="2:35">
      <c r="B3490" s="42"/>
      <c r="C3490" s="49"/>
      <c r="E3490" s="49"/>
      <c r="G3490" s="43"/>
      <c r="H3490" s="44"/>
      <c r="L3490" s="42"/>
      <c r="M3490" s="42"/>
      <c r="N3490" s="25"/>
      <c r="O3490" s="54"/>
      <c r="P3490"/>
      <c r="Q3490" s="25"/>
      <c r="R3490" s="54"/>
      <c r="W3490" s="23"/>
      <c r="X3490" s="23"/>
      <c r="Y3490" s="23"/>
      <c r="Z3490" s="43"/>
      <c r="AA3490" s="23"/>
      <c r="AB3490" s="23"/>
      <c r="AC3490" s="23"/>
      <c r="AD3490" s="23"/>
      <c r="AE3490" s="23"/>
      <c r="AF3490" s="23"/>
      <c r="AG3490" s="23"/>
      <c r="AH3490" s="23"/>
      <c r="AI3490" s="23"/>
    </row>
    <row r="3491" spans="2:35">
      <c r="B3491" s="42"/>
      <c r="C3491" s="49"/>
      <c r="E3491" s="49"/>
      <c r="G3491" s="43"/>
      <c r="H3491" s="44"/>
      <c r="L3491" s="42"/>
      <c r="M3491" s="42"/>
      <c r="N3491" s="25"/>
      <c r="O3491" s="54"/>
      <c r="P3491"/>
      <c r="Q3491" s="25"/>
      <c r="R3491" s="54"/>
      <c r="W3491" s="23"/>
      <c r="X3491" s="23"/>
      <c r="Y3491" s="23"/>
      <c r="Z3491" s="43"/>
      <c r="AA3491" s="23"/>
      <c r="AB3491" s="23"/>
      <c r="AC3491" s="23"/>
      <c r="AD3491" s="23"/>
      <c r="AE3491" s="23"/>
      <c r="AF3491" s="23"/>
      <c r="AG3491" s="23"/>
      <c r="AH3491" s="23"/>
      <c r="AI3491" s="23"/>
    </row>
    <row r="3492" spans="2:35">
      <c r="B3492" s="42"/>
      <c r="C3492" s="49"/>
      <c r="E3492" s="49"/>
      <c r="G3492" s="43"/>
      <c r="H3492" s="44"/>
      <c r="L3492" s="42"/>
      <c r="M3492" s="42"/>
      <c r="N3492" s="25"/>
      <c r="O3492" s="54"/>
      <c r="P3492"/>
      <c r="Q3492" s="25"/>
      <c r="R3492" s="54"/>
      <c r="W3492" s="23"/>
      <c r="X3492" s="23"/>
      <c r="Y3492" s="23"/>
      <c r="Z3492" s="43"/>
      <c r="AA3492" s="23"/>
      <c r="AB3492" s="23"/>
      <c r="AC3492" s="23"/>
      <c r="AD3492" s="23"/>
      <c r="AE3492" s="23"/>
      <c r="AF3492" s="23"/>
      <c r="AG3492" s="23"/>
      <c r="AH3492" s="23"/>
      <c r="AI3492" s="23"/>
    </row>
    <row r="3493" spans="2:35">
      <c r="B3493" s="42"/>
      <c r="C3493" s="49"/>
      <c r="E3493" s="49"/>
      <c r="G3493" s="43"/>
      <c r="H3493" s="44"/>
      <c r="L3493" s="42"/>
      <c r="M3493" s="42"/>
      <c r="N3493" s="25"/>
      <c r="O3493" s="54"/>
      <c r="P3493"/>
      <c r="Q3493" s="25"/>
      <c r="R3493" s="54"/>
      <c r="W3493" s="23"/>
      <c r="X3493" s="23"/>
      <c r="Y3493" s="23"/>
      <c r="Z3493" s="43"/>
      <c r="AA3493" s="23"/>
      <c r="AB3493" s="23"/>
      <c r="AC3493" s="23"/>
      <c r="AD3493" s="23"/>
      <c r="AE3493" s="23"/>
      <c r="AF3493" s="23"/>
      <c r="AG3493" s="23"/>
      <c r="AH3493" s="23"/>
      <c r="AI3493" s="23"/>
    </row>
    <row r="3494" spans="2:35">
      <c r="B3494" s="42"/>
      <c r="C3494" s="49"/>
      <c r="E3494" s="49"/>
      <c r="G3494" s="43"/>
      <c r="H3494" s="44"/>
      <c r="L3494" s="42"/>
      <c r="M3494" s="42"/>
      <c r="N3494" s="25"/>
      <c r="O3494" s="54"/>
      <c r="P3494"/>
      <c r="Q3494" s="25"/>
      <c r="R3494" s="54"/>
      <c r="W3494" s="23"/>
      <c r="X3494" s="23"/>
      <c r="Y3494" s="23"/>
      <c r="Z3494" s="43"/>
      <c r="AA3494" s="23"/>
      <c r="AB3494" s="23"/>
      <c r="AC3494" s="23"/>
      <c r="AD3494" s="23"/>
      <c r="AE3494" s="23"/>
      <c r="AF3494" s="23"/>
      <c r="AG3494" s="23"/>
      <c r="AH3494" s="23"/>
      <c r="AI3494" s="23"/>
    </row>
    <row r="3495" spans="2:35">
      <c r="B3495" s="42"/>
      <c r="C3495" s="49"/>
      <c r="E3495" s="49"/>
      <c r="G3495" s="43"/>
      <c r="H3495" s="44"/>
      <c r="L3495" s="42"/>
      <c r="M3495" s="42"/>
      <c r="N3495" s="25"/>
      <c r="O3495" s="54"/>
      <c r="P3495"/>
      <c r="Q3495" s="25"/>
      <c r="R3495" s="54"/>
      <c r="W3495" s="23"/>
      <c r="X3495" s="23"/>
      <c r="Y3495" s="23"/>
      <c r="Z3495" s="43"/>
      <c r="AA3495" s="23"/>
      <c r="AB3495" s="23"/>
      <c r="AC3495" s="23"/>
      <c r="AD3495" s="23"/>
      <c r="AE3495" s="23"/>
      <c r="AF3495" s="23"/>
      <c r="AG3495" s="23"/>
      <c r="AH3495" s="23"/>
      <c r="AI3495" s="23"/>
    </row>
    <row r="3496" spans="2:35">
      <c r="B3496" s="42"/>
      <c r="C3496" s="49"/>
      <c r="E3496" s="49"/>
      <c r="G3496" s="43"/>
      <c r="H3496" s="44"/>
      <c r="L3496" s="42"/>
      <c r="M3496" s="42"/>
      <c r="N3496" s="25"/>
      <c r="O3496" s="54"/>
      <c r="P3496"/>
      <c r="Q3496" s="25"/>
      <c r="R3496" s="54"/>
      <c r="W3496" s="23"/>
      <c r="X3496" s="23"/>
      <c r="Y3496" s="23"/>
      <c r="Z3496" s="43"/>
      <c r="AA3496" s="23"/>
      <c r="AB3496" s="23"/>
      <c r="AC3496" s="23"/>
      <c r="AD3496" s="23"/>
      <c r="AE3496" s="23"/>
      <c r="AF3496" s="23"/>
      <c r="AG3496" s="23"/>
      <c r="AH3496" s="23"/>
      <c r="AI3496" s="23"/>
    </row>
    <row r="3497" spans="2:35">
      <c r="B3497" s="42"/>
      <c r="C3497" s="49"/>
      <c r="E3497" s="49"/>
      <c r="G3497" s="43"/>
      <c r="H3497" s="44"/>
      <c r="L3497" s="42"/>
      <c r="M3497" s="42"/>
      <c r="N3497" s="25"/>
      <c r="O3497" s="54"/>
      <c r="P3497"/>
      <c r="Q3497" s="25"/>
      <c r="R3497" s="54"/>
      <c r="W3497" s="23"/>
      <c r="X3497" s="23"/>
      <c r="Y3497" s="23"/>
      <c r="Z3497" s="43"/>
      <c r="AA3497" s="23"/>
      <c r="AB3497" s="23"/>
      <c r="AC3497" s="23"/>
      <c r="AD3497" s="23"/>
      <c r="AE3497" s="23"/>
      <c r="AF3497" s="23"/>
      <c r="AG3497" s="23"/>
      <c r="AH3497" s="23"/>
      <c r="AI3497" s="23"/>
    </row>
    <row r="3498" spans="2:35">
      <c r="B3498" s="42"/>
      <c r="C3498" s="49"/>
      <c r="E3498" s="49"/>
      <c r="G3498" s="43"/>
      <c r="H3498" s="44"/>
      <c r="L3498" s="42"/>
      <c r="M3498" s="42"/>
      <c r="N3498" s="25"/>
      <c r="O3498" s="54"/>
      <c r="P3498"/>
      <c r="Q3498" s="25"/>
      <c r="R3498" s="54"/>
      <c r="W3498" s="23"/>
      <c r="X3498" s="23"/>
      <c r="Y3498" s="23"/>
      <c r="Z3498" s="43"/>
      <c r="AA3498" s="23"/>
      <c r="AB3498" s="23"/>
      <c r="AC3498" s="23"/>
      <c r="AD3498" s="23"/>
      <c r="AE3498" s="23"/>
      <c r="AF3498" s="23"/>
      <c r="AG3498" s="23"/>
      <c r="AH3498" s="23"/>
      <c r="AI3498" s="23"/>
    </row>
    <row r="3499" spans="2:35">
      <c r="B3499" s="42"/>
      <c r="C3499" s="49"/>
      <c r="E3499" s="49"/>
      <c r="G3499" s="43"/>
      <c r="H3499" s="44"/>
      <c r="L3499" s="42"/>
      <c r="M3499" s="42"/>
      <c r="N3499" s="25"/>
      <c r="O3499" s="54"/>
      <c r="P3499"/>
      <c r="Q3499" s="25"/>
      <c r="R3499" s="54"/>
      <c r="W3499" s="23"/>
      <c r="X3499" s="23"/>
      <c r="Y3499" s="23"/>
      <c r="Z3499" s="43"/>
      <c r="AA3499" s="23"/>
      <c r="AB3499" s="23"/>
      <c r="AC3499" s="23"/>
      <c r="AD3499" s="23"/>
      <c r="AE3499" s="23"/>
      <c r="AF3499" s="23"/>
      <c r="AG3499" s="23"/>
      <c r="AH3499" s="23"/>
      <c r="AI3499" s="23"/>
    </row>
    <row r="3500" spans="2:35">
      <c r="B3500" s="42"/>
      <c r="C3500" s="49"/>
      <c r="E3500" s="49"/>
      <c r="G3500" s="43"/>
      <c r="H3500" s="44"/>
      <c r="L3500" s="42"/>
      <c r="M3500" s="42"/>
      <c r="N3500" s="25"/>
      <c r="O3500" s="54"/>
      <c r="P3500"/>
      <c r="Q3500" s="25"/>
      <c r="R3500" s="54"/>
      <c r="W3500" s="23"/>
      <c r="X3500" s="23"/>
      <c r="Y3500" s="23"/>
      <c r="Z3500" s="43"/>
      <c r="AA3500" s="23"/>
      <c r="AB3500" s="23"/>
      <c r="AC3500" s="23"/>
      <c r="AD3500" s="23"/>
      <c r="AE3500" s="23"/>
      <c r="AF3500" s="23"/>
      <c r="AG3500" s="23"/>
      <c r="AH3500" s="23"/>
      <c r="AI3500" s="23"/>
    </row>
    <row r="3501" spans="2:35">
      <c r="B3501" s="42"/>
      <c r="C3501" s="49"/>
      <c r="E3501" s="49"/>
      <c r="G3501" s="43"/>
      <c r="H3501" s="44"/>
      <c r="L3501" s="42"/>
      <c r="M3501" s="42"/>
      <c r="N3501" s="25"/>
      <c r="O3501" s="54"/>
      <c r="P3501"/>
      <c r="Q3501" s="25"/>
      <c r="R3501" s="54"/>
      <c r="W3501" s="23"/>
      <c r="X3501" s="23"/>
      <c r="Y3501" s="23"/>
      <c r="Z3501" s="43"/>
      <c r="AA3501" s="23"/>
      <c r="AB3501" s="23"/>
      <c r="AC3501" s="23"/>
      <c r="AD3501" s="23"/>
      <c r="AE3501" s="23"/>
      <c r="AF3501" s="23"/>
      <c r="AG3501" s="23"/>
      <c r="AH3501" s="23"/>
      <c r="AI3501" s="23"/>
    </row>
    <row r="3502" spans="2:35">
      <c r="B3502" s="42"/>
      <c r="C3502" s="49"/>
      <c r="E3502" s="49"/>
      <c r="G3502" s="43"/>
      <c r="H3502" s="44"/>
      <c r="L3502" s="42"/>
      <c r="M3502" s="42"/>
      <c r="N3502" s="25"/>
      <c r="O3502" s="54"/>
      <c r="P3502"/>
      <c r="Q3502" s="25"/>
      <c r="R3502" s="54"/>
      <c r="W3502" s="23"/>
      <c r="X3502" s="23"/>
      <c r="Y3502" s="23"/>
      <c r="Z3502" s="43"/>
      <c r="AA3502" s="23"/>
      <c r="AB3502" s="23"/>
      <c r="AC3502" s="23"/>
      <c r="AD3502" s="23"/>
      <c r="AE3502" s="23"/>
      <c r="AF3502" s="23"/>
      <c r="AG3502" s="23"/>
      <c r="AH3502" s="23"/>
      <c r="AI3502" s="23"/>
    </row>
    <row r="3503" spans="2:35">
      <c r="B3503" s="42"/>
      <c r="C3503" s="49"/>
      <c r="E3503" s="49"/>
      <c r="G3503" s="43"/>
      <c r="H3503" s="44"/>
      <c r="L3503" s="42"/>
      <c r="M3503" s="42"/>
      <c r="N3503" s="25"/>
      <c r="O3503" s="54"/>
      <c r="P3503"/>
      <c r="Q3503" s="25"/>
      <c r="R3503" s="54"/>
      <c r="W3503" s="23"/>
      <c r="X3503" s="23"/>
      <c r="Y3503" s="23"/>
      <c r="Z3503" s="43"/>
      <c r="AA3503" s="23"/>
      <c r="AB3503" s="23"/>
      <c r="AC3503" s="23"/>
      <c r="AD3503" s="23"/>
      <c r="AE3503" s="23"/>
      <c r="AF3503" s="23"/>
      <c r="AG3503" s="23"/>
      <c r="AH3503" s="23"/>
      <c r="AI3503" s="23"/>
    </row>
    <row r="3504" spans="2:35">
      <c r="B3504" s="42"/>
      <c r="C3504" s="49"/>
      <c r="E3504" s="49"/>
      <c r="G3504" s="43"/>
      <c r="H3504" s="44"/>
      <c r="L3504" s="42"/>
      <c r="M3504" s="42"/>
      <c r="N3504" s="25"/>
      <c r="O3504" s="54"/>
      <c r="P3504"/>
      <c r="Q3504" s="25"/>
      <c r="R3504" s="54"/>
      <c r="W3504" s="23"/>
      <c r="X3504" s="23"/>
      <c r="Y3504" s="23"/>
      <c r="Z3504" s="43"/>
      <c r="AA3504" s="23"/>
      <c r="AB3504" s="23"/>
      <c r="AC3504" s="23"/>
      <c r="AD3504" s="23"/>
      <c r="AE3504" s="23"/>
      <c r="AF3504" s="23"/>
      <c r="AG3504" s="23"/>
      <c r="AH3504" s="23"/>
      <c r="AI3504" s="23"/>
    </row>
    <row r="3505" spans="1:35">
      <c r="B3505" s="42"/>
      <c r="C3505" s="49"/>
      <c r="E3505" s="49"/>
      <c r="G3505" s="43"/>
      <c r="H3505" s="44"/>
      <c r="L3505" s="42"/>
      <c r="M3505" s="42"/>
      <c r="N3505" s="25"/>
      <c r="O3505" s="54"/>
      <c r="P3505"/>
      <c r="Q3505" s="25"/>
      <c r="R3505" s="54"/>
      <c r="W3505" s="23"/>
      <c r="X3505" s="23"/>
      <c r="Y3505" s="23"/>
      <c r="Z3505" s="43"/>
      <c r="AA3505" s="23"/>
      <c r="AB3505" s="23"/>
      <c r="AC3505" s="23"/>
      <c r="AD3505" s="23"/>
      <c r="AE3505" s="23"/>
      <c r="AF3505" s="23"/>
      <c r="AG3505" s="23"/>
      <c r="AH3505" s="23"/>
      <c r="AI3505" s="23"/>
    </row>
    <row r="3506" spans="1:35">
      <c r="B3506" s="42"/>
      <c r="C3506" s="49"/>
      <c r="E3506" s="49"/>
      <c r="G3506" s="43"/>
      <c r="H3506" s="44"/>
      <c r="L3506" s="42"/>
      <c r="M3506" s="42"/>
      <c r="N3506" s="25"/>
      <c r="O3506" s="54"/>
      <c r="P3506"/>
      <c r="Q3506" s="25"/>
      <c r="R3506" s="54"/>
      <c r="W3506" s="23"/>
      <c r="X3506" s="23"/>
      <c r="Y3506" s="23"/>
      <c r="Z3506" s="43"/>
      <c r="AA3506" s="23"/>
      <c r="AB3506" s="23"/>
      <c r="AC3506" s="23"/>
      <c r="AD3506" s="23"/>
      <c r="AE3506" s="23"/>
      <c r="AF3506" s="23"/>
      <c r="AG3506" s="23"/>
      <c r="AH3506" s="23"/>
      <c r="AI3506" s="23"/>
    </row>
    <row r="3507" spans="1:35">
      <c r="B3507" s="42"/>
      <c r="C3507" s="49"/>
      <c r="E3507" s="49"/>
      <c r="G3507" s="43"/>
      <c r="H3507" s="44"/>
      <c r="L3507" s="42"/>
      <c r="M3507" s="42"/>
      <c r="N3507" s="25"/>
      <c r="O3507" s="54"/>
      <c r="P3507"/>
      <c r="Q3507" s="25"/>
      <c r="R3507" s="54"/>
      <c r="W3507" s="23"/>
      <c r="X3507" s="23"/>
      <c r="Y3507" s="23"/>
      <c r="Z3507" s="43"/>
      <c r="AA3507" s="23"/>
      <c r="AB3507" s="23"/>
      <c r="AC3507" s="23"/>
      <c r="AD3507" s="23"/>
      <c r="AE3507" s="23"/>
      <c r="AF3507" s="23"/>
      <c r="AG3507" s="23"/>
      <c r="AH3507" s="23"/>
      <c r="AI3507" s="23"/>
    </row>
    <row r="3508" spans="1:35">
      <c r="B3508" s="42"/>
      <c r="C3508" s="49"/>
      <c r="E3508" s="49"/>
      <c r="G3508" s="43"/>
      <c r="H3508" s="44"/>
      <c r="L3508" s="42"/>
      <c r="M3508" s="42"/>
      <c r="N3508" s="25"/>
      <c r="O3508" s="54"/>
      <c r="P3508"/>
      <c r="Q3508" s="25"/>
      <c r="R3508" s="54"/>
      <c r="W3508" s="23"/>
      <c r="X3508" s="23"/>
      <c r="Y3508" s="23"/>
      <c r="Z3508" s="43"/>
      <c r="AA3508" s="23"/>
      <c r="AB3508" s="23"/>
      <c r="AC3508" s="23"/>
      <c r="AD3508" s="23"/>
      <c r="AE3508" s="23"/>
      <c r="AF3508" s="23"/>
      <c r="AG3508" s="23"/>
      <c r="AH3508" s="23"/>
      <c r="AI3508" s="23"/>
    </row>
    <row r="3509" spans="1:35">
      <c r="B3509" s="42"/>
      <c r="C3509" s="49"/>
      <c r="E3509" s="49"/>
      <c r="G3509" s="43"/>
      <c r="H3509" s="44"/>
      <c r="L3509" s="42"/>
      <c r="M3509" s="42"/>
      <c r="N3509" s="25"/>
      <c r="O3509" s="54"/>
      <c r="P3509"/>
      <c r="Q3509" s="25"/>
      <c r="R3509" s="54"/>
      <c r="W3509" s="23"/>
      <c r="X3509" s="23"/>
      <c r="Y3509" s="23"/>
      <c r="Z3509" s="43"/>
      <c r="AA3509" s="23"/>
      <c r="AB3509" s="23"/>
      <c r="AC3509" s="23"/>
      <c r="AD3509" s="23"/>
      <c r="AE3509" s="23"/>
      <c r="AF3509" s="23"/>
      <c r="AG3509" s="23"/>
      <c r="AH3509" s="23"/>
      <c r="AI3509" s="23"/>
    </row>
    <row r="3510" spans="1:35">
      <c r="B3510" s="42"/>
      <c r="C3510" s="49"/>
      <c r="E3510" s="49"/>
      <c r="G3510" s="43"/>
      <c r="H3510" s="44"/>
      <c r="L3510" s="42"/>
      <c r="M3510" s="42"/>
      <c r="N3510" s="25"/>
      <c r="O3510" s="54"/>
      <c r="P3510"/>
      <c r="Q3510" s="25"/>
      <c r="R3510" s="54"/>
      <c r="W3510" s="23"/>
      <c r="X3510" s="23"/>
      <c r="Y3510" s="23"/>
      <c r="Z3510" s="43"/>
      <c r="AA3510" s="23"/>
      <c r="AB3510" s="23"/>
      <c r="AC3510" s="23"/>
      <c r="AD3510" s="23"/>
      <c r="AE3510" s="23"/>
      <c r="AF3510" s="23"/>
      <c r="AG3510" s="23"/>
      <c r="AH3510" s="23"/>
      <c r="AI3510" s="23"/>
    </row>
    <row r="3511" spans="1:35">
      <c r="B3511" s="42"/>
      <c r="C3511" s="49"/>
      <c r="E3511" s="49"/>
      <c r="G3511" s="43"/>
      <c r="H3511" s="44"/>
      <c r="L3511" s="42"/>
      <c r="M3511" s="42"/>
      <c r="N3511" s="25"/>
      <c r="O3511" s="54"/>
      <c r="P3511"/>
      <c r="Q3511" s="25"/>
      <c r="R3511" s="54"/>
      <c r="W3511" s="23"/>
      <c r="X3511" s="23"/>
      <c r="Y3511" s="23"/>
      <c r="Z3511" s="43"/>
      <c r="AA3511" s="23"/>
      <c r="AB3511" s="23"/>
      <c r="AC3511" s="23"/>
      <c r="AD3511" s="23"/>
      <c r="AE3511" s="23"/>
      <c r="AF3511" s="23"/>
      <c r="AG3511" s="23"/>
      <c r="AH3511" s="23"/>
      <c r="AI3511" s="23"/>
    </row>
    <row r="3512" spans="1:35">
      <c r="B3512" s="42"/>
      <c r="C3512" s="49"/>
      <c r="E3512" s="49"/>
      <c r="G3512" s="43"/>
      <c r="H3512" s="44"/>
      <c r="L3512" s="42"/>
      <c r="M3512" s="42"/>
      <c r="N3512" s="25"/>
      <c r="O3512" s="54"/>
      <c r="P3512"/>
      <c r="Q3512" s="25"/>
      <c r="R3512" s="54"/>
      <c r="W3512" s="23"/>
      <c r="X3512" s="23"/>
      <c r="Y3512" s="23"/>
      <c r="Z3512" s="43"/>
      <c r="AA3512" s="23"/>
      <c r="AB3512" s="23"/>
      <c r="AC3512" s="23"/>
      <c r="AD3512" s="23"/>
      <c r="AE3512" s="23"/>
      <c r="AF3512" s="23"/>
      <c r="AG3512" s="23"/>
      <c r="AH3512" s="23"/>
      <c r="AI3512" s="23"/>
    </row>
    <row r="3513" spans="1:35">
      <c r="A3513" s="23"/>
      <c r="B3513" s="42"/>
      <c r="C3513" s="49"/>
      <c r="E3513" s="49"/>
      <c r="G3513" s="43"/>
      <c r="H3513" s="44"/>
      <c r="L3513" s="42"/>
      <c r="M3513" s="42"/>
      <c r="N3513" s="25"/>
      <c r="O3513" s="54"/>
      <c r="P3513"/>
      <c r="Q3513" s="25"/>
      <c r="R3513" s="54"/>
      <c r="W3513" s="23"/>
      <c r="X3513" s="23"/>
      <c r="Y3513" s="23"/>
      <c r="Z3513" s="43"/>
      <c r="AA3513" s="23"/>
      <c r="AB3513" s="23"/>
      <c r="AC3513" s="23"/>
      <c r="AD3513" s="23"/>
      <c r="AE3513" s="23"/>
      <c r="AF3513" s="23"/>
      <c r="AG3513" s="23"/>
      <c r="AH3513" s="23"/>
      <c r="AI3513" s="49"/>
    </row>
    <row r="3514" spans="1:35">
      <c r="A3514" s="23"/>
      <c r="B3514" s="42"/>
      <c r="C3514" s="49"/>
      <c r="E3514" s="49"/>
      <c r="G3514" s="43"/>
      <c r="H3514" s="44"/>
      <c r="L3514" s="42"/>
      <c r="M3514" s="42"/>
      <c r="N3514" s="25"/>
      <c r="O3514" s="54"/>
      <c r="P3514"/>
      <c r="Q3514" s="25"/>
      <c r="R3514" s="54"/>
      <c r="W3514" s="23"/>
      <c r="X3514" s="23"/>
      <c r="Y3514" s="23"/>
      <c r="Z3514" s="43"/>
      <c r="AA3514" s="23"/>
      <c r="AB3514" s="23"/>
      <c r="AC3514" s="23"/>
      <c r="AD3514" s="23"/>
      <c r="AE3514" s="23"/>
      <c r="AF3514" s="23"/>
      <c r="AG3514" s="23"/>
      <c r="AH3514" s="23"/>
      <c r="AI3514" s="49"/>
    </row>
    <row r="3515" spans="1:35">
      <c r="B3515" s="42"/>
      <c r="C3515" s="49"/>
      <c r="E3515" s="49"/>
      <c r="G3515" s="43"/>
      <c r="H3515" s="44"/>
      <c r="L3515" s="42"/>
      <c r="M3515" s="42"/>
      <c r="N3515" s="25"/>
      <c r="O3515" s="54"/>
      <c r="P3515"/>
      <c r="Q3515" s="25"/>
      <c r="R3515" s="54"/>
      <c r="W3515" s="23"/>
      <c r="X3515" s="23"/>
      <c r="Y3515" s="23"/>
      <c r="Z3515" s="43"/>
      <c r="AA3515" s="23"/>
      <c r="AB3515" s="23"/>
      <c r="AC3515" s="23"/>
      <c r="AD3515" s="23"/>
      <c r="AE3515" s="23"/>
      <c r="AF3515" s="23"/>
      <c r="AG3515" s="23"/>
      <c r="AH3515" s="23"/>
      <c r="AI3515" s="49"/>
    </row>
    <row r="3516" spans="1:35">
      <c r="A3516" s="23"/>
      <c r="B3516" s="42"/>
      <c r="C3516" s="49"/>
      <c r="E3516" s="49"/>
      <c r="G3516" s="43"/>
      <c r="H3516" s="44"/>
      <c r="L3516" s="42"/>
      <c r="M3516" s="42"/>
      <c r="N3516" s="25"/>
      <c r="O3516" s="54"/>
      <c r="P3516"/>
      <c r="Q3516" s="25"/>
      <c r="R3516" s="54"/>
      <c r="W3516" s="23"/>
      <c r="X3516" s="23"/>
      <c r="Y3516" s="23"/>
      <c r="Z3516" s="43"/>
      <c r="AA3516" s="23"/>
      <c r="AB3516" s="23"/>
      <c r="AC3516" s="23"/>
      <c r="AD3516" s="23"/>
      <c r="AE3516" s="23"/>
      <c r="AF3516" s="23"/>
      <c r="AG3516" s="23"/>
      <c r="AH3516" s="23"/>
      <c r="AI3516" s="49"/>
    </row>
    <row r="3517" spans="1:35">
      <c r="A3517" s="23"/>
      <c r="B3517" s="42"/>
      <c r="C3517" s="49"/>
      <c r="E3517" s="49"/>
      <c r="G3517" s="43"/>
      <c r="H3517" s="44"/>
      <c r="L3517" s="42"/>
      <c r="M3517" s="42"/>
      <c r="N3517" s="25"/>
      <c r="O3517" s="54"/>
      <c r="P3517"/>
      <c r="Q3517" s="25"/>
      <c r="R3517" s="54"/>
      <c r="W3517" s="23"/>
      <c r="X3517" s="23"/>
      <c r="Y3517" s="23"/>
      <c r="Z3517" s="43"/>
      <c r="AA3517" s="23"/>
      <c r="AB3517" s="23"/>
      <c r="AC3517" s="23"/>
      <c r="AD3517" s="23"/>
      <c r="AE3517" s="23"/>
      <c r="AF3517" s="23"/>
      <c r="AG3517" s="23"/>
      <c r="AH3517" s="23"/>
      <c r="AI3517" s="49"/>
    </row>
    <row r="3518" spans="1:35">
      <c r="A3518" s="23"/>
      <c r="B3518" s="42"/>
      <c r="C3518" s="49"/>
      <c r="E3518" s="49"/>
      <c r="G3518" s="43"/>
      <c r="H3518" s="44"/>
      <c r="L3518" s="42"/>
      <c r="M3518" s="42"/>
      <c r="N3518" s="25"/>
      <c r="O3518" s="54"/>
      <c r="P3518"/>
      <c r="Q3518" s="25"/>
      <c r="R3518" s="54"/>
      <c r="W3518" s="23"/>
      <c r="X3518" s="23"/>
      <c r="Y3518" s="23"/>
      <c r="Z3518" s="43"/>
      <c r="AA3518" s="23"/>
      <c r="AB3518" s="23"/>
      <c r="AC3518" s="23"/>
      <c r="AD3518" s="23"/>
      <c r="AE3518" s="23"/>
      <c r="AF3518" s="23"/>
      <c r="AG3518" s="23"/>
      <c r="AH3518" s="23"/>
      <c r="AI3518" s="49"/>
    </row>
    <row r="3519" spans="1:35">
      <c r="A3519" s="23"/>
      <c r="B3519" s="42"/>
      <c r="C3519" s="49"/>
      <c r="E3519" s="49"/>
      <c r="G3519" s="43"/>
      <c r="H3519" s="44"/>
      <c r="L3519" s="42"/>
      <c r="M3519" s="42"/>
      <c r="N3519" s="25"/>
      <c r="O3519" s="54"/>
      <c r="P3519"/>
      <c r="Q3519" s="25"/>
      <c r="R3519" s="54"/>
      <c r="W3519" s="23"/>
      <c r="X3519" s="23"/>
      <c r="Y3519" s="23"/>
      <c r="Z3519" s="43"/>
      <c r="AA3519" s="23"/>
      <c r="AB3519" s="23"/>
      <c r="AC3519" s="23"/>
      <c r="AD3519" s="23"/>
      <c r="AE3519" s="23"/>
      <c r="AF3519" s="23"/>
      <c r="AG3519" s="23"/>
      <c r="AH3519" s="23"/>
      <c r="AI3519" s="49"/>
    </row>
    <row r="3520" spans="1:35">
      <c r="A3520" s="23"/>
      <c r="B3520" s="42"/>
      <c r="C3520" s="49"/>
      <c r="E3520" s="49"/>
      <c r="G3520" s="43"/>
      <c r="H3520" s="44"/>
      <c r="L3520" s="42"/>
      <c r="M3520" s="42"/>
      <c r="N3520" s="25"/>
      <c r="O3520" s="54"/>
      <c r="P3520"/>
      <c r="Q3520" s="25"/>
      <c r="R3520" s="54"/>
      <c r="W3520" s="23"/>
      <c r="X3520" s="23"/>
      <c r="Y3520" s="23"/>
      <c r="Z3520" s="43"/>
      <c r="AA3520" s="23"/>
      <c r="AB3520" s="23"/>
      <c r="AC3520" s="23"/>
      <c r="AD3520" s="23"/>
      <c r="AE3520" s="23"/>
      <c r="AF3520" s="23"/>
      <c r="AG3520" s="23"/>
      <c r="AH3520" s="23"/>
      <c r="AI3520" s="49"/>
    </row>
    <row r="3521" spans="1:35">
      <c r="A3521" s="23"/>
      <c r="B3521" s="42"/>
      <c r="C3521" s="49"/>
      <c r="E3521" s="49"/>
      <c r="G3521" s="43"/>
      <c r="H3521" s="44"/>
      <c r="L3521" s="42"/>
      <c r="M3521" s="42"/>
      <c r="N3521" s="25"/>
      <c r="O3521" s="54"/>
      <c r="P3521"/>
      <c r="Q3521" s="25"/>
      <c r="R3521" s="54"/>
      <c r="W3521" s="23"/>
      <c r="X3521" s="23"/>
      <c r="Y3521" s="23"/>
      <c r="Z3521" s="43"/>
      <c r="AA3521" s="23"/>
      <c r="AB3521" s="23"/>
      <c r="AC3521" s="23"/>
      <c r="AD3521" s="23"/>
      <c r="AE3521" s="23"/>
      <c r="AF3521" s="23"/>
      <c r="AG3521" s="23"/>
      <c r="AH3521" s="23"/>
      <c r="AI3521" s="49"/>
    </row>
    <row r="3522" spans="1:35">
      <c r="A3522" s="23"/>
      <c r="B3522" s="42"/>
      <c r="C3522" s="49"/>
      <c r="E3522" s="49"/>
      <c r="G3522" s="43"/>
      <c r="H3522" s="44"/>
      <c r="L3522" s="42"/>
      <c r="M3522" s="42"/>
      <c r="N3522" s="25"/>
      <c r="O3522" s="54"/>
      <c r="P3522"/>
      <c r="Q3522" s="25"/>
      <c r="R3522" s="54"/>
      <c r="W3522" s="23"/>
      <c r="X3522" s="23"/>
      <c r="Y3522" s="23"/>
      <c r="Z3522" s="43"/>
      <c r="AA3522" s="23"/>
      <c r="AB3522" s="23"/>
      <c r="AC3522" s="23"/>
      <c r="AD3522" s="23"/>
      <c r="AE3522" s="23"/>
      <c r="AF3522" s="23"/>
      <c r="AG3522" s="23"/>
      <c r="AH3522" s="23"/>
      <c r="AI3522" s="49"/>
    </row>
    <row r="3523" spans="1:35">
      <c r="A3523" s="23"/>
      <c r="B3523" s="42"/>
      <c r="C3523" s="49"/>
      <c r="E3523" s="49"/>
      <c r="G3523" s="43"/>
      <c r="H3523" s="44"/>
      <c r="L3523" s="42"/>
      <c r="M3523" s="42"/>
      <c r="N3523" s="25"/>
      <c r="O3523" s="54"/>
      <c r="P3523"/>
      <c r="Q3523" s="25"/>
      <c r="R3523" s="54"/>
      <c r="W3523" s="23"/>
      <c r="X3523" s="23"/>
      <c r="Y3523" s="23"/>
      <c r="Z3523" s="43"/>
      <c r="AA3523" s="23"/>
      <c r="AB3523" s="23"/>
      <c r="AC3523" s="23"/>
      <c r="AD3523" s="23"/>
      <c r="AE3523" s="23"/>
      <c r="AF3523" s="23"/>
      <c r="AG3523" s="23"/>
      <c r="AH3523" s="23"/>
      <c r="AI3523" s="49"/>
    </row>
    <row r="3524" spans="1:35">
      <c r="A3524" s="23"/>
      <c r="B3524" s="42"/>
      <c r="C3524" s="49"/>
      <c r="E3524" s="49"/>
      <c r="G3524" s="43"/>
      <c r="H3524" s="44"/>
      <c r="L3524" s="42"/>
      <c r="M3524" s="42"/>
      <c r="N3524" s="25"/>
      <c r="O3524" s="54"/>
      <c r="P3524"/>
      <c r="Q3524" s="25"/>
      <c r="R3524" s="54"/>
      <c r="W3524" s="23"/>
      <c r="X3524" s="23"/>
      <c r="Y3524" s="23"/>
      <c r="Z3524" s="43"/>
      <c r="AA3524" s="23"/>
      <c r="AB3524" s="23"/>
      <c r="AC3524" s="23"/>
      <c r="AD3524" s="23"/>
      <c r="AE3524" s="23"/>
      <c r="AF3524" s="23"/>
      <c r="AG3524" s="23"/>
      <c r="AH3524" s="23"/>
      <c r="AI3524" s="49"/>
    </row>
    <row r="3525" spans="1:35">
      <c r="A3525" s="23"/>
      <c r="B3525" s="42"/>
      <c r="C3525" s="49"/>
      <c r="E3525" s="49"/>
      <c r="G3525" s="43"/>
      <c r="H3525" s="44"/>
      <c r="L3525" s="42"/>
      <c r="M3525" s="42"/>
      <c r="N3525" s="25"/>
      <c r="O3525" s="54"/>
      <c r="P3525"/>
      <c r="Q3525" s="25"/>
      <c r="R3525" s="54"/>
      <c r="W3525" s="23"/>
      <c r="X3525" s="23"/>
      <c r="Y3525" s="23"/>
      <c r="Z3525" s="43"/>
      <c r="AA3525" s="23"/>
      <c r="AB3525" s="23"/>
      <c r="AC3525" s="23"/>
      <c r="AD3525" s="23"/>
      <c r="AE3525" s="23"/>
      <c r="AF3525" s="23"/>
      <c r="AG3525" s="23"/>
      <c r="AH3525" s="23"/>
      <c r="AI3525" s="49"/>
    </row>
    <row r="3526" spans="1:35">
      <c r="A3526" s="23"/>
      <c r="B3526" s="42"/>
      <c r="C3526" s="49"/>
      <c r="E3526" s="49"/>
      <c r="G3526" s="43"/>
      <c r="H3526" s="44"/>
      <c r="L3526" s="42"/>
      <c r="M3526" s="42"/>
      <c r="N3526" s="25"/>
      <c r="O3526" s="54"/>
      <c r="P3526"/>
      <c r="Q3526" s="25"/>
      <c r="R3526" s="54"/>
      <c r="W3526" s="23"/>
      <c r="X3526" s="23"/>
      <c r="Y3526" s="23"/>
      <c r="Z3526" s="43"/>
      <c r="AA3526" s="23"/>
      <c r="AB3526" s="23"/>
      <c r="AC3526" s="23"/>
      <c r="AD3526" s="23"/>
      <c r="AE3526" s="23"/>
      <c r="AF3526" s="23"/>
      <c r="AG3526" s="23"/>
      <c r="AH3526" s="23"/>
      <c r="AI3526" s="49"/>
    </row>
    <row r="3527" spans="1:35">
      <c r="A3527" s="23"/>
      <c r="B3527" s="42"/>
      <c r="C3527" s="49"/>
      <c r="E3527" s="49"/>
      <c r="G3527" s="43"/>
      <c r="H3527" s="44"/>
      <c r="L3527" s="42"/>
      <c r="M3527" s="42"/>
      <c r="N3527" s="25"/>
      <c r="O3527" s="54"/>
      <c r="P3527"/>
      <c r="Q3527" s="25"/>
      <c r="R3527" s="54"/>
      <c r="W3527" s="23"/>
      <c r="X3527" s="23"/>
      <c r="Y3527" s="23"/>
      <c r="Z3527" s="43"/>
      <c r="AA3527" s="23"/>
      <c r="AB3527" s="23"/>
      <c r="AC3527" s="23"/>
      <c r="AD3527" s="23"/>
      <c r="AE3527" s="23"/>
      <c r="AF3527" s="23"/>
      <c r="AG3527" s="23"/>
      <c r="AH3527" s="23"/>
      <c r="AI3527" s="49"/>
    </row>
    <row r="3528" spans="1:35">
      <c r="A3528" s="23"/>
      <c r="B3528" s="42"/>
      <c r="C3528" s="49"/>
      <c r="E3528" s="49"/>
      <c r="G3528" s="43"/>
      <c r="H3528" s="44"/>
      <c r="L3528" s="42"/>
      <c r="M3528" s="42"/>
      <c r="N3528" s="25"/>
      <c r="O3528" s="54"/>
      <c r="P3528"/>
      <c r="Q3528" s="25"/>
      <c r="R3528" s="54"/>
      <c r="W3528" s="23"/>
      <c r="X3528" s="23"/>
      <c r="Y3528" s="23"/>
      <c r="Z3528" s="43"/>
      <c r="AA3528" s="23"/>
      <c r="AB3528" s="23"/>
      <c r="AC3528" s="23"/>
      <c r="AD3528" s="23"/>
      <c r="AE3528" s="23"/>
      <c r="AF3528" s="23"/>
      <c r="AG3528" s="23"/>
      <c r="AH3528" s="23"/>
      <c r="AI3528" s="49"/>
    </row>
    <row r="3529" spans="1:35">
      <c r="A3529" s="23"/>
      <c r="B3529" s="42"/>
      <c r="C3529" s="49"/>
      <c r="E3529" s="49"/>
      <c r="G3529" s="43"/>
      <c r="H3529" s="44"/>
      <c r="L3529" s="42"/>
      <c r="M3529" s="42"/>
      <c r="N3529" s="25"/>
      <c r="O3529" s="54"/>
      <c r="P3529"/>
      <c r="Q3529" s="25"/>
      <c r="R3529" s="54"/>
      <c r="W3529" s="23"/>
      <c r="X3529" s="23"/>
      <c r="Y3529" s="23"/>
      <c r="Z3529" s="43"/>
      <c r="AA3529" s="23"/>
      <c r="AB3529" s="23"/>
      <c r="AC3529" s="23"/>
      <c r="AD3529" s="23"/>
      <c r="AE3529" s="23"/>
      <c r="AF3529" s="23"/>
      <c r="AG3529" s="23"/>
      <c r="AH3529" s="23"/>
      <c r="AI3529" s="49"/>
    </row>
    <row r="3530" spans="1:35">
      <c r="A3530" s="23"/>
      <c r="B3530" s="42"/>
      <c r="C3530" s="49"/>
      <c r="E3530" s="49"/>
      <c r="G3530" s="43"/>
      <c r="H3530" s="44"/>
      <c r="L3530" s="42"/>
      <c r="M3530" s="42"/>
      <c r="N3530" s="25"/>
      <c r="O3530" s="54"/>
      <c r="P3530"/>
      <c r="Q3530" s="25"/>
      <c r="R3530" s="54"/>
      <c r="W3530" s="23"/>
      <c r="X3530" s="23"/>
      <c r="Y3530" s="23"/>
      <c r="Z3530" s="43"/>
      <c r="AA3530" s="23"/>
      <c r="AB3530" s="23"/>
      <c r="AC3530" s="23"/>
      <c r="AD3530" s="23"/>
      <c r="AE3530" s="23"/>
      <c r="AF3530" s="23"/>
      <c r="AG3530" s="23"/>
      <c r="AH3530" s="23"/>
      <c r="AI3530" s="49"/>
    </row>
    <row r="3531" spans="1:35">
      <c r="A3531" s="23"/>
      <c r="B3531" s="42"/>
      <c r="C3531" s="49"/>
      <c r="E3531" s="49"/>
      <c r="G3531" s="43"/>
      <c r="H3531" s="44"/>
      <c r="L3531" s="42"/>
      <c r="M3531" s="42"/>
      <c r="N3531" s="25"/>
      <c r="O3531" s="54"/>
      <c r="P3531"/>
      <c r="Q3531" s="25"/>
      <c r="R3531" s="54"/>
      <c r="W3531" s="23"/>
      <c r="X3531" s="23"/>
      <c r="Y3531" s="23"/>
      <c r="Z3531" s="43"/>
      <c r="AA3531" s="23"/>
      <c r="AB3531" s="23"/>
      <c r="AC3531" s="23"/>
      <c r="AD3531" s="23"/>
      <c r="AE3531" s="23"/>
      <c r="AF3531" s="23"/>
      <c r="AG3531" s="23"/>
      <c r="AH3531" s="23"/>
      <c r="AI3531" s="49"/>
    </row>
    <row r="3532" spans="1:35">
      <c r="A3532" s="23"/>
      <c r="B3532" s="42"/>
      <c r="C3532" s="49"/>
      <c r="E3532" s="49"/>
      <c r="G3532" s="43"/>
      <c r="H3532" s="44"/>
      <c r="L3532" s="42"/>
      <c r="M3532" s="42"/>
      <c r="N3532" s="25"/>
      <c r="O3532" s="54"/>
      <c r="P3532"/>
      <c r="Q3532" s="25"/>
      <c r="R3532" s="54"/>
      <c r="W3532" s="23"/>
      <c r="X3532" s="23"/>
      <c r="Y3532" s="23"/>
      <c r="Z3532" s="43"/>
      <c r="AA3532" s="23"/>
      <c r="AB3532" s="23"/>
      <c r="AC3532" s="23"/>
      <c r="AD3532" s="23"/>
      <c r="AE3532" s="23"/>
      <c r="AF3532" s="23"/>
      <c r="AG3532" s="23"/>
      <c r="AH3532" s="23"/>
      <c r="AI3532" s="49"/>
    </row>
    <row r="3533" spans="1:35">
      <c r="A3533" s="23"/>
      <c r="B3533" s="42"/>
      <c r="C3533" s="49"/>
      <c r="E3533" s="49"/>
      <c r="G3533" s="43"/>
      <c r="H3533" s="44"/>
      <c r="L3533" s="42"/>
      <c r="M3533" s="42"/>
      <c r="N3533" s="25"/>
      <c r="O3533" s="54"/>
      <c r="P3533"/>
      <c r="Q3533" s="25"/>
      <c r="R3533" s="54"/>
      <c r="W3533" s="23"/>
      <c r="X3533" s="23"/>
      <c r="Y3533" s="23"/>
      <c r="Z3533" s="43"/>
      <c r="AA3533" s="23"/>
      <c r="AB3533" s="23"/>
      <c r="AC3533" s="23"/>
      <c r="AD3533" s="23"/>
      <c r="AE3533" s="23"/>
      <c r="AF3533" s="23"/>
      <c r="AG3533" s="23"/>
      <c r="AH3533" s="23"/>
      <c r="AI3533" s="49"/>
    </row>
    <row r="3534" spans="1:35">
      <c r="A3534" s="23"/>
      <c r="B3534" s="42"/>
      <c r="C3534" s="49"/>
      <c r="E3534" s="49"/>
      <c r="G3534" s="43"/>
      <c r="H3534" s="44"/>
      <c r="L3534" s="42"/>
      <c r="M3534" s="42"/>
      <c r="N3534" s="25"/>
      <c r="O3534" s="54"/>
      <c r="P3534"/>
      <c r="Q3534" s="25"/>
      <c r="R3534" s="54"/>
      <c r="W3534" s="23"/>
      <c r="X3534" s="23"/>
      <c r="Y3534" s="23"/>
      <c r="Z3534" s="43"/>
      <c r="AA3534" s="23"/>
      <c r="AB3534" s="23"/>
      <c r="AC3534" s="23"/>
      <c r="AD3534" s="23"/>
      <c r="AE3534" s="23"/>
      <c r="AF3534" s="23"/>
      <c r="AG3534" s="23"/>
      <c r="AH3534" s="23"/>
      <c r="AI3534" s="49"/>
    </row>
    <row r="3535" spans="1:35">
      <c r="A3535" s="23"/>
      <c r="B3535" s="42"/>
      <c r="C3535" s="49"/>
      <c r="E3535" s="49"/>
      <c r="G3535" s="43"/>
      <c r="H3535" s="44"/>
      <c r="L3535" s="42"/>
      <c r="M3535" s="42"/>
      <c r="N3535" s="25"/>
      <c r="O3535" s="54"/>
      <c r="P3535"/>
      <c r="Q3535" s="25"/>
      <c r="R3535" s="54"/>
      <c r="W3535" s="23"/>
      <c r="X3535" s="23"/>
      <c r="Y3535" s="23"/>
      <c r="Z3535" s="43"/>
      <c r="AA3535" s="23"/>
      <c r="AB3535" s="23"/>
      <c r="AC3535" s="23"/>
      <c r="AD3535" s="23"/>
      <c r="AE3535" s="23"/>
      <c r="AF3535" s="23"/>
      <c r="AG3535" s="23"/>
      <c r="AH3535" s="23"/>
      <c r="AI3535" s="49"/>
    </row>
    <row r="3536" spans="1:35">
      <c r="A3536" s="23"/>
      <c r="B3536" s="42"/>
      <c r="C3536" s="49"/>
      <c r="E3536" s="49"/>
      <c r="G3536" s="43"/>
      <c r="H3536" s="44"/>
      <c r="L3536" s="42"/>
      <c r="M3536" s="42"/>
      <c r="N3536" s="25"/>
      <c r="O3536" s="54"/>
      <c r="P3536"/>
      <c r="Q3536" s="25"/>
      <c r="R3536" s="54"/>
      <c r="W3536" s="23"/>
      <c r="X3536" s="23"/>
      <c r="Y3536" s="23"/>
      <c r="Z3536" s="43"/>
      <c r="AA3536" s="23"/>
      <c r="AB3536" s="23"/>
      <c r="AC3536" s="23"/>
      <c r="AD3536" s="23"/>
      <c r="AE3536" s="23"/>
      <c r="AF3536" s="23"/>
      <c r="AG3536" s="23"/>
      <c r="AH3536" s="23"/>
      <c r="AI3536" s="49"/>
    </row>
    <row r="3537" spans="1:35">
      <c r="A3537" s="23"/>
      <c r="B3537" s="42"/>
      <c r="C3537" s="49"/>
      <c r="E3537" s="49"/>
      <c r="G3537" s="43"/>
      <c r="H3537" s="44"/>
      <c r="L3537" s="42"/>
      <c r="M3537" s="42"/>
      <c r="N3537" s="25"/>
      <c r="O3537" s="54"/>
      <c r="P3537"/>
      <c r="Q3537" s="25"/>
      <c r="R3537" s="54"/>
      <c r="W3537" s="23"/>
      <c r="X3537" s="23"/>
      <c r="Y3537" s="23"/>
      <c r="Z3537" s="43"/>
      <c r="AA3537" s="23"/>
      <c r="AB3537" s="23"/>
      <c r="AC3537" s="23"/>
      <c r="AD3537" s="23"/>
      <c r="AE3537" s="23"/>
      <c r="AF3537" s="23"/>
      <c r="AG3537" s="23"/>
      <c r="AH3537" s="23"/>
      <c r="AI3537" s="49"/>
    </row>
    <row r="3538" spans="1:35">
      <c r="A3538" s="23"/>
      <c r="B3538" s="42"/>
      <c r="C3538" s="49"/>
      <c r="E3538" s="49"/>
      <c r="G3538" s="43"/>
      <c r="H3538" s="44"/>
      <c r="L3538" s="42"/>
      <c r="M3538" s="42"/>
      <c r="N3538" s="25"/>
      <c r="O3538" s="54"/>
      <c r="P3538"/>
      <c r="Q3538" s="25"/>
      <c r="R3538" s="54"/>
      <c r="W3538" s="23"/>
      <c r="X3538" s="23"/>
      <c r="Y3538" s="23"/>
      <c r="Z3538" s="43"/>
      <c r="AA3538" s="23"/>
      <c r="AB3538" s="23"/>
      <c r="AC3538" s="23"/>
      <c r="AD3538" s="23"/>
      <c r="AE3538" s="23"/>
      <c r="AF3538" s="23"/>
      <c r="AG3538" s="23"/>
      <c r="AH3538" s="23"/>
      <c r="AI3538" s="49"/>
    </row>
    <row r="3539" spans="1:35">
      <c r="A3539" s="23"/>
      <c r="B3539" s="42"/>
      <c r="C3539" s="49"/>
      <c r="E3539" s="49"/>
      <c r="G3539" s="43"/>
      <c r="H3539" s="44"/>
      <c r="L3539" s="42"/>
      <c r="M3539" s="42"/>
      <c r="N3539" s="25"/>
      <c r="O3539" s="54"/>
      <c r="P3539"/>
      <c r="Q3539" s="25"/>
      <c r="R3539" s="54"/>
      <c r="W3539" s="23"/>
      <c r="X3539" s="23"/>
      <c r="Y3539" s="23"/>
      <c r="Z3539" s="43"/>
      <c r="AA3539" s="23"/>
      <c r="AB3539" s="23"/>
      <c r="AC3539" s="23"/>
      <c r="AD3539" s="23"/>
      <c r="AE3539" s="23"/>
      <c r="AF3539" s="23"/>
      <c r="AG3539" s="23"/>
      <c r="AH3539" s="23"/>
      <c r="AI3539" s="49"/>
    </row>
    <row r="3540" spans="1:35">
      <c r="A3540" s="23"/>
      <c r="B3540" s="42"/>
      <c r="C3540" s="49"/>
      <c r="E3540" s="49"/>
      <c r="G3540" s="43"/>
      <c r="H3540" s="44"/>
      <c r="L3540" s="42"/>
      <c r="M3540" s="42"/>
      <c r="N3540" s="25"/>
      <c r="O3540" s="54"/>
      <c r="P3540"/>
      <c r="Q3540" s="25"/>
      <c r="R3540" s="54"/>
      <c r="W3540" s="23"/>
      <c r="X3540" s="23"/>
      <c r="Y3540" s="23"/>
      <c r="Z3540" s="43"/>
      <c r="AA3540" s="23"/>
      <c r="AB3540" s="23"/>
      <c r="AC3540" s="23"/>
      <c r="AD3540" s="23"/>
      <c r="AE3540" s="23"/>
      <c r="AF3540" s="23"/>
      <c r="AG3540" s="23"/>
      <c r="AH3540" s="23"/>
      <c r="AI3540" s="49"/>
    </row>
    <row r="3541" spans="1:35">
      <c r="A3541" s="23"/>
      <c r="B3541" s="42"/>
      <c r="C3541" s="49"/>
      <c r="E3541" s="49"/>
      <c r="G3541" s="43"/>
      <c r="H3541" s="44"/>
      <c r="L3541" s="42"/>
      <c r="M3541" s="42"/>
      <c r="N3541" s="25"/>
      <c r="O3541" s="54"/>
      <c r="P3541"/>
      <c r="Q3541" s="25"/>
      <c r="R3541" s="54"/>
      <c r="W3541" s="23"/>
      <c r="X3541" s="23"/>
      <c r="Y3541" s="23"/>
      <c r="Z3541" s="43"/>
      <c r="AA3541" s="23"/>
      <c r="AB3541" s="23"/>
      <c r="AC3541" s="23"/>
      <c r="AD3541" s="23"/>
      <c r="AE3541" s="23"/>
      <c r="AF3541" s="23"/>
      <c r="AG3541" s="23"/>
      <c r="AH3541" s="23"/>
      <c r="AI3541" s="49"/>
    </row>
    <row r="3542" spans="1:35">
      <c r="A3542" s="23"/>
      <c r="B3542" s="42"/>
      <c r="C3542" s="49"/>
      <c r="E3542" s="49"/>
      <c r="G3542" s="43"/>
      <c r="H3542" s="44"/>
      <c r="L3542" s="42"/>
      <c r="M3542" s="42"/>
      <c r="N3542" s="25"/>
      <c r="O3542" s="54"/>
      <c r="P3542"/>
      <c r="Q3542" s="25"/>
      <c r="R3542" s="54"/>
      <c r="W3542" s="23"/>
      <c r="X3542" s="23"/>
      <c r="Y3542" s="23"/>
      <c r="Z3542" s="43"/>
      <c r="AA3542" s="23"/>
      <c r="AB3542" s="23"/>
      <c r="AC3542" s="23"/>
      <c r="AD3542" s="23"/>
      <c r="AE3542" s="23"/>
      <c r="AF3542" s="23"/>
      <c r="AG3542" s="23"/>
      <c r="AH3542" s="23"/>
      <c r="AI3542" s="49"/>
    </row>
    <row r="3543" spans="1:35">
      <c r="A3543" s="23"/>
      <c r="B3543" s="42"/>
      <c r="C3543" s="49"/>
      <c r="E3543" s="49"/>
      <c r="G3543" s="43"/>
      <c r="H3543" s="44"/>
      <c r="L3543" s="42"/>
      <c r="M3543" s="42"/>
      <c r="N3543" s="25"/>
      <c r="O3543" s="54"/>
      <c r="P3543"/>
      <c r="Q3543" s="25"/>
      <c r="R3543" s="54"/>
      <c r="W3543" s="23"/>
      <c r="X3543" s="23"/>
      <c r="Y3543" s="23"/>
      <c r="Z3543" s="43"/>
      <c r="AA3543" s="23"/>
      <c r="AB3543" s="23"/>
      <c r="AC3543" s="23"/>
      <c r="AD3543" s="23"/>
      <c r="AE3543" s="23"/>
      <c r="AF3543" s="23"/>
      <c r="AG3543" s="23"/>
      <c r="AH3543" s="23"/>
      <c r="AI3543" s="49"/>
    </row>
    <row r="3544" spans="1:35">
      <c r="A3544" s="23"/>
      <c r="B3544" s="42"/>
      <c r="C3544" s="49"/>
      <c r="E3544" s="49"/>
      <c r="G3544" s="43"/>
      <c r="H3544" s="44"/>
      <c r="L3544" s="42"/>
      <c r="M3544" s="42"/>
      <c r="N3544" s="25"/>
      <c r="O3544" s="54"/>
      <c r="P3544"/>
      <c r="Q3544" s="25"/>
      <c r="R3544" s="54"/>
      <c r="W3544" s="23"/>
      <c r="X3544" s="23"/>
      <c r="Y3544" s="23"/>
      <c r="Z3544" s="43"/>
      <c r="AA3544" s="23"/>
      <c r="AB3544" s="23"/>
      <c r="AC3544" s="23"/>
      <c r="AD3544" s="23"/>
      <c r="AE3544" s="23"/>
      <c r="AF3544" s="23"/>
      <c r="AG3544" s="23"/>
      <c r="AH3544" s="23"/>
      <c r="AI3544" s="49"/>
    </row>
    <row r="3545" spans="1:35">
      <c r="A3545" s="23"/>
      <c r="B3545" s="42"/>
      <c r="C3545" s="49"/>
      <c r="E3545" s="49"/>
      <c r="G3545" s="43"/>
      <c r="H3545" s="44"/>
      <c r="L3545" s="42"/>
      <c r="M3545" s="42"/>
      <c r="N3545" s="25"/>
      <c r="O3545" s="54"/>
      <c r="P3545"/>
      <c r="Q3545" s="25"/>
      <c r="R3545" s="54"/>
      <c r="W3545" s="23"/>
      <c r="X3545" s="23"/>
      <c r="Y3545" s="23"/>
      <c r="Z3545" s="43"/>
      <c r="AA3545" s="23"/>
      <c r="AB3545" s="23"/>
      <c r="AC3545" s="23"/>
      <c r="AD3545" s="23"/>
      <c r="AE3545" s="23"/>
      <c r="AF3545" s="23"/>
      <c r="AG3545" s="23"/>
      <c r="AH3545" s="23"/>
      <c r="AI3545" s="49"/>
    </row>
    <row r="3546" spans="1:35">
      <c r="A3546" s="23"/>
      <c r="B3546" s="42"/>
      <c r="C3546" s="49"/>
      <c r="E3546" s="49"/>
      <c r="G3546" s="43"/>
      <c r="H3546" s="44"/>
      <c r="L3546" s="42"/>
      <c r="M3546" s="42"/>
      <c r="N3546" s="25"/>
      <c r="O3546" s="54"/>
      <c r="P3546"/>
      <c r="Q3546" s="25"/>
      <c r="R3546" s="54"/>
      <c r="W3546" s="23"/>
      <c r="X3546" s="23"/>
      <c r="Y3546" s="23"/>
      <c r="Z3546" s="43"/>
      <c r="AA3546" s="23"/>
      <c r="AB3546" s="23"/>
      <c r="AC3546" s="23"/>
      <c r="AD3546" s="23"/>
      <c r="AE3546" s="23"/>
      <c r="AF3546" s="23"/>
      <c r="AG3546" s="23"/>
      <c r="AH3546" s="23"/>
      <c r="AI3546" s="49"/>
    </row>
    <row r="3547" spans="1:35">
      <c r="A3547" s="23"/>
      <c r="B3547" s="42"/>
      <c r="C3547" s="49"/>
      <c r="E3547" s="49"/>
      <c r="G3547" s="43"/>
      <c r="H3547" s="44"/>
      <c r="L3547" s="42"/>
      <c r="M3547" s="42"/>
      <c r="N3547" s="25"/>
      <c r="O3547" s="54"/>
      <c r="P3547"/>
      <c r="Q3547" s="25"/>
      <c r="R3547" s="54"/>
      <c r="W3547" s="23"/>
      <c r="X3547" s="23"/>
      <c r="Y3547" s="23"/>
      <c r="Z3547" s="43"/>
      <c r="AA3547" s="23"/>
      <c r="AB3547" s="23"/>
      <c r="AC3547" s="23"/>
      <c r="AD3547" s="23"/>
      <c r="AE3547" s="23"/>
      <c r="AF3547" s="23"/>
      <c r="AG3547" s="23"/>
      <c r="AH3547" s="23"/>
      <c r="AI3547" s="49"/>
    </row>
    <row r="3548" spans="1:35">
      <c r="A3548" s="23"/>
      <c r="B3548" s="42"/>
      <c r="C3548" s="49"/>
      <c r="E3548" s="49"/>
      <c r="G3548" s="43"/>
      <c r="H3548" s="44"/>
      <c r="L3548" s="42"/>
      <c r="M3548" s="42"/>
      <c r="N3548" s="25"/>
      <c r="O3548" s="54"/>
      <c r="P3548"/>
      <c r="Q3548" s="25"/>
      <c r="R3548" s="54"/>
      <c r="W3548" s="23"/>
      <c r="X3548" s="23"/>
      <c r="Y3548" s="23"/>
      <c r="Z3548" s="43"/>
      <c r="AA3548" s="23"/>
      <c r="AB3548" s="23"/>
      <c r="AC3548" s="23"/>
      <c r="AD3548" s="23"/>
      <c r="AE3548" s="23"/>
      <c r="AF3548" s="23"/>
      <c r="AG3548" s="23"/>
      <c r="AH3548" s="23"/>
      <c r="AI3548" s="49"/>
    </row>
    <row r="3549" spans="1:35">
      <c r="A3549" s="23"/>
      <c r="B3549" s="42"/>
      <c r="C3549" s="49"/>
      <c r="E3549" s="49"/>
      <c r="G3549" s="43"/>
      <c r="H3549" s="44"/>
      <c r="L3549" s="42"/>
      <c r="M3549" s="42"/>
      <c r="N3549" s="25"/>
      <c r="O3549" s="54"/>
      <c r="P3549"/>
      <c r="Q3549" s="25"/>
      <c r="R3549" s="54"/>
      <c r="W3549" s="23"/>
      <c r="X3549" s="23"/>
      <c r="Y3549" s="23"/>
      <c r="Z3549" s="43"/>
      <c r="AA3549" s="23"/>
      <c r="AB3549" s="23"/>
      <c r="AC3549" s="23"/>
      <c r="AD3549" s="23"/>
      <c r="AE3549" s="23"/>
      <c r="AF3549" s="23"/>
      <c r="AG3549" s="23"/>
      <c r="AH3549" s="23"/>
      <c r="AI3549" s="49"/>
    </row>
    <row r="3550" spans="1:35">
      <c r="A3550" s="23"/>
      <c r="B3550" s="42"/>
      <c r="C3550" s="49"/>
      <c r="E3550" s="49"/>
      <c r="G3550" s="43"/>
      <c r="H3550" s="44"/>
      <c r="L3550" s="42"/>
      <c r="M3550" s="42"/>
      <c r="N3550" s="25"/>
      <c r="O3550" s="54"/>
      <c r="P3550"/>
      <c r="Q3550" s="25"/>
      <c r="R3550" s="54"/>
      <c r="W3550" s="23"/>
      <c r="X3550" s="23"/>
      <c r="Y3550" s="23"/>
      <c r="Z3550" s="43"/>
      <c r="AA3550" s="23"/>
      <c r="AB3550" s="23"/>
      <c r="AC3550" s="23"/>
      <c r="AD3550" s="23"/>
      <c r="AE3550" s="23"/>
      <c r="AF3550" s="23"/>
      <c r="AG3550" s="23"/>
      <c r="AH3550" s="23"/>
      <c r="AI3550" s="49"/>
    </row>
    <row r="3551" spans="1:35">
      <c r="A3551" s="23"/>
      <c r="B3551" s="42"/>
      <c r="C3551" s="49"/>
      <c r="E3551" s="49"/>
      <c r="G3551" s="43"/>
      <c r="H3551" s="44"/>
      <c r="L3551" s="42"/>
      <c r="M3551" s="42"/>
      <c r="N3551" s="25"/>
      <c r="O3551" s="54"/>
      <c r="P3551"/>
      <c r="Q3551" s="25"/>
      <c r="R3551" s="54"/>
      <c r="W3551" s="23"/>
      <c r="X3551" s="23"/>
      <c r="Y3551" s="23"/>
      <c r="Z3551" s="43"/>
      <c r="AA3551" s="23"/>
      <c r="AB3551" s="23"/>
      <c r="AC3551" s="23"/>
      <c r="AD3551" s="23"/>
      <c r="AE3551" s="23"/>
      <c r="AF3551" s="23"/>
      <c r="AG3551" s="23"/>
      <c r="AH3551" s="23"/>
      <c r="AI3551" s="49"/>
    </row>
    <row r="3552" spans="1:35">
      <c r="A3552" s="23"/>
      <c r="B3552" s="42"/>
      <c r="C3552" s="49"/>
      <c r="E3552" s="49"/>
      <c r="G3552" s="43"/>
      <c r="H3552" s="44"/>
      <c r="L3552" s="42"/>
      <c r="M3552" s="42"/>
      <c r="N3552" s="25"/>
      <c r="O3552" s="54"/>
      <c r="P3552"/>
      <c r="Q3552" s="25"/>
      <c r="R3552" s="54"/>
      <c r="W3552" s="23"/>
      <c r="X3552" s="23"/>
      <c r="Y3552" s="23"/>
      <c r="Z3552" s="43"/>
      <c r="AA3552" s="23"/>
      <c r="AB3552" s="23"/>
      <c r="AC3552" s="23"/>
      <c r="AD3552" s="23"/>
      <c r="AE3552" s="23"/>
      <c r="AF3552" s="23"/>
      <c r="AG3552" s="23"/>
      <c r="AH3552" s="23"/>
      <c r="AI3552" s="49"/>
    </row>
    <row r="3553" spans="1:35">
      <c r="A3553" s="23"/>
      <c r="B3553" s="42"/>
      <c r="C3553" s="49"/>
      <c r="E3553" s="49"/>
      <c r="G3553" s="43"/>
      <c r="H3553" s="44"/>
      <c r="L3553" s="42"/>
      <c r="M3553" s="42"/>
      <c r="N3553" s="25"/>
      <c r="O3553" s="54"/>
      <c r="P3553"/>
      <c r="Q3553" s="25"/>
      <c r="R3553" s="54"/>
      <c r="W3553" s="23"/>
      <c r="X3553" s="23"/>
      <c r="Y3553" s="23"/>
      <c r="Z3553" s="43"/>
      <c r="AA3553" s="23"/>
      <c r="AB3553" s="23"/>
      <c r="AC3553" s="23"/>
      <c r="AD3553" s="23"/>
      <c r="AE3553" s="23"/>
      <c r="AF3553" s="23"/>
      <c r="AG3553" s="23"/>
      <c r="AH3553" s="23"/>
      <c r="AI3553" s="49"/>
    </row>
    <row r="3554" spans="1:35">
      <c r="A3554" s="23"/>
      <c r="B3554" s="42"/>
      <c r="C3554" s="49"/>
      <c r="E3554" s="49"/>
      <c r="G3554" s="43"/>
      <c r="H3554" s="44"/>
      <c r="L3554" s="42"/>
      <c r="M3554" s="42"/>
      <c r="N3554" s="25"/>
      <c r="O3554" s="54"/>
      <c r="P3554"/>
      <c r="Q3554" s="25"/>
      <c r="R3554" s="54"/>
      <c r="W3554" s="23"/>
      <c r="X3554" s="23"/>
      <c r="Y3554" s="23"/>
      <c r="Z3554" s="43"/>
      <c r="AA3554" s="23"/>
      <c r="AB3554" s="23"/>
      <c r="AC3554" s="23"/>
      <c r="AD3554" s="23"/>
      <c r="AE3554" s="23"/>
      <c r="AF3554" s="23"/>
      <c r="AG3554" s="23"/>
      <c r="AH3554" s="23"/>
      <c r="AI3554" s="49"/>
    </row>
    <row r="3555" spans="1:35">
      <c r="A3555" s="23"/>
      <c r="B3555" s="42"/>
      <c r="C3555" s="49"/>
      <c r="E3555" s="49"/>
      <c r="G3555" s="43"/>
      <c r="H3555" s="44"/>
      <c r="L3555" s="42"/>
      <c r="M3555" s="42"/>
      <c r="N3555" s="25"/>
      <c r="O3555" s="54"/>
      <c r="P3555"/>
      <c r="Q3555" s="25"/>
      <c r="R3555" s="54"/>
      <c r="W3555" s="23"/>
      <c r="X3555" s="23"/>
      <c r="Y3555" s="23"/>
      <c r="Z3555" s="43"/>
      <c r="AA3555" s="23"/>
      <c r="AB3555" s="23"/>
      <c r="AC3555" s="23"/>
      <c r="AD3555" s="23"/>
      <c r="AE3555" s="23"/>
      <c r="AF3555" s="23"/>
      <c r="AG3555" s="23"/>
      <c r="AH3555" s="23"/>
      <c r="AI3555" s="49"/>
    </row>
    <row r="3556" spans="1:35">
      <c r="A3556" s="23"/>
      <c r="B3556" s="42"/>
      <c r="C3556" s="49"/>
      <c r="E3556" s="49"/>
      <c r="G3556" s="43"/>
      <c r="H3556" s="44"/>
      <c r="L3556" s="42"/>
      <c r="M3556" s="42"/>
      <c r="N3556" s="25"/>
      <c r="O3556" s="54"/>
      <c r="P3556"/>
      <c r="Q3556" s="25"/>
      <c r="R3556" s="54"/>
      <c r="W3556" s="23"/>
      <c r="X3556" s="23"/>
      <c r="Y3556" s="23"/>
      <c r="Z3556" s="43"/>
      <c r="AA3556" s="23"/>
      <c r="AB3556" s="23"/>
      <c r="AC3556" s="23"/>
      <c r="AD3556" s="23"/>
      <c r="AE3556" s="23"/>
      <c r="AF3556" s="23"/>
      <c r="AG3556" s="23"/>
      <c r="AH3556" s="23"/>
      <c r="AI3556" s="49"/>
    </row>
    <row r="3557" spans="1:35">
      <c r="A3557" s="23"/>
      <c r="B3557" s="42"/>
      <c r="C3557" s="49"/>
      <c r="E3557" s="49"/>
      <c r="G3557" s="43"/>
      <c r="H3557" s="44"/>
      <c r="L3557" s="42"/>
      <c r="M3557" s="42"/>
      <c r="N3557" s="25"/>
      <c r="O3557" s="54"/>
      <c r="P3557"/>
      <c r="Q3557" s="25"/>
      <c r="R3557" s="54"/>
      <c r="W3557" s="23"/>
      <c r="X3557" s="23"/>
      <c r="Y3557" s="23"/>
      <c r="Z3557" s="43"/>
      <c r="AA3557" s="23"/>
      <c r="AB3557" s="23"/>
      <c r="AC3557" s="23"/>
      <c r="AD3557" s="23"/>
      <c r="AE3557" s="23"/>
      <c r="AF3557" s="23"/>
      <c r="AG3557" s="23"/>
      <c r="AH3557" s="23"/>
      <c r="AI3557" s="49"/>
    </row>
    <row r="3558" spans="1:35">
      <c r="A3558" s="23"/>
      <c r="B3558" s="42"/>
      <c r="C3558" s="49"/>
      <c r="E3558" s="49"/>
      <c r="G3558" s="43"/>
      <c r="H3558" s="44"/>
      <c r="L3558" s="42"/>
      <c r="M3558" s="42"/>
      <c r="N3558" s="25"/>
      <c r="O3558" s="54"/>
      <c r="P3558"/>
      <c r="Q3558" s="25"/>
      <c r="R3558" s="54"/>
      <c r="W3558" s="23"/>
      <c r="X3558" s="23"/>
      <c r="Y3558" s="23"/>
      <c r="Z3558" s="43"/>
      <c r="AA3558" s="23"/>
      <c r="AB3558" s="23"/>
      <c r="AC3558" s="23"/>
      <c r="AD3558" s="23"/>
      <c r="AE3558" s="23"/>
      <c r="AF3558" s="23"/>
      <c r="AG3558" s="23"/>
      <c r="AH3558" s="23"/>
      <c r="AI3558" s="49"/>
    </row>
    <row r="3559" spans="1:35">
      <c r="A3559" s="23"/>
      <c r="B3559" s="42"/>
      <c r="C3559" s="49"/>
      <c r="E3559" s="49"/>
      <c r="G3559" s="43"/>
      <c r="H3559" s="44"/>
      <c r="L3559" s="42"/>
      <c r="M3559" s="42"/>
      <c r="N3559" s="25"/>
      <c r="O3559" s="54"/>
      <c r="P3559"/>
      <c r="Q3559" s="25"/>
      <c r="R3559" s="54"/>
      <c r="W3559" s="23"/>
      <c r="X3559" s="23"/>
      <c r="Y3559" s="23"/>
      <c r="Z3559" s="43"/>
      <c r="AA3559" s="23"/>
      <c r="AB3559" s="23"/>
      <c r="AC3559" s="23"/>
      <c r="AD3559" s="23"/>
      <c r="AE3559" s="23"/>
      <c r="AF3559" s="23"/>
      <c r="AG3559" s="23"/>
      <c r="AH3559" s="23"/>
      <c r="AI3559" s="49"/>
    </row>
    <row r="3560" spans="1:35">
      <c r="A3560" s="23"/>
      <c r="B3560" s="42"/>
      <c r="C3560" s="49"/>
      <c r="E3560" s="49"/>
      <c r="G3560" s="43"/>
      <c r="H3560" s="44"/>
      <c r="L3560" s="42"/>
      <c r="M3560" s="42"/>
      <c r="N3560" s="25"/>
      <c r="O3560" s="54"/>
      <c r="P3560"/>
      <c r="Q3560" s="25"/>
      <c r="R3560" s="54"/>
      <c r="W3560" s="23"/>
      <c r="X3560" s="23"/>
      <c r="Y3560" s="23"/>
      <c r="Z3560" s="43"/>
      <c r="AA3560" s="23"/>
      <c r="AB3560" s="23"/>
      <c r="AC3560" s="23"/>
      <c r="AD3560" s="23"/>
      <c r="AE3560" s="23"/>
      <c r="AF3560" s="23"/>
      <c r="AG3560" s="23"/>
      <c r="AH3560" s="23"/>
      <c r="AI3560" s="49"/>
    </row>
    <row r="3561" spans="1:35">
      <c r="A3561" s="23"/>
      <c r="B3561" s="42"/>
      <c r="C3561" s="49"/>
      <c r="E3561" s="49"/>
      <c r="G3561" s="43"/>
      <c r="H3561" s="44"/>
      <c r="L3561" s="42"/>
      <c r="M3561" s="42"/>
      <c r="N3561" s="25"/>
      <c r="O3561" s="54"/>
      <c r="P3561"/>
      <c r="Q3561" s="25"/>
      <c r="R3561" s="54"/>
      <c r="W3561" s="23"/>
      <c r="X3561" s="23"/>
      <c r="Y3561" s="23"/>
      <c r="Z3561" s="43"/>
      <c r="AA3561" s="23"/>
      <c r="AB3561" s="23"/>
      <c r="AC3561" s="23"/>
      <c r="AD3561" s="23"/>
      <c r="AE3561" s="23"/>
      <c r="AF3561" s="23"/>
      <c r="AG3561" s="23"/>
      <c r="AH3561" s="23"/>
      <c r="AI3561" s="49"/>
    </row>
    <row r="3562" spans="1:35">
      <c r="A3562" s="23"/>
      <c r="B3562" s="42"/>
      <c r="C3562" s="49"/>
      <c r="E3562" s="49"/>
      <c r="G3562" s="43"/>
      <c r="H3562" s="44"/>
      <c r="L3562" s="42"/>
      <c r="M3562" s="42"/>
      <c r="N3562" s="25"/>
      <c r="O3562" s="54"/>
      <c r="P3562"/>
      <c r="Q3562" s="25"/>
      <c r="R3562" s="54"/>
      <c r="W3562" s="23"/>
      <c r="X3562" s="23"/>
      <c r="Y3562" s="23"/>
      <c r="Z3562" s="43"/>
      <c r="AA3562" s="23"/>
      <c r="AB3562" s="23"/>
      <c r="AC3562" s="23"/>
      <c r="AD3562" s="23"/>
      <c r="AE3562" s="23"/>
      <c r="AF3562" s="23"/>
      <c r="AG3562" s="23"/>
      <c r="AH3562" s="23"/>
      <c r="AI3562" s="49"/>
    </row>
    <row r="3563" spans="1:35">
      <c r="A3563" s="23"/>
      <c r="B3563" s="42"/>
      <c r="C3563" s="49"/>
      <c r="E3563" s="49"/>
      <c r="G3563" s="43"/>
      <c r="H3563" s="44"/>
      <c r="L3563" s="42"/>
      <c r="M3563" s="42"/>
      <c r="N3563" s="25"/>
      <c r="O3563" s="54"/>
      <c r="P3563"/>
      <c r="Q3563" s="25"/>
      <c r="R3563" s="54"/>
      <c r="W3563" s="23"/>
      <c r="X3563" s="23"/>
      <c r="Y3563" s="23"/>
      <c r="Z3563" s="43"/>
      <c r="AA3563" s="23"/>
      <c r="AB3563" s="23"/>
      <c r="AC3563" s="23"/>
      <c r="AD3563" s="23"/>
      <c r="AE3563" s="23"/>
      <c r="AF3563" s="23"/>
      <c r="AG3563" s="23"/>
      <c r="AH3563" s="23"/>
      <c r="AI3563" s="49"/>
    </row>
    <row r="3564" spans="1:35">
      <c r="A3564" s="23"/>
      <c r="B3564" s="42"/>
      <c r="C3564" s="49"/>
      <c r="E3564" s="49"/>
      <c r="G3564" s="43"/>
      <c r="H3564" s="44"/>
      <c r="L3564" s="42"/>
      <c r="M3564" s="42"/>
      <c r="N3564" s="25"/>
      <c r="O3564" s="54"/>
      <c r="P3564"/>
      <c r="Q3564" s="25"/>
      <c r="R3564" s="54"/>
      <c r="W3564" s="23"/>
      <c r="X3564" s="23"/>
      <c r="Y3564" s="23"/>
      <c r="Z3564" s="43"/>
      <c r="AA3564" s="23"/>
      <c r="AB3564" s="23"/>
      <c r="AC3564" s="23"/>
      <c r="AD3564" s="23"/>
      <c r="AE3564" s="23"/>
      <c r="AF3564" s="23"/>
      <c r="AG3564" s="23"/>
      <c r="AH3564" s="23"/>
      <c r="AI3564" s="49"/>
    </row>
    <row r="3565" spans="1:35">
      <c r="A3565" s="23"/>
      <c r="B3565" s="42"/>
      <c r="C3565" s="49"/>
      <c r="E3565" s="49"/>
      <c r="G3565" s="43"/>
      <c r="H3565" s="44"/>
      <c r="L3565" s="42"/>
      <c r="M3565" s="42"/>
      <c r="N3565" s="25"/>
      <c r="O3565" s="54"/>
      <c r="P3565"/>
      <c r="Q3565" s="25"/>
      <c r="R3565" s="54"/>
      <c r="W3565" s="23"/>
      <c r="X3565" s="23"/>
      <c r="Y3565" s="23"/>
      <c r="Z3565" s="43"/>
      <c r="AA3565" s="23"/>
      <c r="AB3565" s="23"/>
      <c r="AC3565" s="23"/>
      <c r="AD3565" s="23"/>
      <c r="AE3565" s="23"/>
      <c r="AF3565" s="23"/>
      <c r="AG3565" s="23"/>
      <c r="AH3565" s="23"/>
      <c r="AI3565" s="49"/>
    </row>
    <row r="3566" spans="1:35">
      <c r="A3566" s="23"/>
      <c r="B3566" s="42"/>
      <c r="C3566" s="49"/>
      <c r="E3566" s="49"/>
      <c r="G3566" s="43"/>
      <c r="H3566" s="44"/>
      <c r="L3566" s="42"/>
      <c r="M3566" s="42"/>
      <c r="N3566" s="25"/>
      <c r="O3566" s="54"/>
      <c r="P3566"/>
      <c r="Q3566" s="25"/>
      <c r="R3566" s="54"/>
      <c r="W3566" s="23"/>
      <c r="X3566" s="23"/>
      <c r="Y3566" s="23"/>
      <c r="Z3566" s="43"/>
      <c r="AA3566" s="23"/>
      <c r="AB3566" s="23"/>
      <c r="AC3566" s="23"/>
      <c r="AD3566" s="23"/>
      <c r="AE3566" s="23"/>
      <c r="AF3566" s="23"/>
      <c r="AG3566" s="23"/>
      <c r="AH3566" s="23"/>
      <c r="AI3566" s="49"/>
    </row>
    <row r="3567" spans="1:35">
      <c r="A3567" s="23"/>
      <c r="B3567" s="42"/>
      <c r="C3567" s="49"/>
      <c r="E3567" s="49"/>
      <c r="G3567" s="43"/>
      <c r="H3567" s="44"/>
      <c r="L3567" s="42"/>
      <c r="M3567" s="42"/>
      <c r="N3567" s="25"/>
      <c r="O3567" s="54"/>
      <c r="P3567"/>
      <c r="Q3567" s="25"/>
      <c r="R3567" s="54"/>
      <c r="W3567" s="23"/>
      <c r="X3567" s="23"/>
      <c r="Y3567" s="23"/>
      <c r="Z3567" s="43"/>
      <c r="AA3567" s="23"/>
      <c r="AB3567" s="23"/>
      <c r="AC3567" s="23"/>
      <c r="AD3567" s="23"/>
      <c r="AE3567" s="23"/>
      <c r="AF3567" s="23"/>
      <c r="AG3567" s="23"/>
      <c r="AH3567" s="23"/>
      <c r="AI3567" s="49"/>
    </row>
    <row r="3568" spans="1:35">
      <c r="A3568" s="23"/>
      <c r="B3568" s="42"/>
      <c r="C3568" s="49"/>
      <c r="E3568" s="49"/>
      <c r="G3568" s="43"/>
      <c r="H3568" s="44"/>
      <c r="L3568" s="42"/>
      <c r="M3568" s="42"/>
      <c r="N3568" s="25"/>
      <c r="O3568" s="54"/>
      <c r="P3568"/>
      <c r="Q3568" s="25"/>
      <c r="R3568" s="54"/>
      <c r="W3568" s="23"/>
      <c r="X3568" s="23"/>
      <c r="Y3568" s="23"/>
      <c r="Z3568" s="43"/>
      <c r="AA3568" s="23"/>
      <c r="AB3568" s="23"/>
      <c r="AC3568" s="23"/>
      <c r="AD3568" s="23"/>
      <c r="AE3568" s="23"/>
      <c r="AF3568" s="23"/>
      <c r="AG3568" s="23"/>
      <c r="AH3568" s="23"/>
      <c r="AI3568" s="49"/>
    </row>
    <row r="3569" spans="1:35">
      <c r="A3569" s="23"/>
      <c r="B3569" s="42"/>
      <c r="C3569" s="49"/>
      <c r="E3569" s="49"/>
      <c r="G3569" s="43"/>
      <c r="H3569" s="44"/>
      <c r="L3569" s="42"/>
      <c r="M3569" s="42"/>
      <c r="N3569" s="25"/>
      <c r="O3569" s="54"/>
      <c r="P3569"/>
      <c r="Q3569" s="25"/>
      <c r="R3569" s="54"/>
      <c r="W3569" s="23"/>
      <c r="X3569" s="23"/>
      <c r="Y3569" s="23"/>
      <c r="Z3569" s="43"/>
      <c r="AA3569" s="23"/>
      <c r="AB3569" s="23"/>
      <c r="AC3569" s="23"/>
      <c r="AD3569" s="23"/>
      <c r="AE3569" s="23"/>
      <c r="AF3569" s="23"/>
      <c r="AG3569" s="23"/>
      <c r="AH3569" s="23"/>
      <c r="AI3569" s="49"/>
    </row>
    <row r="3570" spans="1:35">
      <c r="A3570" s="23"/>
      <c r="B3570" s="42"/>
      <c r="C3570" s="49"/>
      <c r="E3570" s="49"/>
      <c r="G3570" s="43"/>
      <c r="H3570" s="44"/>
      <c r="L3570" s="42"/>
      <c r="M3570" s="42"/>
      <c r="N3570" s="25"/>
      <c r="O3570" s="54"/>
      <c r="P3570"/>
      <c r="Q3570" s="25"/>
      <c r="R3570" s="54"/>
      <c r="W3570" s="23"/>
      <c r="X3570" s="23"/>
      <c r="Y3570" s="23"/>
      <c r="Z3570" s="43"/>
      <c r="AA3570" s="23"/>
      <c r="AB3570" s="23"/>
      <c r="AC3570" s="23"/>
      <c r="AD3570" s="23"/>
      <c r="AE3570" s="23"/>
      <c r="AF3570" s="23"/>
      <c r="AG3570" s="23"/>
      <c r="AH3570" s="23"/>
      <c r="AI3570" s="49"/>
    </row>
    <row r="3571" spans="1:35">
      <c r="A3571" s="23"/>
      <c r="B3571" s="42"/>
      <c r="C3571" s="49"/>
      <c r="E3571" s="49"/>
      <c r="G3571" s="43"/>
      <c r="H3571" s="44"/>
      <c r="L3571" s="42"/>
      <c r="M3571" s="42"/>
      <c r="N3571" s="25"/>
      <c r="O3571" s="54"/>
      <c r="P3571"/>
      <c r="Q3571" s="25"/>
      <c r="R3571" s="54"/>
      <c r="W3571" s="23"/>
      <c r="X3571" s="23"/>
      <c r="Y3571" s="23"/>
      <c r="Z3571" s="43"/>
      <c r="AA3571" s="23"/>
      <c r="AB3571" s="23"/>
      <c r="AC3571" s="23"/>
      <c r="AD3571" s="23"/>
      <c r="AE3571" s="23"/>
      <c r="AF3571" s="23"/>
      <c r="AG3571" s="23"/>
      <c r="AH3571" s="23"/>
      <c r="AI3571" s="49"/>
    </row>
    <row r="3572" spans="1:35">
      <c r="A3572" s="23"/>
      <c r="B3572" s="42"/>
      <c r="C3572" s="49"/>
      <c r="E3572" s="49"/>
      <c r="G3572" s="43"/>
      <c r="H3572" s="44"/>
      <c r="L3572" s="42"/>
      <c r="M3572" s="42"/>
      <c r="N3572" s="25"/>
      <c r="O3572" s="54"/>
      <c r="P3572"/>
      <c r="Q3572" s="25"/>
      <c r="R3572" s="54"/>
      <c r="W3572" s="23"/>
      <c r="X3572" s="23"/>
      <c r="Y3572" s="23"/>
      <c r="Z3572" s="43"/>
      <c r="AA3572" s="23"/>
      <c r="AB3572" s="23"/>
      <c r="AC3572" s="23"/>
      <c r="AD3572" s="23"/>
      <c r="AE3572" s="23"/>
      <c r="AF3572" s="23"/>
      <c r="AG3572" s="23"/>
      <c r="AH3572" s="23"/>
      <c r="AI3572" s="49"/>
    </row>
    <row r="3573" spans="1:35">
      <c r="A3573" s="23"/>
      <c r="B3573" s="42"/>
      <c r="C3573" s="49"/>
      <c r="E3573" s="49"/>
      <c r="G3573" s="43"/>
      <c r="H3573" s="44"/>
      <c r="L3573" s="42"/>
      <c r="M3573" s="42"/>
      <c r="N3573" s="25"/>
      <c r="O3573" s="54"/>
      <c r="P3573"/>
      <c r="Q3573" s="25"/>
      <c r="R3573" s="54"/>
      <c r="W3573" s="23"/>
      <c r="X3573" s="23"/>
      <c r="Y3573" s="23"/>
      <c r="Z3573" s="43"/>
      <c r="AA3573" s="23"/>
      <c r="AB3573" s="23"/>
      <c r="AC3573" s="23"/>
      <c r="AD3573" s="23"/>
      <c r="AE3573" s="23"/>
      <c r="AF3573" s="23"/>
      <c r="AG3573" s="23"/>
      <c r="AH3573" s="23"/>
      <c r="AI3573" s="49"/>
    </row>
    <row r="3574" spans="1:35">
      <c r="A3574" s="23"/>
      <c r="B3574" s="42"/>
      <c r="C3574" s="49"/>
      <c r="E3574" s="49"/>
      <c r="G3574" s="43"/>
      <c r="H3574" s="44"/>
      <c r="L3574" s="42"/>
      <c r="M3574" s="42"/>
      <c r="N3574" s="25"/>
      <c r="O3574" s="54"/>
      <c r="P3574"/>
      <c r="Q3574" s="25"/>
      <c r="R3574" s="54"/>
      <c r="W3574" s="23"/>
      <c r="X3574" s="23"/>
      <c r="Y3574" s="23"/>
      <c r="Z3574" s="43"/>
      <c r="AA3574" s="23"/>
      <c r="AB3574" s="23"/>
      <c r="AC3574" s="23"/>
      <c r="AD3574" s="23"/>
      <c r="AE3574" s="23"/>
      <c r="AF3574" s="23"/>
      <c r="AG3574" s="23"/>
      <c r="AH3574" s="23"/>
      <c r="AI3574" s="49"/>
    </row>
    <row r="3575" spans="1:35">
      <c r="A3575" s="23"/>
      <c r="B3575" s="42"/>
      <c r="C3575" s="49"/>
      <c r="E3575" s="49"/>
      <c r="G3575" s="43"/>
      <c r="H3575" s="44"/>
      <c r="L3575" s="42"/>
      <c r="M3575" s="42"/>
      <c r="N3575" s="25"/>
      <c r="O3575" s="54"/>
      <c r="P3575"/>
      <c r="Q3575" s="25"/>
      <c r="R3575" s="54"/>
      <c r="W3575" s="23"/>
      <c r="X3575" s="23"/>
      <c r="Y3575" s="23"/>
      <c r="Z3575" s="43"/>
      <c r="AA3575" s="23"/>
      <c r="AB3575" s="23"/>
      <c r="AC3575" s="23"/>
      <c r="AD3575" s="23"/>
      <c r="AE3575" s="23"/>
      <c r="AF3575" s="23"/>
      <c r="AG3575" s="23"/>
      <c r="AH3575" s="23"/>
      <c r="AI3575" s="49"/>
    </row>
    <row r="3576" spans="1:35">
      <c r="A3576" s="23"/>
      <c r="B3576" s="42"/>
      <c r="C3576" s="49"/>
      <c r="E3576" s="49"/>
      <c r="G3576" s="43"/>
      <c r="H3576" s="44"/>
      <c r="L3576" s="42"/>
      <c r="M3576" s="42"/>
      <c r="N3576" s="25"/>
      <c r="O3576" s="54"/>
      <c r="P3576"/>
      <c r="Q3576" s="25"/>
      <c r="R3576" s="54"/>
      <c r="W3576" s="23"/>
      <c r="X3576" s="23"/>
      <c r="Y3576" s="23"/>
      <c r="Z3576" s="43"/>
      <c r="AA3576" s="23"/>
      <c r="AB3576" s="23"/>
      <c r="AC3576" s="23"/>
      <c r="AD3576" s="23"/>
      <c r="AE3576" s="23"/>
      <c r="AF3576" s="23"/>
      <c r="AG3576" s="23"/>
      <c r="AH3576" s="23"/>
      <c r="AI3576" s="49"/>
    </row>
    <row r="3577" spans="1:35">
      <c r="A3577" s="23"/>
      <c r="B3577" s="42"/>
      <c r="C3577" s="49"/>
      <c r="E3577" s="49"/>
      <c r="G3577" s="43"/>
      <c r="H3577" s="44"/>
      <c r="L3577" s="42"/>
      <c r="M3577" s="42"/>
      <c r="N3577" s="25"/>
      <c r="O3577" s="54"/>
      <c r="P3577"/>
      <c r="Q3577" s="25"/>
      <c r="R3577" s="54"/>
      <c r="W3577" s="23"/>
      <c r="X3577" s="23"/>
      <c r="Y3577" s="23"/>
      <c r="Z3577" s="43"/>
      <c r="AA3577" s="23"/>
      <c r="AB3577" s="23"/>
      <c r="AC3577" s="23"/>
      <c r="AD3577" s="23"/>
      <c r="AE3577" s="23"/>
      <c r="AF3577" s="23"/>
      <c r="AG3577" s="23"/>
      <c r="AH3577" s="23"/>
      <c r="AI3577" s="49"/>
    </row>
    <row r="3578" spans="1:35">
      <c r="A3578" s="23"/>
      <c r="B3578" s="42"/>
      <c r="C3578" s="49"/>
      <c r="E3578" s="49"/>
      <c r="G3578" s="43"/>
      <c r="H3578" s="44"/>
      <c r="L3578" s="42"/>
      <c r="M3578" s="42"/>
      <c r="N3578" s="25"/>
      <c r="O3578" s="54"/>
      <c r="P3578"/>
      <c r="Q3578" s="25"/>
      <c r="R3578" s="54"/>
      <c r="W3578" s="23"/>
      <c r="X3578" s="23"/>
      <c r="Y3578" s="23"/>
      <c r="Z3578" s="43"/>
      <c r="AA3578" s="23"/>
      <c r="AB3578" s="23"/>
      <c r="AC3578" s="23"/>
      <c r="AD3578" s="23"/>
      <c r="AE3578" s="23"/>
      <c r="AF3578" s="23"/>
      <c r="AG3578" s="23"/>
      <c r="AH3578" s="23"/>
      <c r="AI3578" s="49"/>
    </row>
    <row r="3579" spans="1:35">
      <c r="A3579" s="23"/>
      <c r="B3579" s="42"/>
      <c r="C3579" s="49"/>
      <c r="E3579" s="49"/>
      <c r="G3579" s="43"/>
      <c r="H3579" s="44"/>
      <c r="L3579" s="42"/>
      <c r="M3579" s="42"/>
      <c r="N3579" s="25"/>
      <c r="O3579" s="54"/>
      <c r="P3579"/>
      <c r="Q3579" s="25"/>
      <c r="R3579" s="54"/>
      <c r="W3579" s="23"/>
      <c r="X3579" s="23"/>
      <c r="Y3579" s="23"/>
      <c r="Z3579" s="43"/>
      <c r="AA3579" s="23"/>
      <c r="AB3579" s="23"/>
      <c r="AC3579" s="23"/>
      <c r="AD3579" s="23"/>
      <c r="AE3579" s="23"/>
      <c r="AF3579" s="23"/>
      <c r="AG3579" s="23"/>
      <c r="AH3579" s="23"/>
      <c r="AI3579" s="49"/>
    </row>
    <row r="3580" spans="1:35">
      <c r="A3580" s="23"/>
      <c r="B3580" s="42"/>
      <c r="C3580" s="49"/>
      <c r="E3580" s="49"/>
      <c r="G3580" s="43"/>
      <c r="H3580" s="44"/>
      <c r="L3580" s="42"/>
      <c r="M3580" s="42"/>
      <c r="N3580" s="25"/>
      <c r="O3580" s="54"/>
      <c r="P3580"/>
      <c r="Q3580" s="25"/>
      <c r="R3580" s="54"/>
      <c r="W3580" s="23"/>
      <c r="X3580" s="23"/>
      <c r="Y3580" s="23"/>
      <c r="Z3580" s="43"/>
      <c r="AA3580" s="23"/>
      <c r="AB3580" s="23"/>
      <c r="AC3580" s="23"/>
      <c r="AD3580" s="23"/>
      <c r="AE3580" s="23"/>
      <c r="AF3580" s="23"/>
      <c r="AG3580" s="23"/>
      <c r="AH3580" s="23"/>
      <c r="AI3580" s="49"/>
    </row>
    <row r="3581" spans="1:35">
      <c r="A3581" s="23"/>
      <c r="B3581" s="42"/>
      <c r="C3581" s="49"/>
      <c r="E3581" s="49"/>
      <c r="G3581" s="43"/>
      <c r="H3581" s="44"/>
      <c r="L3581" s="42"/>
      <c r="M3581" s="42"/>
      <c r="N3581" s="25"/>
      <c r="O3581" s="54"/>
      <c r="P3581"/>
      <c r="Q3581" s="25"/>
      <c r="R3581" s="54"/>
      <c r="W3581" s="23"/>
      <c r="X3581" s="23"/>
      <c r="Y3581" s="23"/>
      <c r="Z3581" s="43"/>
      <c r="AA3581" s="23"/>
      <c r="AB3581" s="23"/>
      <c r="AC3581" s="23"/>
      <c r="AD3581" s="23"/>
      <c r="AE3581" s="23"/>
      <c r="AF3581" s="23"/>
      <c r="AG3581" s="23"/>
      <c r="AH3581" s="23"/>
      <c r="AI3581" s="49"/>
    </row>
    <row r="3582" spans="1:35">
      <c r="A3582" s="23"/>
      <c r="B3582" s="42"/>
      <c r="C3582" s="49"/>
      <c r="E3582" s="49"/>
      <c r="G3582" s="43"/>
      <c r="H3582" s="44"/>
      <c r="L3582" s="42"/>
      <c r="M3582" s="42"/>
      <c r="N3582" s="25"/>
      <c r="O3582" s="54"/>
      <c r="P3582"/>
      <c r="Q3582" s="25"/>
      <c r="R3582" s="54"/>
      <c r="W3582" s="23"/>
      <c r="X3582" s="23"/>
      <c r="Y3582" s="23"/>
      <c r="Z3582" s="43"/>
      <c r="AA3582" s="23"/>
      <c r="AB3582" s="23"/>
      <c r="AC3582" s="23"/>
      <c r="AD3582" s="23"/>
      <c r="AE3582" s="23"/>
      <c r="AF3582" s="23"/>
      <c r="AG3582" s="23"/>
      <c r="AH3582" s="23"/>
      <c r="AI3582" s="49"/>
    </row>
    <row r="3583" spans="1:35">
      <c r="A3583" s="23"/>
      <c r="B3583" s="42"/>
      <c r="C3583" s="49"/>
      <c r="E3583" s="49"/>
      <c r="G3583" s="43"/>
      <c r="H3583" s="44"/>
      <c r="L3583" s="42"/>
      <c r="M3583" s="42"/>
      <c r="N3583" s="25"/>
      <c r="O3583" s="54"/>
      <c r="P3583"/>
      <c r="Q3583" s="25"/>
      <c r="R3583" s="54"/>
      <c r="W3583" s="23"/>
      <c r="X3583" s="23"/>
      <c r="Y3583" s="23"/>
      <c r="Z3583" s="43"/>
      <c r="AA3583" s="23"/>
      <c r="AB3583" s="23"/>
      <c r="AC3583" s="23"/>
      <c r="AD3583" s="23"/>
      <c r="AE3583" s="23"/>
      <c r="AF3583" s="23"/>
      <c r="AG3583" s="23"/>
      <c r="AH3583" s="23"/>
      <c r="AI3583" s="49"/>
    </row>
    <row r="3584" spans="1:35">
      <c r="A3584" s="23"/>
      <c r="B3584" s="42"/>
      <c r="C3584" s="49"/>
      <c r="E3584" s="49"/>
      <c r="G3584" s="43"/>
      <c r="H3584" s="44"/>
      <c r="L3584" s="42"/>
      <c r="M3584" s="42"/>
      <c r="N3584" s="25"/>
      <c r="O3584" s="54"/>
      <c r="P3584"/>
      <c r="Q3584" s="25"/>
      <c r="R3584" s="54"/>
      <c r="W3584" s="23"/>
      <c r="X3584" s="23"/>
      <c r="Y3584" s="23"/>
      <c r="Z3584" s="43"/>
      <c r="AA3584" s="23"/>
      <c r="AB3584" s="23"/>
      <c r="AC3584" s="23"/>
      <c r="AD3584" s="23"/>
      <c r="AE3584" s="23"/>
      <c r="AF3584" s="23"/>
      <c r="AG3584" s="23"/>
      <c r="AH3584" s="23"/>
      <c r="AI3584" s="49"/>
    </row>
    <row r="3585" spans="1:35">
      <c r="A3585" s="23"/>
      <c r="B3585" s="42"/>
      <c r="C3585" s="49"/>
      <c r="E3585" s="49"/>
      <c r="G3585" s="43"/>
      <c r="H3585" s="44"/>
      <c r="L3585" s="42"/>
      <c r="M3585" s="42"/>
      <c r="N3585" s="25"/>
      <c r="O3585" s="54"/>
      <c r="P3585"/>
      <c r="Q3585" s="25"/>
      <c r="R3585" s="54"/>
      <c r="W3585" s="23"/>
      <c r="X3585" s="23"/>
      <c r="Y3585" s="23"/>
      <c r="Z3585" s="43"/>
      <c r="AA3585" s="23"/>
      <c r="AB3585" s="23"/>
      <c r="AC3585" s="23"/>
      <c r="AD3585" s="23"/>
      <c r="AE3585" s="23"/>
      <c r="AF3585" s="23"/>
      <c r="AG3585" s="23"/>
      <c r="AH3585" s="23"/>
      <c r="AI3585" s="49"/>
    </row>
    <row r="3586" spans="1:35">
      <c r="A3586" s="23"/>
      <c r="B3586" s="42"/>
      <c r="C3586" s="49"/>
      <c r="E3586" s="49"/>
      <c r="G3586" s="43"/>
      <c r="H3586" s="44"/>
      <c r="L3586" s="42"/>
      <c r="M3586" s="42"/>
      <c r="N3586" s="25"/>
      <c r="O3586" s="54"/>
      <c r="P3586"/>
      <c r="Q3586" s="25"/>
      <c r="R3586" s="54"/>
      <c r="W3586" s="23"/>
      <c r="X3586" s="23"/>
      <c r="Y3586" s="23"/>
      <c r="Z3586" s="43"/>
      <c r="AA3586" s="23"/>
      <c r="AB3586" s="23"/>
      <c r="AC3586" s="23"/>
      <c r="AD3586" s="23"/>
      <c r="AE3586" s="23"/>
      <c r="AF3586" s="23"/>
      <c r="AG3586" s="23"/>
      <c r="AH3586" s="23"/>
      <c r="AI3586" s="49"/>
    </row>
    <row r="3587" spans="1:35">
      <c r="A3587" s="23"/>
      <c r="B3587" s="42"/>
      <c r="C3587" s="49"/>
      <c r="E3587" s="49"/>
      <c r="G3587" s="43"/>
      <c r="H3587" s="44"/>
      <c r="L3587" s="42"/>
      <c r="M3587" s="42"/>
      <c r="N3587" s="25"/>
      <c r="O3587" s="54"/>
      <c r="P3587"/>
      <c r="Q3587" s="25"/>
      <c r="R3587" s="54"/>
      <c r="W3587" s="23"/>
      <c r="X3587" s="23"/>
      <c r="Y3587" s="23"/>
      <c r="Z3587" s="43"/>
      <c r="AA3587" s="23"/>
      <c r="AB3587" s="23"/>
      <c r="AC3587" s="23"/>
      <c r="AD3587" s="23"/>
      <c r="AE3587" s="23"/>
      <c r="AF3587" s="23"/>
      <c r="AG3587" s="23"/>
      <c r="AH3587" s="23"/>
      <c r="AI3587" s="49"/>
    </row>
    <row r="3588" spans="1:35">
      <c r="A3588" s="23"/>
      <c r="B3588" s="42"/>
      <c r="C3588" s="49"/>
      <c r="E3588" s="49"/>
      <c r="G3588" s="43"/>
      <c r="H3588" s="44"/>
      <c r="L3588" s="42"/>
      <c r="M3588" s="42"/>
      <c r="N3588" s="25"/>
      <c r="O3588" s="54"/>
      <c r="P3588"/>
      <c r="Q3588" s="25"/>
      <c r="R3588" s="54"/>
      <c r="W3588" s="23"/>
      <c r="X3588" s="23"/>
      <c r="Y3588" s="23"/>
      <c r="Z3588" s="43"/>
      <c r="AA3588" s="23"/>
      <c r="AB3588" s="23"/>
      <c r="AC3588" s="23"/>
      <c r="AD3588" s="23"/>
      <c r="AE3588" s="23"/>
      <c r="AF3588" s="23"/>
      <c r="AG3588" s="23"/>
      <c r="AH3588" s="23"/>
      <c r="AI3588" s="49"/>
    </row>
    <row r="3589" spans="1:35">
      <c r="A3589" s="23"/>
      <c r="B3589" s="42"/>
      <c r="C3589" s="49"/>
      <c r="E3589" s="49"/>
      <c r="G3589" s="43"/>
      <c r="H3589" s="44"/>
      <c r="L3589" s="42"/>
      <c r="M3589" s="42"/>
      <c r="N3589" s="25"/>
      <c r="O3589" s="54"/>
      <c r="P3589"/>
      <c r="Q3589" s="25"/>
      <c r="R3589" s="54"/>
      <c r="W3589" s="23"/>
      <c r="X3589" s="23"/>
      <c r="Y3589" s="23"/>
      <c r="Z3589" s="43"/>
      <c r="AA3589" s="23"/>
      <c r="AB3589" s="23"/>
      <c r="AC3589" s="23"/>
      <c r="AD3589" s="23"/>
      <c r="AE3589" s="23"/>
      <c r="AF3589" s="23"/>
      <c r="AG3589" s="23"/>
      <c r="AH3589" s="23"/>
      <c r="AI3589" s="49"/>
    </row>
    <row r="3590" spans="1:35">
      <c r="A3590" s="23"/>
      <c r="B3590" s="42"/>
      <c r="C3590" s="49"/>
      <c r="E3590" s="49"/>
      <c r="G3590" s="43"/>
      <c r="H3590" s="44"/>
      <c r="L3590" s="42"/>
      <c r="M3590" s="42"/>
      <c r="N3590" s="25"/>
      <c r="O3590" s="54"/>
      <c r="P3590"/>
      <c r="Q3590" s="25"/>
      <c r="R3590" s="54"/>
      <c r="W3590" s="23"/>
      <c r="X3590" s="23"/>
      <c r="Y3590" s="23"/>
      <c r="Z3590" s="43"/>
      <c r="AA3590" s="23"/>
      <c r="AB3590" s="23"/>
      <c r="AC3590" s="23"/>
      <c r="AD3590" s="23"/>
      <c r="AE3590" s="23"/>
      <c r="AF3590" s="23"/>
      <c r="AG3590" s="23"/>
      <c r="AH3590" s="23"/>
      <c r="AI3590" s="49"/>
    </row>
    <row r="3591" spans="1:35">
      <c r="A3591" s="23"/>
      <c r="B3591" s="42"/>
      <c r="C3591" s="49"/>
      <c r="E3591" s="49"/>
      <c r="G3591" s="43"/>
      <c r="H3591" s="44"/>
      <c r="L3591" s="42"/>
      <c r="M3591" s="42"/>
      <c r="N3591" s="25"/>
      <c r="O3591" s="54"/>
      <c r="P3591"/>
      <c r="Q3591" s="25"/>
      <c r="R3591" s="54"/>
      <c r="W3591" s="23"/>
      <c r="X3591" s="23"/>
      <c r="Y3591" s="23"/>
      <c r="Z3591" s="43"/>
      <c r="AA3591" s="23"/>
      <c r="AB3591" s="23"/>
      <c r="AC3591" s="23"/>
      <c r="AD3591" s="23"/>
      <c r="AE3591" s="23"/>
      <c r="AF3591" s="23"/>
      <c r="AG3591" s="23"/>
      <c r="AH3591" s="23"/>
      <c r="AI3591" s="49"/>
    </row>
    <row r="3592" spans="1:35">
      <c r="A3592" s="23"/>
      <c r="B3592" s="42"/>
      <c r="C3592" s="49"/>
      <c r="E3592" s="49"/>
      <c r="G3592" s="43"/>
      <c r="H3592" s="44"/>
      <c r="L3592" s="42"/>
      <c r="M3592" s="42"/>
      <c r="N3592" s="25"/>
      <c r="O3592" s="54"/>
      <c r="P3592"/>
      <c r="Q3592" s="25"/>
      <c r="R3592" s="54"/>
      <c r="W3592" s="23"/>
      <c r="X3592" s="23"/>
      <c r="Y3592" s="23"/>
      <c r="Z3592" s="43"/>
      <c r="AA3592" s="23"/>
      <c r="AB3592" s="23"/>
      <c r="AC3592" s="23"/>
      <c r="AD3592" s="23"/>
      <c r="AE3592" s="23"/>
      <c r="AF3592" s="23"/>
      <c r="AG3592" s="23"/>
      <c r="AH3592" s="23"/>
      <c r="AI3592" s="49"/>
    </row>
    <row r="3593" spans="1:35">
      <c r="A3593" s="23"/>
      <c r="B3593" s="42"/>
      <c r="C3593" s="49"/>
      <c r="E3593" s="49"/>
      <c r="G3593" s="43"/>
      <c r="H3593" s="44"/>
      <c r="L3593" s="42"/>
      <c r="M3593" s="42"/>
      <c r="N3593" s="25"/>
      <c r="O3593" s="54"/>
      <c r="P3593"/>
      <c r="Q3593" s="25"/>
      <c r="R3593" s="54"/>
      <c r="W3593" s="23"/>
      <c r="X3593" s="23"/>
      <c r="Y3593" s="23"/>
      <c r="Z3593" s="43"/>
      <c r="AA3593" s="23"/>
      <c r="AB3593" s="23"/>
      <c r="AC3593" s="23"/>
      <c r="AD3593" s="23"/>
      <c r="AE3593" s="23"/>
      <c r="AF3593" s="23"/>
      <c r="AG3593" s="23"/>
      <c r="AH3593" s="23"/>
      <c r="AI3593" s="49"/>
    </row>
    <row r="3594" spans="1:35">
      <c r="A3594" s="23"/>
      <c r="B3594" s="42"/>
      <c r="C3594" s="49"/>
      <c r="E3594" s="49"/>
      <c r="G3594" s="43"/>
      <c r="H3594" s="44"/>
      <c r="L3594" s="42"/>
      <c r="M3594" s="42"/>
      <c r="N3594" s="25"/>
      <c r="O3594" s="54"/>
      <c r="P3594"/>
      <c r="Q3594" s="25"/>
      <c r="R3594" s="54"/>
      <c r="W3594" s="23"/>
      <c r="X3594" s="23"/>
      <c r="Y3594" s="23"/>
      <c r="Z3594" s="43"/>
      <c r="AA3594" s="23"/>
      <c r="AB3594" s="23"/>
      <c r="AC3594" s="23"/>
      <c r="AD3594" s="23"/>
      <c r="AE3594" s="23"/>
      <c r="AF3594" s="23"/>
      <c r="AG3594" s="23"/>
      <c r="AH3594" s="23"/>
      <c r="AI3594" s="49"/>
    </row>
    <row r="3595" spans="1:35">
      <c r="A3595" s="23"/>
      <c r="B3595" s="42"/>
      <c r="C3595" s="49"/>
      <c r="E3595" s="49"/>
      <c r="G3595" s="43"/>
      <c r="H3595" s="44"/>
      <c r="L3595" s="42"/>
      <c r="M3595" s="42"/>
      <c r="N3595" s="25"/>
      <c r="O3595" s="54"/>
      <c r="P3595"/>
      <c r="Q3595" s="25"/>
      <c r="R3595" s="54"/>
      <c r="W3595" s="23"/>
      <c r="X3595" s="23"/>
      <c r="Y3595" s="23"/>
      <c r="Z3595" s="43"/>
      <c r="AA3595" s="23"/>
      <c r="AB3595" s="23"/>
      <c r="AC3595" s="23"/>
      <c r="AD3595" s="23"/>
      <c r="AE3595" s="23"/>
      <c r="AF3595" s="23"/>
      <c r="AG3595" s="23"/>
      <c r="AH3595" s="23"/>
      <c r="AI3595" s="49"/>
    </row>
    <row r="3596" spans="1:35">
      <c r="A3596" s="23"/>
      <c r="B3596" s="42"/>
      <c r="C3596" s="49"/>
      <c r="E3596" s="49"/>
      <c r="G3596" s="43"/>
      <c r="H3596" s="44"/>
      <c r="L3596" s="42"/>
      <c r="M3596" s="42"/>
      <c r="N3596" s="25"/>
      <c r="O3596" s="54"/>
      <c r="P3596"/>
      <c r="Q3596" s="25"/>
      <c r="R3596" s="54"/>
      <c r="W3596" s="23"/>
      <c r="X3596" s="23"/>
      <c r="Y3596" s="23"/>
      <c r="Z3596" s="43"/>
      <c r="AA3596" s="23"/>
      <c r="AB3596" s="23"/>
      <c r="AC3596" s="23"/>
      <c r="AD3596" s="23"/>
      <c r="AE3596" s="23"/>
      <c r="AF3596" s="23"/>
      <c r="AG3596" s="23"/>
      <c r="AH3596" s="23"/>
      <c r="AI3596" s="49"/>
    </row>
    <row r="3597" spans="1:35">
      <c r="A3597" s="23"/>
      <c r="B3597" s="42"/>
      <c r="C3597" s="49"/>
      <c r="E3597" s="49"/>
      <c r="G3597" s="43"/>
      <c r="H3597" s="44"/>
      <c r="L3597" s="42"/>
      <c r="M3597" s="42"/>
      <c r="N3597" s="25"/>
      <c r="O3597" s="54"/>
      <c r="P3597"/>
      <c r="Q3597" s="25"/>
      <c r="R3597" s="54"/>
      <c r="W3597" s="23"/>
      <c r="X3597" s="23"/>
      <c r="Y3597" s="23"/>
      <c r="Z3597" s="43"/>
      <c r="AA3597" s="23"/>
      <c r="AB3597" s="23"/>
      <c r="AC3597" s="23"/>
      <c r="AD3597" s="23"/>
      <c r="AE3597" s="23"/>
      <c r="AF3597" s="23"/>
      <c r="AG3597" s="23"/>
      <c r="AH3597" s="23"/>
      <c r="AI3597" s="49"/>
    </row>
    <row r="3598" spans="1:35">
      <c r="A3598" s="23"/>
      <c r="B3598" s="42"/>
      <c r="C3598" s="49"/>
      <c r="E3598" s="49"/>
      <c r="G3598" s="43"/>
      <c r="H3598" s="44"/>
      <c r="L3598" s="42"/>
      <c r="M3598" s="42"/>
      <c r="N3598" s="25"/>
      <c r="O3598" s="54"/>
      <c r="P3598"/>
      <c r="Q3598" s="25"/>
      <c r="R3598" s="54"/>
      <c r="W3598" s="23"/>
      <c r="X3598" s="23"/>
      <c r="Y3598" s="23"/>
      <c r="Z3598" s="43"/>
      <c r="AA3598" s="23"/>
      <c r="AB3598" s="23"/>
      <c r="AC3598" s="23"/>
      <c r="AD3598" s="23"/>
      <c r="AE3598" s="23"/>
      <c r="AF3598" s="23"/>
      <c r="AG3598" s="23"/>
      <c r="AH3598" s="23"/>
      <c r="AI3598" s="49"/>
    </row>
    <row r="3599" spans="1:35">
      <c r="A3599" s="23"/>
      <c r="B3599" s="42"/>
      <c r="C3599" s="49"/>
      <c r="E3599" s="49"/>
      <c r="G3599" s="43"/>
      <c r="H3599" s="44"/>
      <c r="L3599" s="42"/>
      <c r="M3599" s="42"/>
      <c r="N3599" s="25"/>
      <c r="O3599" s="54"/>
      <c r="P3599"/>
      <c r="Q3599" s="25"/>
      <c r="R3599" s="54"/>
      <c r="W3599" s="23"/>
      <c r="X3599" s="23"/>
      <c r="Y3599" s="23"/>
      <c r="Z3599" s="43"/>
      <c r="AA3599" s="23"/>
      <c r="AB3599" s="23"/>
      <c r="AC3599" s="23"/>
      <c r="AD3599" s="23"/>
      <c r="AE3599" s="23"/>
      <c r="AF3599" s="23"/>
      <c r="AG3599" s="23"/>
      <c r="AH3599" s="23"/>
      <c r="AI3599" s="49"/>
    </row>
    <row r="3600" spans="1:35">
      <c r="A3600" s="23"/>
      <c r="B3600" s="42"/>
      <c r="C3600" s="49"/>
      <c r="E3600" s="49"/>
      <c r="G3600" s="43"/>
      <c r="H3600" s="44"/>
      <c r="L3600" s="42"/>
      <c r="M3600" s="42"/>
      <c r="N3600" s="25"/>
      <c r="O3600" s="54"/>
      <c r="P3600"/>
      <c r="Q3600" s="25"/>
      <c r="R3600" s="54"/>
      <c r="W3600" s="23"/>
      <c r="X3600" s="23"/>
      <c r="Y3600" s="23"/>
      <c r="Z3600" s="43"/>
      <c r="AA3600" s="23"/>
      <c r="AB3600" s="23"/>
      <c r="AC3600" s="23"/>
      <c r="AD3600" s="23"/>
      <c r="AE3600" s="23"/>
      <c r="AF3600" s="23"/>
      <c r="AG3600" s="23"/>
      <c r="AH3600" s="23"/>
      <c r="AI3600" s="49"/>
    </row>
    <row r="3601" spans="1:35">
      <c r="A3601" s="23"/>
      <c r="B3601" s="42"/>
      <c r="C3601" s="49"/>
      <c r="E3601" s="49"/>
      <c r="G3601" s="43"/>
      <c r="H3601" s="44"/>
      <c r="L3601" s="42"/>
      <c r="M3601" s="42"/>
      <c r="N3601" s="25"/>
      <c r="O3601" s="54"/>
      <c r="P3601"/>
      <c r="Q3601" s="25"/>
      <c r="R3601" s="54"/>
      <c r="W3601" s="23"/>
      <c r="X3601" s="23"/>
      <c r="Y3601" s="23"/>
      <c r="Z3601" s="43"/>
      <c r="AA3601" s="23"/>
      <c r="AB3601" s="23"/>
      <c r="AC3601" s="23"/>
      <c r="AD3601" s="23"/>
      <c r="AE3601" s="23"/>
      <c r="AF3601" s="23"/>
      <c r="AG3601" s="23"/>
      <c r="AH3601" s="23"/>
      <c r="AI3601" s="49"/>
    </row>
    <row r="3602" spans="1:35">
      <c r="A3602" s="23"/>
      <c r="B3602" s="42"/>
      <c r="C3602" s="49"/>
      <c r="E3602" s="49"/>
      <c r="G3602" s="43"/>
      <c r="H3602" s="44"/>
      <c r="L3602" s="42"/>
      <c r="M3602" s="42"/>
      <c r="N3602" s="25"/>
      <c r="O3602" s="54"/>
      <c r="P3602"/>
      <c r="Q3602" s="25"/>
      <c r="R3602" s="54"/>
      <c r="W3602" s="23"/>
      <c r="X3602" s="23"/>
      <c r="Y3602" s="23"/>
      <c r="Z3602" s="43"/>
      <c r="AA3602" s="23"/>
      <c r="AB3602" s="23"/>
      <c r="AC3602" s="23"/>
      <c r="AD3602" s="23"/>
      <c r="AE3602" s="23"/>
      <c r="AF3602" s="23"/>
      <c r="AG3602" s="23"/>
      <c r="AH3602" s="23"/>
      <c r="AI3602" s="49"/>
    </row>
    <row r="3603" spans="1:35">
      <c r="A3603" s="23"/>
      <c r="B3603" s="42"/>
      <c r="C3603" s="49"/>
      <c r="E3603" s="49"/>
      <c r="G3603" s="43"/>
      <c r="H3603" s="44"/>
      <c r="L3603" s="42"/>
      <c r="M3603" s="42"/>
      <c r="N3603" s="25"/>
      <c r="O3603" s="54"/>
      <c r="P3603"/>
      <c r="Q3603" s="25"/>
      <c r="R3603" s="54"/>
      <c r="W3603" s="23"/>
      <c r="X3603" s="23"/>
      <c r="Y3603" s="23"/>
      <c r="Z3603" s="43"/>
      <c r="AA3603" s="23"/>
      <c r="AB3603" s="23"/>
      <c r="AC3603" s="23"/>
      <c r="AD3603" s="23"/>
      <c r="AE3603" s="23"/>
      <c r="AF3603" s="23"/>
      <c r="AG3603" s="23"/>
      <c r="AH3603" s="23"/>
      <c r="AI3603" s="49"/>
    </row>
    <row r="3604" spans="1:35">
      <c r="A3604" s="23"/>
      <c r="B3604" s="42"/>
      <c r="C3604" s="49"/>
      <c r="E3604" s="49"/>
      <c r="G3604" s="43"/>
      <c r="H3604" s="44"/>
      <c r="L3604" s="42"/>
      <c r="M3604" s="42"/>
      <c r="N3604" s="25"/>
      <c r="O3604" s="54"/>
      <c r="P3604"/>
      <c r="Q3604" s="25"/>
      <c r="R3604" s="54"/>
      <c r="W3604" s="23"/>
      <c r="X3604" s="23"/>
      <c r="Y3604" s="23"/>
      <c r="Z3604" s="43"/>
      <c r="AA3604" s="23"/>
      <c r="AB3604" s="23"/>
      <c r="AC3604" s="23"/>
      <c r="AD3604" s="23"/>
      <c r="AE3604" s="23"/>
      <c r="AF3604" s="23"/>
      <c r="AG3604" s="23"/>
      <c r="AH3604" s="23"/>
      <c r="AI3604" s="49"/>
    </row>
    <row r="3605" spans="1:35">
      <c r="A3605" s="23"/>
      <c r="B3605" s="42"/>
      <c r="C3605" s="49"/>
      <c r="E3605" s="49"/>
      <c r="G3605" s="43"/>
      <c r="H3605" s="44"/>
      <c r="L3605" s="42"/>
      <c r="M3605" s="42"/>
      <c r="N3605" s="25"/>
      <c r="O3605" s="54"/>
      <c r="P3605"/>
      <c r="Q3605" s="25"/>
      <c r="R3605" s="54"/>
      <c r="W3605" s="23"/>
      <c r="X3605" s="23"/>
      <c r="Y3605" s="23"/>
      <c r="Z3605" s="43"/>
      <c r="AA3605" s="23"/>
      <c r="AB3605" s="23"/>
      <c r="AC3605" s="23"/>
      <c r="AD3605" s="23"/>
      <c r="AE3605" s="23"/>
      <c r="AF3605" s="23"/>
      <c r="AG3605" s="23"/>
      <c r="AH3605" s="23"/>
      <c r="AI3605" s="49"/>
    </row>
    <row r="3606" spans="1:35">
      <c r="A3606" s="23"/>
      <c r="B3606" s="42"/>
      <c r="C3606" s="49"/>
      <c r="E3606" s="49"/>
      <c r="G3606" s="43"/>
      <c r="H3606" s="44"/>
      <c r="L3606" s="42"/>
      <c r="M3606" s="42"/>
      <c r="N3606" s="25"/>
      <c r="O3606" s="54"/>
      <c r="P3606"/>
      <c r="Q3606" s="25"/>
      <c r="R3606" s="54"/>
      <c r="W3606" s="23"/>
      <c r="X3606" s="23"/>
      <c r="Y3606" s="23"/>
      <c r="Z3606" s="43"/>
      <c r="AA3606" s="23"/>
      <c r="AB3606" s="23"/>
      <c r="AC3606" s="23"/>
      <c r="AD3606" s="23"/>
      <c r="AE3606" s="23"/>
      <c r="AF3606" s="23"/>
      <c r="AG3606" s="23"/>
      <c r="AH3606" s="23"/>
      <c r="AI3606" s="49"/>
    </row>
    <row r="3607" spans="1:35">
      <c r="A3607" s="23"/>
      <c r="B3607" s="42"/>
      <c r="C3607" s="49"/>
      <c r="E3607" s="49"/>
      <c r="G3607" s="43"/>
      <c r="H3607" s="44"/>
      <c r="L3607" s="42"/>
      <c r="M3607" s="42"/>
      <c r="N3607" s="25"/>
      <c r="O3607" s="54"/>
      <c r="P3607"/>
      <c r="Q3607" s="25"/>
      <c r="R3607" s="54"/>
      <c r="W3607" s="23"/>
      <c r="X3607" s="23"/>
      <c r="Y3607" s="23"/>
      <c r="Z3607" s="43"/>
      <c r="AA3607" s="23"/>
      <c r="AB3607" s="23"/>
      <c r="AC3607" s="23"/>
      <c r="AD3607" s="23"/>
      <c r="AE3607" s="23"/>
      <c r="AF3607" s="23"/>
      <c r="AG3607" s="23"/>
      <c r="AH3607" s="23"/>
      <c r="AI3607" s="49"/>
    </row>
    <row r="3608" spans="1:35">
      <c r="A3608" s="23"/>
      <c r="B3608" s="42"/>
      <c r="C3608" s="49"/>
      <c r="E3608" s="49"/>
      <c r="G3608" s="43"/>
      <c r="H3608" s="44"/>
      <c r="L3608" s="42"/>
      <c r="M3608" s="42"/>
      <c r="N3608" s="25"/>
      <c r="O3608" s="54"/>
      <c r="P3608"/>
      <c r="Q3608" s="25"/>
      <c r="R3608" s="54"/>
      <c r="W3608" s="23"/>
      <c r="X3608" s="23"/>
      <c r="Y3608" s="23"/>
      <c r="Z3608" s="43"/>
      <c r="AA3608" s="23"/>
      <c r="AB3608" s="23"/>
      <c r="AC3608" s="23"/>
      <c r="AD3608" s="23"/>
      <c r="AE3608" s="23"/>
      <c r="AF3608" s="23"/>
      <c r="AG3608" s="23"/>
      <c r="AH3608" s="23"/>
      <c r="AI3608" s="49"/>
    </row>
    <row r="3609" spans="1:35">
      <c r="A3609" s="23"/>
      <c r="B3609" s="42"/>
      <c r="C3609" s="49"/>
      <c r="E3609" s="49"/>
      <c r="G3609" s="43"/>
      <c r="H3609" s="44"/>
      <c r="L3609" s="42"/>
      <c r="M3609" s="42"/>
      <c r="N3609" s="25"/>
      <c r="O3609" s="54"/>
      <c r="P3609"/>
      <c r="Q3609" s="25"/>
      <c r="R3609" s="54"/>
      <c r="W3609" s="23"/>
      <c r="X3609" s="23"/>
      <c r="Y3609" s="23"/>
      <c r="Z3609" s="43"/>
      <c r="AA3609" s="23"/>
      <c r="AB3609" s="23"/>
      <c r="AC3609" s="23"/>
      <c r="AD3609" s="23"/>
      <c r="AE3609" s="23"/>
      <c r="AF3609" s="23"/>
      <c r="AG3609" s="23"/>
      <c r="AH3609" s="23"/>
      <c r="AI3609" s="49"/>
    </row>
    <row r="3610" spans="1:35">
      <c r="A3610" s="23"/>
      <c r="B3610" s="42"/>
      <c r="C3610" s="49"/>
      <c r="E3610" s="49"/>
      <c r="G3610" s="43"/>
      <c r="H3610" s="44"/>
      <c r="L3610" s="42"/>
      <c r="M3610" s="42"/>
      <c r="N3610" s="25"/>
      <c r="O3610" s="54"/>
      <c r="P3610"/>
      <c r="Q3610" s="25"/>
      <c r="R3610" s="54"/>
      <c r="W3610" s="23"/>
      <c r="X3610" s="23"/>
      <c r="Y3610" s="23"/>
      <c r="Z3610" s="43"/>
      <c r="AA3610" s="23"/>
      <c r="AB3610" s="23"/>
      <c r="AC3610" s="23"/>
      <c r="AD3610" s="23"/>
      <c r="AE3610" s="23"/>
      <c r="AF3610" s="23"/>
      <c r="AG3610" s="23"/>
      <c r="AH3610" s="23"/>
      <c r="AI3610" s="49"/>
    </row>
    <row r="3611" spans="1:35">
      <c r="A3611" s="23"/>
      <c r="B3611" s="42"/>
      <c r="C3611" s="49"/>
      <c r="E3611" s="49"/>
      <c r="G3611" s="43"/>
      <c r="H3611" s="44"/>
      <c r="L3611" s="42"/>
      <c r="M3611" s="42"/>
      <c r="N3611" s="25"/>
      <c r="O3611" s="54"/>
      <c r="P3611"/>
      <c r="Q3611" s="25"/>
      <c r="R3611" s="54"/>
      <c r="W3611" s="23"/>
      <c r="X3611" s="23"/>
      <c r="Y3611" s="23"/>
      <c r="Z3611" s="43"/>
      <c r="AA3611" s="23"/>
      <c r="AB3611" s="23"/>
      <c r="AC3611" s="23"/>
      <c r="AD3611" s="23"/>
      <c r="AE3611" s="23"/>
      <c r="AF3611" s="23"/>
      <c r="AG3611" s="23"/>
      <c r="AH3611" s="23"/>
      <c r="AI3611" s="49"/>
    </row>
    <row r="3612" spans="1:35">
      <c r="A3612" s="23"/>
      <c r="B3612" s="42"/>
      <c r="C3612" s="49"/>
      <c r="E3612" s="49"/>
      <c r="G3612" s="43"/>
      <c r="H3612" s="44"/>
      <c r="L3612" s="42"/>
      <c r="M3612" s="42"/>
      <c r="N3612" s="25"/>
      <c r="O3612" s="54"/>
      <c r="P3612"/>
      <c r="Q3612" s="25"/>
      <c r="R3612" s="54"/>
      <c r="W3612" s="23"/>
      <c r="X3612" s="23"/>
      <c r="Y3612" s="23"/>
      <c r="Z3612" s="43"/>
      <c r="AA3612" s="23"/>
      <c r="AB3612" s="23"/>
      <c r="AC3612" s="23"/>
      <c r="AD3612" s="23"/>
      <c r="AE3612" s="23"/>
      <c r="AF3612" s="23"/>
      <c r="AG3612" s="23"/>
      <c r="AH3612" s="23"/>
      <c r="AI3612" s="49"/>
    </row>
    <row r="3613" spans="1:35">
      <c r="A3613" s="23"/>
      <c r="B3613" s="42"/>
      <c r="C3613" s="49"/>
      <c r="E3613" s="49"/>
      <c r="G3613" s="43"/>
      <c r="H3613" s="44"/>
      <c r="L3613" s="42"/>
      <c r="M3613" s="42"/>
      <c r="N3613" s="25"/>
      <c r="O3613" s="54"/>
      <c r="P3613"/>
      <c r="Q3613" s="25"/>
      <c r="R3613" s="54"/>
      <c r="W3613" s="23"/>
      <c r="X3613" s="23"/>
      <c r="Y3613" s="23"/>
      <c r="Z3613" s="43"/>
      <c r="AA3613" s="23"/>
      <c r="AB3613" s="23"/>
      <c r="AC3613" s="23"/>
      <c r="AD3613" s="23"/>
      <c r="AE3613" s="23"/>
      <c r="AF3613" s="23"/>
      <c r="AG3613" s="23"/>
      <c r="AH3613" s="23"/>
      <c r="AI3613" s="49"/>
    </row>
    <row r="3614" spans="1:35">
      <c r="A3614" s="23"/>
      <c r="B3614" s="42"/>
      <c r="C3614" s="49"/>
      <c r="E3614" s="49"/>
      <c r="G3614" s="43"/>
      <c r="H3614" s="44"/>
      <c r="L3614" s="42"/>
      <c r="M3614" s="42"/>
      <c r="N3614" s="25"/>
      <c r="O3614" s="54"/>
      <c r="P3614"/>
      <c r="Q3614" s="25"/>
      <c r="R3614" s="54"/>
      <c r="W3614" s="23"/>
      <c r="X3614" s="23"/>
      <c r="Y3614" s="23"/>
      <c r="Z3614" s="43"/>
      <c r="AA3614" s="23"/>
      <c r="AB3614" s="23"/>
      <c r="AC3614" s="23"/>
      <c r="AD3614" s="23"/>
      <c r="AE3614" s="23"/>
      <c r="AF3614" s="23"/>
      <c r="AG3614" s="23"/>
      <c r="AH3614" s="23"/>
      <c r="AI3614" s="49"/>
    </row>
    <row r="3615" spans="1:35">
      <c r="A3615" s="23"/>
      <c r="B3615" s="42"/>
      <c r="C3615" s="49"/>
      <c r="E3615" s="49"/>
      <c r="G3615" s="43"/>
      <c r="H3615" s="44"/>
      <c r="L3615" s="42"/>
      <c r="M3615" s="42"/>
      <c r="N3615" s="25"/>
      <c r="O3615" s="54"/>
      <c r="P3615"/>
      <c r="Q3615" s="25"/>
      <c r="R3615" s="54"/>
      <c r="W3615" s="23"/>
      <c r="X3615" s="23"/>
      <c r="Y3615" s="23"/>
      <c r="Z3615" s="43"/>
      <c r="AA3615" s="23"/>
      <c r="AB3615" s="23"/>
      <c r="AC3615" s="23"/>
      <c r="AD3615" s="23"/>
      <c r="AE3615" s="23"/>
      <c r="AF3615" s="23"/>
      <c r="AG3615" s="23"/>
      <c r="AH3615" s="23"/>
      <c r="AI3615" s="49"/>
    </row>
    <row r="3616" spans="1:35">
      <c r="A3616" s="23"/>
      <c r="B3616" s="42"/>
      <c r="C3616" s="49"/>
      <c r="E3616" s="49"/>
      <c r="G3616" s="43"/>
      <c r="H3616" s="44"/>
      <c r="L3616" s="42"/>
      <c r="M3616" s="42"/>
      <c r="N3616" s="25"/>
      <c r="O3616" s="54"/>
      <c r="P3616"/>
      <c r="Q3616" s="25"/>
      <c r="R3616" s="54"/>
      <c r="W3616" s="23"/>
      <c r="X3616" s="23"/>
      <c r="Y3616" s="23"/>
      <c r="Z3616" s="43"/>
      <c r="AA3616" s="23"/>
      <c r="AB3616" s="23"/>
      <c r="AC3616" s="23"/>
      <c r="AD3616" s="23"/>
      <c r="AE3616" s="23"/>
      <c r="AF3616" s="23"/>
      <c r="AG3616" s="23"/>
      <c r="AH3616" s="23"/>
      <c r="AI3616" s="49"/>
    </row>
    <row r="3617" spans="1:35">
      <c r="A3617" s="23"/>
      <c r="B3617" s="42"/>
      <c r="C3617" s="49"/>
      <c r="E3617" s="49"/>
      <c r="G3617" s="43"/>
      <c r="H3617" s="44"/>
      <c r="L3617" s="42"/>
      <c r="M3617" s="42"/>
      <c r="N3617" s="25"/>
      <c r="O3617" s="54"/>
      <c r="P3617"/>
      <c r="Q3617" s="25"/>
      <c r="R3617" s="54"/>
      <c r="W3617" s="23"/>
      <c r="X3617" s="23"/>
      <c r="Y3617" s="23"/>
      <c r="Z3617" s="43"/>
      <c r="AA3617" s="23"/>
      <c r="AB3617" s="23"/>
      <c r="AC3617" s="23"/>
      <c r="AD3617" s="23"/>
      <c r="AE3617" s="23"/>
      <c r="AF3617" s="23"/>
      <c r="AG3617" s="23"/>
      <c r="AH3617" s="23"/>
      <c r="AI3617" s="49"/>
    </row>
    <row r="3618" spans="1:35">
      <c r="A3618" s="23"/>
      <c r="B3618" s="42"/>
      <c r="C3618" s="49"/>
      <c r="E3618" s="49"/>
      <c r="G3618" s="43"/>
      <c r="H3618" s="44"/>
      <c r="L3618" s="42"/>
      <c r="M3618" s="42"/>
      <c r="N3618" s="25"/>
      <c r="O3618" s="54"/>
      <c r="P3618"/>
      <c r="Q3618" s="25"/>
      <c r="R3618" s="54"/>
      <c r="W3618" s="23"/>
      <c r="X3618" s="23"/>
      <c r="Y3618" s="23"/>
      <c r="Z3618" s="43"/>
      <c r="AA3618" s="23"/>
      <c r="AB3618" s="23"/>
      <c r="AC3618" s="23"/>
      <c r="AD3618" s="23"/>
      <c r="AE3618" s="23"/>
      <c r="AF3618" s="23"/>
      <c r="AG3618" s="23"/>
      <c r="AH3618" s="23"/>
      <c r="AI3618" s="49"/>
    </row>
    <row r="3619" spans="1:35">
      <c r="A3619" s="23"/>
      <c r="B3619" s="42"/>
      <c r="C3619" s="49"/>
      <c r="E3619" s="49"/>
      <c r="G3619" s="43"/>
      <c r="H3619" s="44"/>
      <c r="L3619" s="42"/>
      <c r="M3619" s="42"/>
      <c r="N3619" s="25"/>
      <c r="O3619" s="54"/>
      <c r="P3619"/>
      <c r="Q3619" s="25"/>
      <c r="R3619" s="54"/>
      <c r="W3619" s="23"/>
      <c r="X3619" s="23"/>
      <c r="Y3619" s="23"/>
      <c r="Z3619" s="43"/>
      <c r="AA3619" s="23"/>
      <c r="AB3619" s="23"/>
      <c r="AC3619" s="23"/>
      <c r="AD3619" s="23"/>
      <c r="AE3619" s="23"/>
      <c r="AF3619" s="23"/>
      <c r="AG3619" s="23"/>
      <c r="AH3619" s="23"/>
      <c r="AI3619" s="49"/>
    </row>
    <row r="3620" spans="1:35">
      <c r="A3620" s="23"/>
      <c r="B3620" s="42"/>
      <c r="C3620" s="49"/>
      <c r="E3620" s="49"/>
      <c r="G3620" s="43"/>
      <c r="H3620" s="44"/>
      <c r="L3620" s="42"/>
      <c r="M3620" s="42"/>
      <c r="N3620" s="25"/>
      <c r="O3620" s="54"/>
      <c r="P3620"/>
      <c r="Q3620" s="25"/>
      <c r="R3620" s="54"/>
      <c r="W3620" s="23"/>
      <c r="X3620" s="23"/>
      <c r="Y3620" s="23"/>
      <c r="Z3620" s="43"/>
      <c r="AA3620" s="23"/>
      <c r="AB3620" s="23"/>
      <c r="AC3620" s="23"/>
      <c r="AD3620" s="23"/>
      <c r="AE3620" s="23"/>
      <c r="AF3620" s="23"/>
      <c r="AG3620" s="23"/>
      <c r="AH3620" s="23"/>
      <c r="AI3620" s="49"/>
    </row>
    <row r="3621" spans="1:35">
      <c r="A3621" s="23"/>
      <c r="B3621" s="42"/>
      <c r="C3621" s="49"/>
      <c r="E3621" s="49"/>
      <c r="G3621" s="43"/>
      <c r="H3621" s="44"/>
      <c r="L3621" s="42"/>
      <c r="M3621" s="42"/>
      <c r="N3621" s="25"/>
      <c r="O3621" s="54"/>
      <c r="P3621"/>
      <c r="Q3621" s="25"/>
      <c r="R3621" s="54"/>
      <c r="W3621" s="23"/>
      <c r="X3621" s="23"/>
      <c r="Y3621" s="23"/>
      <c r="Z3621" s="43"/>
      <c r="AA3621" s="23"/>
      <c r="AB3621" s="23"/>
      <c r="AC3621" s="23"/>
      <c r="AD3621" s="23"/>
      <c r="AE3621" s="23"/>
      <c r="AF3621" s="23"/>
      <c r="AG3621" s="23"/>
      <c r="AH3621" s="23"/>
      <c r="AI3621" s="49"/>
    </row>
    <row r="3622" spans="1:35">
      <c r="A3622" s="23"/>
      <c r="B3622" s="42"/>
      <c r="C3622" s="49"/>
      <c r="E3622" s="49"/>
      <c r="G3622" s="43"/>
      <c r="H3622" s="44"/>
      <c r="L3622" s="42"/>
      <c r="M3622" s="42"/>
      <c r="N3622" s="25"/>
      <c r="O3622" s="54"/>
      <c r="P3622"/>
      <c r="Q3622" s="25"/>
      <c r="R3622" s="54"/>
      <c r="W3622" s="23"/>
      <c r="X3622" s="23"/>
      <c r="Y3622" s="23"/>
      <c r="Z3622" s="43"/>
      <c r="AA3622" s="23"/>
      <c r="AB3622" s="23"/>
      <c r="AC3622" s="23"/>
      <c r="AD3622" s="23"/>
      <c r="AE3622" s="23"/>
      <c r="AF3622" s="23"/>
      <c r="AG3622" s="23"/>
      <c r="AH3622" s="23"/>
      <c r="AI3622" s="49"/>
    </row>
    <row r="3623" spans="1:35">
      <c r="A3623" s="23"/>
      <c r="B3623" s="42"/>
      <c r="C3623" s="49"/>
      <c r="E3623" s="49"/>
      <c r="G3623" s="43"/>
      <c r="H3623" s="44"/>
      <c r="L3623" s="42"/>
      <c r="M3623" s="42"/>
      <c r="N3623" s="25"/>
      <c r="O3623" s="54"/>
      <c r="P3623"/>
      <c r="Q3623" s="25"/>
      <c r="R3623" s="54"/>
      <c r="W3623" s="23"/>
      <c r="X3623" s="23"/>
      <c r="Y3623" s="23"/>
      <c r="Z3623" s="43"/>
      <c r="AA3623" s="23"/>
      <c r="AB3623" s="23"/>
      <c r="AC3623" s="23"/>
      <c r="AD3623" s="23"/>
      <c r="AE3623" s="23"/>
      <c r="AF3623" s="23"/>
      <c r="AG3623" s="23"/>
      <c r="AH3623" s="23"/>
      <c r="AI3623" s="49"/>
    </row>
    <row r="3624" spans="1:35">
      <c r="A3624" s="23"/>
      <c r="B3624" s="42"/>
      <c r="C3624" s="49"/>
      <c r="E3624" s="49"/>
      <c r="G3624" s="43"/>
      <c r="H3624" s="44"/>
      <c r="L3624" s="42"/>
      <c r="M3624" s="42"/>
      <c r="N3624" s="25"/>
      <c r="O3624" s="54"/>
      <c r="P3624"/>
      <c r="Q3624" s="25"/>
      <c r="R3624" s="54"/>
      <c r="W3624" s="23"/>
      <c r="X3624" s="23"/>
      <c r="Y3624" s="23"/>
      <c r="Z3624" s="43"/>
      <c r="AA3624" s="23"/>
      <c r="AB3624" s="23"/>
      <c r="AC3624" s="23"/>
      <c r="AD3624" s="23"/>
      <c r="AE3624" s="23"/>
      <c r="AF3624" s="23"/>
      <c r="AG3624" s="23"/>
      <c r="AH3624" s="23"/>
      <c r="AI3624" s="49"/>
    </row>
    <row r="3625" spans="1:35">
      <c r="A3625" s="23"/>
      <c r="B3625" s="42"/>
      <c r="C3625" s="49"/>
      <c r="E3625" s="49"/>
      <c r="G3625" s="43"/>
      <c r="H3625" s="44"/>
      <c r="L3625" s="42"/>
      <c r="M3625" s="42"/>
      <c r="N3625" s="25"/>
      <c r="O3625" s="54"/>
      <c r="P3625"/>
      <c r="Q3625" s="25"/>
      <c r="R3625" s="54"/>
      <c r="W3625" s="23"/>
      <c r="X3625" s="23"/>
      <c r="Y3625" s="23"/>
      <c r="Z3625" s="43"/>
      <c r="AA3625" s="23"/>
      <c r="AB3625" s="23"/>
      <c r="AC3625" s="23"/>
      <c r="AD3625" s="23"/>
      <c r="AE3625" s="23"/>
      <c r="AF3625" s="23"/>
      <c r="AG3625" s="23"/>
      <c r="AH3625" s="23"/>
      <c r="AI3625" s="49"/>
    </row>
    <row r="3626" spans="1:35">
      <c r="A3626" s="23"/>
      <c r="B3626" s="42"/>
      <c r="C3626" s="49"/>
      <c r="E3626" s="49"/>
      <c r="G3626" s="43"/>
      <c r="H3626" s="44"/>
      <c r="L3626" s="42"/>
      <c r="M3626" s="42"/>
      <c r="N3626" s="25"/>
      <c r="O3626" s="54"/>
      <c r="P3626"/>
      <c r="Q3626" s="25"/>
      <c r="R3626" s="54"/>
      <c r="W3626" s="23"/>
      <c r="X3626" s="23"/>
      <c r="Y3626" s="23"/>
      <c r="Z3626" s="43"/>
      <c r="AA3626" s="23"/>
      <c r="AB3626" s="23"/>
      <c r="AC3626" s="23"/>
      <c r="AD3626" s="23"/>
      <c r="AE3626" s="23"/>
      <c r="AF3626" s="23"/>
      <c r="AG3626" s="23"/>
      <c r="AH3626" s="23"/>
      <c r="AI3626" s="49"/>
    </row>
    <row r="3627" spans="1:35">
      <c r="A3627" s="23"/>
      <c r="B3627" s="42"/>
      <c r="C3627" s="49"/>
      <c r="E3627" s="49"/>
      <c r="G3627" s="43"/>
      <c r="H3627" s="44"/>
      <c r="L3627" s="42"/>
      <c r="M3627" s="42"/>
      <c r="N3627" s="25"/>
      <c r="O3627" s="54"/>
      <c r="P3627"/>
      <c r="Q3627" s="25"/>
      <c r="R3627" s="54"/>
      <c r="W3627" s="23"/>
      <c r="X3627" s="23"/>
      <c r="Y3627" s="23"/>
      <c r="Z3627" s="43"/>
      <c r="AA3627" s="23"/>
      <c r="AB3627" s="23"/>
      <c r="AC3627" s="23"/>
      <c r="AD3627" s="23"/>
      <c r="AE3627" s="23"/>
      <c r="AF3627" s="23"/>
      <c r="AG3627" s="23"/>
      <c r="AH3627" s="23"/>
      <c r="AI3627" s="49"/>
    </row>
    <row r="3628" spans="1:35">
      <c r="A3628" s="23"/>
      <c r="B3628" s="42"/>
      <c r="C3628" s="49"/>
      <c r="E3628" s="49"/>
      <c r="G3628" s="43"/>
      <c r="H3628" s="44"/>
      <c r="L3628" s="42"/>
      <c r="M3628" s="42"/>
      <c r="N3628" s="25"/>
      <c r="O3628" s="54"/>
      <c r="P3628"/>
      <c r="Q3628" s="25"/>
      <c r="R3628" s="54"/>
      <c r="W3628" s="23"/>
      <c r="X3628" s="23"/>
      <c r="Y3628" s="23"/>
      <c r="Z3628" s="43"/>
      <c r="AA3628" s="23"/>
      <c r="AB3628" s="23"/>
      <c r="AC3628" s="23"/>
      <c r="AD3628" s="23"/>
      <c r="AE3628" s="23"/>
      <c r="AF3628" s="23"/>
      <c r="AG3628" s="23"/>
      <c r="AH3628" s="23"/>
      <c r="AI3628" s="49"/>
    </row>
    <row r="3629" spans="1:35">
      <c r="A3629" s="23"/>
      <c r="B3629" s="42"/>
      <c r="C3629" s="49"/>
      <c r="E3629" s="49"/>
      <c r="G3629" s="43"/>
      <c r="H3629" s="44"/>
      <c r="L3629" s="42"/>
      <c r="M3629" s="42"/>
      <c r="N3629" s="25"/>
      <c r="O3629" s="54"/>
      <c r="P3629"/>
      <c r="Q3629" s="25"/>
      <c r="R3629" s="54"/>
      <c r="W3629" s="23"/>
      <c r="X3629" s="23"/>
      <c r="Y3629" s="23"/>
      <c r="Z3629" s="43"/>
      <c r="AA3629" s="23"/>
      <c r="AB3629" s="23"/>
      <c r="AC3629" s="23"/>
      <c r="AD3629" s="23"/>
      <c r="AE3629" s="23"/>
      <c r="AF3629" s="23"/>
      <c r="AG3629" s="23"/>
      <c r="AH3629" s="23"/>
      <c r="AI3629" s="49"/>
    </row>
    <row r="3630" spans="1:35">
      <c r="A3630" s="23"/>
      <c r="B3630" s="42"/>
      <c r="C3630" s="49"/>
      <c r="E3630" s="49"/>
      <c r="G3630" s="43"/>
      <c r="H3630" s="44"/>
      <c r="L3630" s="42"/>
      <c r="M3630" s="42"/>
      <c r="N3630" s="25"/>
      <c r="O3630" s="54"/>
      <c r="P3630"/>
      <c r="Q3630" s="25"/>
      <c r="R3630" s="54"/>
      <c r="W3630" s="23"/>
      <c r="X3630" s="23"/>
      <c r="Y3630" s="23"/>
      <c r="Z3630" s="43"/>
      <c r="AA3630" s="23"/>
      <c r="AB3630" s="23"/>
      <c r="AC3630" s="23"/>
      <c r="AD3630" s="23"/>
      <c r="AE3630" s="23"/>
      <c r="AF3630" s="23"/>
      <c r="AG3630" s="23"/>
      <c r="AH3630" s="23"/>
      <c r="AI3630" s="49"/>
    </row>
    <row r="3631" spans="1:35">
      <c r="A3631" s="23"/>
      <c r="B3631" s="42"/>
      <c r="C3631" s="49"/>
      <c r="E3631" s="49"/>
      <c r="G3631" s="43"/>
      <c r="H3631" s="44"/>
      <c r="L3631" s="42"/>
      <c r="M3631" s="42"/>
      <c r="N3631" s="25"/>
      <c r="O3631" s="54"/>
      <c r="P3631"/>
      <c r="Q3631" s="25"/>
      <c r="R3631" s="54"/>
      <c r="W3631" s="23"/>
      <c r="X3631" s="23"/>
      <c r="Y3631" s="23"/>
      <c r="Z3631" s="43"/>
      <c r="AA3631" s="23"/>
      <c r="AB3631" s="23"/>
      <c r="AC3631" s="23"/>
      <c r="AD3631" s="23"/>
      <c r="AE3631" s="23"/>
      <c r="AF3631" s="23"/>
      <c r="AG3631" s="23"/>
      <c r="AH3631" s="23"/>
      <c r="AI3631" s="49"/>
    </row>
    <row r="3632" spans="1:35">
      <c r="A3632" s="23"/>
      <c r="B3632" s="42"/>
      <c r="C3632" s="49"/>
      <c r="E3632" s="49"/>
      <c r="G3632" s="43"/>
      <c r="H3632" s="44"/>
      <c r="L3632" s="42"/>
      <c r="M3632" s="42"/>
      <c r="N3632" s="25"/>
      <c r="O3632" s="54"/>
      <c r="P3632"/>
      <c r="Q3632" s="25"/>
      <c r="R3632" s="54"/>
      <c r="W3632" s="23"/>
      <c r="X3632" s="23"/>
      <c r="Y3632" s="23"/>
      <c r="Z3632" s="43"/>
      <c r="AA3632" s="23"/>
      <c r="AB3632" s="23"/>
      <c r="AC3632" s="23"/>
      <c r="AD3632" s="23"/>
      <c r="AE3632" s="23"/>
      <c r="AF3632" s="23"/>
      <c r="AG3632" s="23"/>
      <c r="AH3632" s="23"/>
      <c r="AI3632" s="49"/>
    </row>
    <row r="3633" spans="1:35">
      <c r="A3633" s="23"/>
      <c r="B3633" s="42"/>
      <c r="C3633" s="49"/>
      <c r="E3633" s="49"/>
      <c r="G3633" s="43"/>
      <c r="H3633" s="44"/>
      <c r="L3633" s="42"/>
      <c r="M3633" s="42"/>
      <c r="N3633" s="25"/>
      <c r="O3633" s="54"/>
      <c r="P3633"/>
      <c r="Q3633" s="25"/>
      <c r="R3633" s="54"/>
      <c r="W3633" s="23"/>
      <c r="X3633" s="23"/>
      <c r="Y3633" s="23"/>
      <c r="Z3633" s="43"/>
      <c r="AA3633" s="23"/>
      <c r="AB3633" s="23"/>
      <c r="AC3633" s="23"/>
      <c r="AD3633" s="23"/>
      <c r="AE3633" s="23"/>
      <c r="AF3633" s="23"/>
      <c r="AG3633" s="23"/>
      <c r="AH3633" s="23"/>
      <c r="AI3633" s="49"/>
    </row>
    <row r="3634" spans="1:35">
      <c r="A3634" s="23"/>
      <c r="B3634" s="42"/>
      <c r="C3634" s="49"/>
      <c r="E3634" s="49"/>
      <c r="G3634" s="43"/>
      <c r="H3634" s="44"/>
      <c r="L3634" s="42"/>
      <c r="M3634" s="42"/>
      <c r="N3634" s="25"/>
      <c r="O3634" s="54"/>
      <c r="P3634"/>
      <c r="Q3634" s="25"/>
      <c r="R3634" s="54"/>
      <c r="W3634" s="23"/>
      <c r="X3634" s="23"/>
      <c r="Y3634" s="23"/>
      <c r="Z3634" s="43"/>
      <c r="AA3634" s="23"/>
      <c r="AB3634" s="23"/>
      <c r="AC3634" s="23"/>
      <c r="AD3634" s="23"/>
      <c r="AE3634" s="23"/>
      <c r="AF3634" s="23"/>
      <c r="AG3634" s="23"/>
      <c r="AH3634" s="23"/>
      <c r="AI3634" s="49"/>
    </row>
    <row r="3635" spans="1:35">
      <c r="A3635" s="23"/>
      <c r="B3635" s="42"/>
      <c r="C3635" s="49"/>
      <c r="E3635" s="49"/>
      <c r="G3635" s="43"/>
      <c r="H3635" s="44"/>
      <c r="L3635" s="42"/>
      <c r="M3635" s="42"/>
      <c r="N3635" s="25"/>
      <c r="O3635" s="54"/>
      <c r="P3635"/>
      <c r="Q3635" s="25"/>
      <c r="R3635" s="54"/>
      <c r="W3635" s="23"/>
      <c r="X3635" s="23"/>
      <c r="Y3635" s="23"/>
      <c r="Z3635" s="43"/>
      <c r="AA3635" s="23"/>
      <c r="AB3635" s="23"/>
      <c r="AC3635" s="23"/>
      <c r="AD3635" s="23"/>
      <c r="AE3635" s="23"/>
      <c r="AF3635" s="23"/>
      <c r="AG3635" s="23"/>
      <c r="AH3635" s="23"/>
      <c r="AI3635" s="49"/>
    </row>
    <row r="3636" spans="1:35">
      <c r="A3636" s="23"/>
      <c r="B3636" s="42"/>
      <c r="C3636" s="49"/>
      <c r="E3636" s="49"/>
      <c r="G3636" s="43"/>
      <c r="H3636" s="44"/>
      <c r="L3636" s="42"/>
      <c r="M3636" s="42"/>
      <c r="N3636" s="25"/>
      <c r="O3636" s="54"/>
      <c r="P3636"/>
      <c r="Q3636" s="25"/>
      <c r="R3636" s="54"/>
      <c r="W3636" s="23"/>
      <c r="X3636" s="23"/>
      <c r="Y3636" s="23"/>
      <c r="Z3636" s="43"/>
      <c r="AA3636" s="23"/>
      <c r="AB3636" s="23"/>
      <c r="AC3636" s="23"/>
      <c r="AD3636" s="23"/>
      <c r="AE3636" s="23"/>
      <c r="AF3636" s="23"/>
      <c r="AG3636" s="23"/>
      <c r="AH3636" s="23"/>
      <c r="AI3636" s="49"/>
    </row>
    <row r="3637" spans="1:35">
      <c r="A3637" s="23"/>
      <c r="B3637" s="42"/>
      <c r="C3637" s="49"/>
      <c r="E3637" s="49"/>
      <c r="G3637" s="43"/>
      <c r="H3637" s="44"/>
      <c r="L3637" s="42"/>
      <c r="M3637" s="42"/>
      <c r="N3637" s="25"/>
      <c r="O3637" s="54"/>
      <c r="P3637"/>
      <c r="Q3637" s="25"/>
      <c r="R3637" s="54"/>
      <c r="W3637" s="23"/>
      <c r="X3637" s="23"/>
      <c r="Y3637" s="23"/>
      <c r="Z3637" s="43"/>
      <c r="AA3637" s="23"/>
      <c r="AB3637" s="23"/>
      <c r="AC3637" s="23"/>
      <c r="AD3637" s="23"/>
      <c r="AE3637" s="23"/>
      <c r="AF3637" s="23"/>
      <c r="AG3637" s="23"/>
      <c r="AH3637" s="23"/>
      <c r="AI3637" s="49"/>
    </row>
    <row r="3638" spans="1:35">
      <c r="A3638" s="23"/>
      <c r="B3638" s="42"/>
      <c r="C3638" s="49"/>
      <c r="E3638" s="49"/>
      <c r="G3638" s="43"/>
      <c r="H3638" s="44"/>
      <c r="L3638" s="42"/>
      <c r="M3638" s="42"/>
      <c r="N3638" s="25"/>
      <c r="O3638" s="54"/>
      <c r="P3638"/>
      <c r="Q3638" s="25"/>
      <c r="R3638" s="54"/>
      <c r="W3638" s="23"/>
      <c r="X3638" s="23"/>
      <c r="Y3638" s="23"/>
      <c r="Z3638" s="43"/>
      <c r="AA3638" s="23"/>
      <c r="AB3638" s="23"/>
      <c r="AC3638" s="23"/>
      <c r="AD3638" s="23"/>
      <c r="AE3638" s="23"/>
      <c r="AF3638" s="23"/>
      <c r="AG3638" s="23"/>
      <c r="AH3638" s="23"/>
      <c r="AI3638" s="49"/>
    </row>
    <row r="3639" spans="1:35">
      <c r="A3639" s="23"/>
      <c r="B3639" s="42"/>
      <c r="C3639" s="49"/>
      <c r="E3639" s="49"/>
      <c r="G3639" s="43"/>
      <c r="H3639" s="44"/>
      <c r="L3639" s="42"/>
      <c r="M3639" s="42"/>
      <c r="N3639" s="25"/>
      <c r="O3639" s="54"/>
      <c r="P3639"/>
      <c r="Q3639" s="25"/>
      <c r="R3639" s="54"/>
      <c r="W3639" s="23"/>
      <c r="X3639" s="23"/>
      <c r="Y3639" s="23"/>
      <c r="Z3639" s="43"/>
      <c r="AA3639" s="23"/>
      <c r="AB3639" s="23"/>
      <c r="AC3639" s="23"/>
      <c r="AD3639" s="23"/>
      <c r="AE3639" s="23"/>
      <c r="AF3639" s="23"/>
      <c r="AG3639" s="23"/>
      <c r="AH3639" s="23"/>
      <c r="AI3639" s="49"/>
    </row>
    <row r="3640" spans="1:35">
      <c r="A3640" s="23"/>
      <c r="B3640" s="42"/>
      <c r="C3640" s="49"/>
      <c r="E3640" s="49"/>
      <c r="G3640" s="43"/>
      <c r="H3640" s="44"/>
      <c r="L3640" s="42"/>
      <c r="M3640" s="42"/>
      <c r="N3640" s="25"/>
      <c r="O3640" s="54"/>
      <c r="P3640"/>
      <c r="Q3640" s="25"/>
      <c r="R3640" s="54"/>
      <c r="W3640" s="23"/>
      <c r="X3640" s="23"/>
      <c r="Y3640" s="23"/>
      <c r="Z3640" s="43"/>
      <c r="AA3640" s="23"/>
      <c r="AB3640" s="23"/>
      <c r="AC3640" s="23"/>
      <c r="AD3640" s="23"/>
      <c r="AE3640" s="23"/>
      <c r="AF3640" s="23"/>
      <c r="AG3640" s="23"/>
      <c r="AH3640" s="23"/>
      <c r="AI3640" s="49"/>
    </row>
    <row r="3641" spans="1:35">
      <c r="A3641" s="23"/>
      <c r="B3641" s="42"/>
      <c r="C3641" s="49"/>
      <c r="E3641" s="49"/>
      <c r="G3641" s="43"/>
      <c r="H3641" s="44"/>
      <c r="L3641" s="42"/>
      <c r="M3641" s="42"/>
      <c r="N3641" s="25"/>
      <c r="O3641" s="54"/>
      <c r="P3641"/>
      <c r="Q3641" s="25"/>
      <c r="R3641" s="54"/>
      <c r="W3641" s="23"/>
      <c r="X3641" s="23"/>
      <c r="Y3641" s="23"/>
      <c r="Z3641" s="43"/>
      <c r="AA3641" s="23"/>
      <c r="AB3641" s="23"/>
      <c r="AC3641" s="23"/>
      <c r="AD3641" s="23"/>
      <c r="AE3641" s="23"/>
      <c r="AF3641" s="23"/>
      <c r="AG3641" s="23"/>
      <c r="AH3641" s="23"/>
      <c r="AI3641" s="49"/>
    </row>
    <row r="3642" spans="1:35">
      <c r="A3642" s="23"/>
      <c r="B3642" s="42"/>
      <c r="C3642" s="49"/>
      <c r="E3642" s="49"/>
      <c r="G3642" s="43"/>
      <c r="H3642" s="44"/>
      <c r="L3642" s="42"/>
      <c r="M3642" s="42"/>
      <c r="N3642" s="25"/>
      <c r="O3642" s="54"/>
      <c r="P3642"/>
      <c r="Q3642" s="25"/>
      <c r="R3642" s="54"/>
      <c r="W3642" s="23"/>
      <c r="X3642" s="23"/>
      <c r="Y3642" s="23"/>
      <c r="Z3642" s="43"/>
      <c r="AA3642" s="23"/>
      <c r="AB3642" s="23"/>
      <c r="AC3642" s="23"/>
      <c r="AD3642" s="23"/>
      <c r="AE3642" s="23"/>
      <c r="AF3642" s="23"/>
      <c r="AG3642" s="23"/>
      <c r="AH3642" s="23"/>
      <c r="AI3642" s="49"/>
    </row>
    <row r="3643" spans="1:35">
      <c r="A3643" s="23"/>
      <c r="B3643" s="42"/>
      <c r="C3643" s="49"/>
      <c r="E3643" s="49"/>
      <c r="G3643" s="43"/>
      <c r="H3643" s="44"/>
      <c r="L3643" s="42"/>
      <c r="M3643" s="42"/>
      <c r="N3643" s="25"/>
      <c r="O3643" s="54"/>
      <c r="P3643"/>
      <c r="Q3643" s="25"/>
      <c r="R3643" s="54"/>
      <c r="W3643" s="23"/>
      <c r="X3643" s="23"/>
      <c r="Y3643" s="23"/>
      <c r="Z3643" s="43"/>
      <c r="AA3643" s="23"/>
      <c r="AB3643" s="23"/>
      <c r="AC3643" s="23"/>
      <c r="AD3643" s="23"/>
      <c r="AE3643" s="23"/>
      <c r="AF3643" s="23"/>
      <c r="AG3643" s="23"/>
      <c r="AH3643" s="23"/>
      <c r="AI3643" s="49"/>
    </row>
    <row r="3644" spans="1:35">
      <c r="A3644" s="23"/>
      <c r="B3644" s="42"/>
      <c r="C3644" s="49"/>
      <c r="E3644" s="49"/>
      <c r="G3644" s="43"/>
      <c r="H3644" s="44"/>
      <c r="L3644" s="42"/>
      <c r="M3644" s="42"/>
      <c r="N3644" s="25"/>
      <c r="O3644" s="54"/>
      <c r="P3644"/>
      <c r="Q3644" s="25"/>
      <c r="R3644" s="54"/>
      <c r="W3644" s="23"/>
      <c r="X3644" s="23"/>
      <c r="Y3644" s="23"/>
      <c r="Z3644" s="43"/>
      <c r="AA3644" s="23"/>
      <c r="AB3644" s="23"/>
      <c r="AC3644" s="23"/>
      <c r="AD3644" s="23"/>
      <c r="AE3644" s="23"/>
      <c r="AF3644" s="23"/>
      <c r="AG3644" s="23"/>
      <c r="AH3644" s="23"/>
      <c r="AI3644" s="49"/>
    </row>
    <row r="3645" spans="1:35">
      <c r="A3645" s="23"/>
      <c r="B3645" s="42"/>
      <c r="C3645" s="49"/>
      <c r="E3645" s="49"/>
      <c r="G3645" s="43"/>
      <c r="H3645" s="44"/>
      <c r="L3645" s="42"/>
      <c r="M3645" s="42"/>
      <c r="N3645" s="25"/>
      <c r="O3645" s="54"/>
      <c r="P3645"/>
      <c r="Q3645" s="25"/>
      <c r="R3645" s="54"/>
      <c r="W3645" s="23"/>
      <c r="X3645" s="23"/>
      <c r="Y3645" s="23"/>
      <c r="Z3645" s="43"/>
      <c r="AA3645" s="23"/>
      <c r="AB3645" s="23"/>
      <c r="AC3645" s="23"/>
      <c r="AD3645" s="23"/>
      <c r="AE3645" s="23"/>
      <c r="AF3645" s="23"/>
      <c r="AG3645" s="23"/>
      <c r="AH3645" s="23"/>
      <c r="AI3645" s="49"/>
    </row>
    <row r="3646" spans="1:35">
      <c r="A3646" s="23"/>
      <c r="B3646" s="42"/>
      <c r="C3646" s="49"/>
      <c r="E3646" s="49"/>
      <c r="G3646" s="43"/>
      <c r="H3646" s="44"/>
      <c r="L3646" s="42"/>
      <c r="M3646" s="42"/>
      <c r="N3646" s="25"/>
      <c r="O3646" s="54"/>
      <c r="P3646"/>
      <c r="Q3646" s="25"/>
      <c r="R3646" s="54"/>
      <c r="W3646" s="23"/>
      <c r="X3646" s="23"/>
      <c r="Y3646" s="23"/>
      <c r="Z3646" s="43"/>
      <c r="AA3646" s="23"/>
      <c r="AB3646" s="23"/>
      <c r="AC3646" s="23"/>
      <c r="AD3646" s="23"/>
      <c r="AE3646" s="23"/>
      <c r="AF3646" s="23"/>
      <c r="AG3646" s="23"/>
      <c r="AH3646" s="23"/>
      <c r="AI3646" s="49"/>
    </row>
    <row r="3647" spans="1:35">
      <c r="A3647" s="23"/>
      <c r="B3647" s="42"/>
      <c r="C3647" s="49"/>
      <c r="E3647" s="49"/>
      <c r="G3647" s="43"/>
      <c r="H3647" s="44"/>
      <c r="L3647" s="42"/>
      <c r="M3647" s="42"/>
      <c r="N3647" s="25"/>
      <c r="O3647" s="54"/>
      <c r="P3647"/>
      <c r="Q3647" s="25"/>
      <c r="R3647" s="54"/>
      <c r="W3647" s="23"/>
      <c r="X3647" s="23"/>
      <c r="Y3647" s="23"/>
      <c r="Z3647" s="43"/>
      <c r="AA3647" s="23"/>
      <c r="AB3647" s="23"/>
      <c r="AC3647" s="23"/>
      <c r="AD3647" s="23"/>
      <c r="AE3647" s="23"/>
      <c r="AF3647" s="23"/>
      <c r="AG3647" s="23"/>
      <c r="AH3647" s="23"/>
      <c r="AI3647" s="49"/>
    </row>
    <row r="3648" spans="1:35">
      <c r="A3648" s="23"/>
      <c r="B3648" s="42"/>
      <c r="C3648" s="49"/>
      <c r="E3648" s="49"/>
      <c r="G3648" s="43"/>
      <c r="H3648" s="44"/>
      <c r="L3648" s="42"/>
      <c r="M3648" s="42"/>
      <c r="N3648" s="25"/>
      <c r="O3648" s="54"/>
      <c r="P3648"/>
      <c r="Q3648" s="25"/>
      <c r="R3648" s="54"/>
      <c r="W3648" s="23"/>
      <c r="X3648" s="23"/>
      <c r="Y3648" s="23"/>
      <c r="Z3648" s="43"/>
      <c r="AA3648" s="23"/>
      <c r="AB3648" s="23"/>
      <c r="AC3648" s="23"/>
      <c r="AD3648" s="23"/>
      <c r="AE3648" s="23"/>
      <c r="AF3648" s="23"/>
      <c r="AG3648" s="23"/>
      <c r="AH3648" s="23"/>
      <c r="AI3648" s="49"/>
    </row>
    <row r="3649" spans="1:35">
      <c r="A3649" s="23"/>
      <c r="B3649" s="42"/>
      <c r="C3649" s="49"/>
      <c r="E3649" s="49"/>
      <c r="G3649" s="43"/>
      <c r="H3649" s="44"/>
      <c r="L3649" s="42"/>
      <c r="M3649" s="42"/>
      <c r="N3649" s="25"/>
      <c r="O3649" s="54"/>
      <c r="P3649"/>
      <c r="Q3649" s="25"/>
      <c r="R3649" s="54"/>
      <c r="W3649" s="23"/>
      <c r="X3649" s="23"/>
      <c r="Y3649" s="23"/>
      <c r="Z3649" s="43"/>
      <c r="AA3649" s="23"/>
      <c r="AB3649" s="23"/>
      <c r="AC3649" s="23"/>
      <c r="AD3649" s="23"/>
      <c r="AE3649" s="23"/>
      <c r="AF3649" s="23"/>
      <c r="AG3649" s="23"/>
      <c r="AH3649" s="23"/>
      <c r="AI3649" s="49"/>
    </row>
    <row r="3650" spans="1:35">
      <c r="A3650" s="23"/>
      <c r="B3650" s="42"/>
      <c r="C3650" s="49"/>
      <c r="E3650" s="49"/>
      <c r="G3650" s="43"/>
      <c r="H3650" s="44"/>
      <c r="L3650" s="42"/>
      <c r="M3650" s="42"/>
      <c r="N3650" s="25"/>
      <c r="O3650" s="54"/>
      <c r="P3650"/>
      <c r="Q3650" s="25"/>
      <c r="R3650" s="54"/>
      <c r="W3650" s="23"/>
      <c r="X3650" s="23"/>
      <c r="Y3650" s="23"/>
      <c r="Z3650" s="43"/>
      <c r="AA3650" s="23"/>
      <c r="AB3650" s="23"/>
      <c r="AC3650" s="23"/>
      <c r="AD3650" s="23"/>
      <c r="AE3650" s="23"/>
      <c r="AF3650" s="23"/>
      <c r="AG3650" s="23"/>
      <c r="AH3650" s="23"/>
      <c r="AI3650" s="49"/>
    </row>
    <row r="3651" spans="1:35">
      <c r="A3651" s="23"/>
      <c r="B3651" s="42"/>
      <c r="C3651" s="49"/>
      <c r="E3651" s="49"/>
      <c r="G3651" s="43"/>
      <c r="H3651" s="44"/>
      <c r="L3651" s="42"/>
      <c r="M3651" s="42"/>
      <c r="N3651" s="25"/>
      <c r="O3651" s="54"/>
      <c r="P3651"/>
      <c r="Q3651" s="25"/>
      <c r="R3651" s="54"/>
      <c r="W3651" s="23"/>
      <c r="X3651" s="23"/>
      <c r="Y3651" s="23"/>
      <c r="Z3651" s="43"/>
      <c r="AA3651" s="23"/>
      <c r="AB3651" s="23"/>
      <c r="AC3651" s="23"/>
      <c r="AD3651" s="23"/>
      <c r="AE3651" s="23"/>
      <c r="AF3651" s="23"/>
      <c r="AG3651" s="23"/>
      <c r="AH3651" s="23"/>
      <c r="AI3651" s="49"/>
    </row>
    <row r="3652" spans="1:35">
      <c r="A3652" s="23"/>
      <c r="B3652" s="42"/>
      <c r="C3652" s="49"/>
      <c r="E3652" s="49"/>
      <c r="G3652" s="43"/>
      <c r="H3652" s="44"/>
      <c r="L3652" s="42"/>
      <c r="M3652" s="42"/>
      <c r="N3652" s="25"/>
      <c r="O3652" s="54"/>
      <c r="P3652"/>
      <c r="Q3652" s="25"/>
      <c r="R3652" s="54"/>
      <c r="W3652" s="23"/>
      <c r="X3652" s="23"/>
      <c r="Y3652" s="23"/>
      <c r="Z3652" s="43"/>
      <c r="AA3652" s="23"/>
      <c r="AB3652" s="23"/>
      <c r="AC3652" s="23"/>
      <c r="AD3652" s="23"/>
      <c r="AE3652" s="23"/>
      <c r="AF3652" s="23"/>
      <c r="AG3652" s="23"/>
      <c r="AH3652" s="23"/>
      <c r="AI3652" s="49"/>
    </row>
    <row r="3653" spans="1:35">
      <c r="A3653" s="23"/>
      <c r="B3653" s="42"/>
      <c r="C3653" s="49"/>
      <c r="E3653" s="49"/>
      <c r="G3653" s="43"/>
      <c r="H3653" s="44"/>
      <c r="L3653" s="42"/>
      <c r="M3653" s="42"/>
      <c r="N3653" s="25"/>
      <c r="O3653" s="54"/>
      <c r="P3653"/>
      <c r="Q3653" s="25"/>
      <c r="R3653" s="54"/>
      <c r="W3653" s="23"/>
      <c r="X3653" s="23"/>
      <c r="Y3653" s="23"/>
      <c r="Z3653" s="43"/>
      <c r="AA3653" s="23"/>
      <c r="AB3653" s="23"/>
      <c r="AC3653" s="23"/>
      <c r="AD3653" s="23"/>
      <c r="AE3653" s="23"/>
      <c r="AF3653" s="23"/>
      <c r="AG3653" s="23"/>
      <c r="AH3653" s="23"/>
      <c r="AI3653" s="49"/>
    </row>
    <row r="3654" spans="1:35">
      <c r="A3654" s="23"/>
      <c r="B3654" s="42"/>
      <c r="C3654" s="49"/>
      <c r="E3654" s="49"/>
      <c r="G3654" s="43"/>
      <c r="H3654" s="44"/>
      <c r="L3654" s="42"/>
      <c r="M3654" s="42"/>
      <c r="N3654" s="25"/>
      <c r="O3654" s="54"/>
      <c r="P3654"/>
      <c r="Q3654" s="25"/>
      <c r="R3654" s="54"/>
      <c r="W3654" s="23"/>
      <c r="X3654" s="23"/>
      <c r="Y3654" s="23"/>
      <c r="Z3654" s="43"/>
      <c r="AA3654" s="23"/>
      <c r="AB3654" s="23"/>
      <c r="AC3654" s="23"/>
      <c r="AD3654" s="23"/>
      <c r="AE3654" s="23"/>
      <c r="AF3654" s="23"/>
      <c r="AG3654" s="23"/>
      <c r="AH3654" s="23"/>
      <c r="AI3654" s="49"/>
    </row>
    <row r="3655" spans="1:35">
      <c r="A3655" s="23"/>
      <c r="B3655" s="42"/>
      <c r="C3655" s="49"/>
      <c r="E3655" s="49"/>
      <c r="G3655" s="43"/>
      <c r="H3655" s="44"/>
      <c r="L3655" s="42"/>
      <c r="M3655" s="42"/>
      <c r="N3655" s="25"/>
      <c r="O3655" s="54"/>
      <c r="P3655"/>
      <c r="Q3655" s="25"/>
      <c r="R3655" s="54"/>
      <c r="W3655" s="23"/>
      <c r="X3655" s="23"/>
      <c r="Y3655" s="23"/>
      <c r="Z3655" s="43"/>
      <c r="AA3655" s="23"/>
      <c r="AB3655" s="23"/>
      <c r="AC3655" s="23"/>
      <c r="AD3655" s="23"/>
      <c r="AE3655" s="23"/>
      <c r="AF3655" s="23"/>
      <c r="AG3655" s="23"/>
      <c r="AH3655" s="23"/>
      <c r="AI3655" s="49"/>
    </row>
    <row r="3656" spans="1:35">
      <c r="A3656" s="23"/>
      <c r="B3656" s="42"/>
      <c r="C3656" s="49"/>
      <c r="E3656" s="49"/>
      <c r="G3656" s="43"/>
      <c r="H3656" s="44"/>
      <c r="L3656" s="42"/>
      <c r="M3656" s="42"/>
      <c r="N3656" s="25"/>
      <c r="O3656" s="54"/>
      <c r="P3656"/>
      <c r="Q3656" s="25"/>
      <c r="R3656" s="54"/>
      <c r="W3656" s="23"/>
      <c r="X3656" s="23"/>
      <c r="Y3656" s="23"/>
      <c r="Z3656" s="43"/>
      <c r="AA3656" s="23"/>
      <c r="AB3656" s="23"/>
      <c r="AC3656" s="23"/>
      <c r="AD3656" s="23"/>
      <c r="AE3656" s="23"/>
      <c r="AF3656" s="23"/>
      <c r="AG3656" s="23"/>
      <c r="AH3656" s="23"/>
      <c r="AI3656" s="49"/>
    </row>
    <row r="3657" spans="1:35">
      <c r="A3657" s="23"/>
      <c r="B3657" s="42"/>
      <c r="C3657" s="49"/>
      <c r="E3657" s="49"/>
      <c r="G3657" s="43"/>
      <c r="H3657" s="44"/>
      <c r="L3657" s="42"/>
      <c r="M3657" s="42"/>
      <c r="N3657" s="25"/>
      <c r="O3657" s="54"/>
      <c r="P3657"/>
      <c r="Q3657" s="25"/>
      <c r="R3657" s="54"/>
      <c r="W3657" s="23"/>
      <c r="X3657" s="23"/>
      <c r="Y3657" s="23"/>
      <c r="Z3657" s="43"/>
      <c r="AA3657" s="23"/>
      <c r="AB3657" s="23"/>
      <c r="AC3657" s="23"/>
      <c r="AD3657" s="23"/>
      <c r="AE3657" s="23"/>
      <c r="AF3657" s="23"/>
      <c r="AG3657" s="23"/>
      <c r="AH3657" s="23"/>
      <c r="AI3657" s="49"/>
    </row>
    <row r="3658" spans="1:35">
      <c r="A3658" s="23"/>
      <c r="B3658" s="42"/>
      <c r="C3658" s="49"/>
      <c r="E3658" s="49"/>
      <c r="G3658" s="43"/>
      <c r="H3658" s="44"/>
      <c r="L3658" s="42"/>
      <c r="M3658" s="42"/>
      <c r="N3658" s="25"/>
      <c r="O3658" s="54"/>
      <c r="P3658"/>
      <c r="Q3658" s="25"/>
      <c r="R3658" s="54"/>
      <c r="W3658" s="23"/>
      <c r="X3658" s="23"/>
      <c r="Y3658" s="23"/>
      <c r="Z3658" s="43"/>
      <c r="AA3658" s="23"/>
      <c r="AB3658" s="23"/>
      <c r="AC3658" s="23"/>
      <c r="AD3658" s="23"/>
      <c r="AE3658" s="23"/>
      <c r="AF3658" s="23"/>
      <c r="AG3658" s="23"/>
      <c r="AH3658" s="23"/>
      <c r="AI3658" s="49"/>
    </row>
    <row r="3659" spans="1:35">
      <c r="A3659" s="23"/>
      <c r="B3659" s="42"/>
      <c r="C3659" s="49"/>
      <c r="E3659" s="49"/>
      <c r="G3659" s="43"/>
      <c r="H3659" s="44"/>
      <c r="L3659" s="42"/>
      <c r="M3659" s="42"/>
      <c r="N3659" s="25"/>
      <c r="O3659" s="54"/>
      <c r="P3659"/>
      <c r="Q3659" s="25"/>
      <c r="R3659" s="54"/>
      <c r="W3659" s="23"/>
      <c r="X3659" s="23"/>
      <c r="Y3659" s="23"/>
      <c r="Z3659" s="43"/>
      <c r="AA3659" s="23"/>
      <c r="AB3659" s="23"/>
      <c r="AC3659" s="23"/>
      <c r="AD3659" s="23"/>
      <c r="AE3659" s="23"/>
      <c r="AF3659" s="23"/>
      <c r="AG3659" s="23"/>
      <c r="AH3659" s="23"/>
      <c r="AI3659" s="49"/>
    </row>
    <row r="3660" spans="1:35">
      <c r="A3660" s="23"/>
      <c r="B3660" s="42"/>
      <c r="C3660" s="49"/>
      <c r="E3660" s="49"/>
      <c r="G3660" s="43"/>
      <c r="H3660" s="44"/>
      <c r="L3660" s="42"/>
      <c r="M3660" s="42"/>
      <c r="N3660" s="25"/>
      <c r="O3660" s="54"/>
      <c r="P3660"/>
      <c r="Q3660" s="25"/>
      <c r="R3660" s="54"/>
      <c r="W3660" s="23"/>
      <c r="X3660" s="23"/>
      <c r="Y3660" s="23"/>
      <c r="Z3660" s="43"/>
      <c r="AA3660" s="23"/>
      <c r="AB3660" s="23"/>
      <c r="AC3660" s="23"/>
      <c r="AD3660" s="23"/>
      <c r="AE3660" s="23"/>
      <c r="AF3660" s="23"/>
      <c r="AG3660" s="23"/>
      <c r="AH3660" s="23"/>
      <c r="AI3660" s="49"/>
    </row>
    <row r="3661" spans="1:35">
      <c r="A3661" s="23"/>
      <c r="B3661" s="42"/>
      <c r="C3661" s="49"/>
      <c r="E3661" s="49"/>
      <c r="G3661" s="43"/>
      <c r="H3661" s="44"/>
      <c r="L3661" s="42"/>
      <c r="M3661" s="42"/>
      <c r="N3661" s="25"/>
      <c r="O3661" s="54"/>
      <c r="P3661"/>
      <c r="Q3661" s="25"/>
      <c r="R3661" s="54"/>
      <c r="W3661" s="23"/>
      <c r="X3661" s="23"/>
      <c r="Y3661" s="23"/>
      <c r="Z3661" s="43"/>
      <c r="AA3661" s="23"/>
      <c r="AB3661" s="23"/>
      <c r="AC3661" s="23"/>
      <c r="AD3661" s="23"/>
      <c r="AE3661" s="23"/>
      <c r="AF3661" s="23"/>
      <c r="AG3661" s="23"/>
      <c r="AH3661" s="23"/>
      <c r="AI3661" s="49"/>
    </row>
    <row r="3662" spans="1:35">
      <c r="A3662" s="23"/>
      <c r="B3662" s="42"/>
      <c r="C3662" s="49"/>
      <c r="E3662" s="49"/>
      <c r="G3662" s="43"/>
      <c r="H3662" s="44"/>
      <c r="L3662" s="42"/>
      <c r="M3662" s="42"/>
      <c r="N3662" s="25"/>
      <c r="O3662" s="54"/>
      <c r="P3662"/>
      <c r="Q3662" s="25"/>
      <c r="R3662" s="54"/>
      <c r="W3662" s="23"/>
      <c r="X3662" s="23"/>
      <c r="Y3662" s="23"/>
      <c r="Z3662" s="43"/>
      <c r="AA3662" s="23"/>
      <c r="AB3662" s="23"/>
      <c r="AC3662" s="23"/>
      <c r="AD3662" s="23"/>
      <c r="AE3662" s="23"/>
      <c r="AF3662" s="23"/>
      <c r="AG3662" s="23"/>
      <c r="AH3662" s="23"/>
      <c r="AI3662" s="49"/>
    </row>
    <row r="3663" spans="1:35">
      <c r="A3663" s="23"/>
      <c r="B3663" s="42"/>
      <c r="C3663" s="49"/>
      <c r="E3663" s="49"/>
      <c r="G3663" s="43"/>
      <c r="H3663" s="44"/>
      <c r="L3663" s="42"/>
      <c r="M3663" s="42"/>
      <c r="N3663" s="25"/>
      <c r="O3663" s="54"/>
      <c r="P3663"/>
      <c r="Q3663" s="25"/>
      <c r="R3663" s="54"/>
      <c r="W3663" s="23"/>
      <c r="X3663" s="23"/>
      <c r="Y3663" s="23"/>
      <c r="Z3663" s="43"/>
      <c r="AA3663" s="23"/>
      <c r="AB3663" s="23"/>
      <c r="AC3663" s="23"/>
      <c r="AD3663" s="23"/>
      <c r="AE3663" s="23"/>
      <c r="AF3663" s="23"/>
      <c r="AG3663" s="23"/>
      <c r="AH3663" s="23"/>
      <c r="AI3663" s="49"/>
    </row>
    <row r="3664" spans="1:35">
      <c r="A3664" s="23"/>
      <c r="B3664" s="42"/>
      <c r="C3664" s="49"/>
      <c r="E3664" s="49"/>
      <c r="G3664" s="43"/>
      <c r="H3664" s="44"/>
      <c r="L3664" s="42"/>
      <c r="M3664" s="42"/>
      <c r="N3664" s="25"/>
      <c r="O3664" s="54"/>
      <c r="P3664"/>
      <c r="Q3664" s="25"/>
      <c r="R3664" s="54"/>
      <c r="W3664" s="23"/>
      <c r="X3664" s="23"/>
      <c r="Y3664" s="23"/>
      <c r="Z3664" s="43"/>
      <c r="AA3664" s="23"/>
      <c r="AB3664" s="23"/>
      <c r="AC3664" s="23"/>
      <c r="AD3664" s="23"/>
      <c r="AE3664" s="23"/>
      <c r="AF3664" s="23"/>
      <c r="AG3664" s="23"/>
      <c r="AH3664" s="23"/>
      <c r="AI3664" s="49"/>
    </row>
    <row r="3665" spans="1:35">
      <c r="A3665" s="23"/>
      <c r="B3665" s="42"/>
      <c r="C3665" s="49"/>
      <c r="E3665" s="49"/>
      <c r="G3665" s="43"/>
      <c r="H3665" s="44"/>
      <c r="L3665" s="42"/>
      <c r="M3665" s="42"/>
      <c r="N3665" s="25"/>
      <c r="O3665" s="54"/>
      <c r="P3665"/>
      <c r="Q3665" s="25"/>
      <c r="R3665" s="54"/>
      <c r="W3665" s="23"/>
      <c r="X3665" s="23"/>
      <c r="Y3665" s="23"/>
      <c r="Z3665" s="43"/>
      <c r="AA3665" s="23"/>
      <c r="AB3665" s="23"/>
      <c r="AC3665" s="23"/>
      <c r="AD3665" s="23"/>
      <c r="AE3665" s="23"/>
      <c r="AF3665" s="23"/>
      <c r="AG3665" s="23"/>
      <c r="AH3665" s="23"/>
      <c r="AI3665" s="49"/>
    </row>
    <row r="3666" spans="1:35">
      <c r="A3666" s="23"/>
      <c r="B3666" s="42"/>
      <c r="C3666" s="49"/>
      <c r="E3666" s="49"/>
      <c r="G3666" s="43"/>
      <c r="H3666" s="44"/>
      <c r="L3666" s="42"/>
      <c r="M3666" s="42"/>
      <c r="N3666" s="25"/>
      <c r="O3666" s="54"/>
      <c r="P3666"/>
      <c r="Q3666" s="25"/>
      <c r="R3666" s="54"/>
      <c r="W3666" s="23"/>
      <c r="X3666" s="23"/>
      <c r="Y3666" s="23"/>
      <c r="Z3666" s="43"/>
      <c r="AA3666" s="23"/>
      <c r="AB3666" s="23"/>
      <c r="AC3666" s="23"/>
      <c r="AD3666" s="23"/>
      <c r="AE3666" s="23"/>
      <c r="AF3666" s="23"/>
      <c r="AG3666" s="23"/>
      <c r="AH3666" s="23"/>
      <c r="AI3666" s="49"/>
    </row>
    <row r="3667" spans="1:35">
      <c r="A3667" s="23"/>
      <c r="B3667" s="42"/>
      <c r="C3667" s="49"/>
      <c r="E3667" s="49"/>
      <c r="G3667" s="43"/>
      <c r="H3667" s="44"/>
      <c r="L3667" s="42"/>
      <c r="M3667" s="42"/>
      <c r="N3667" s="25"/>
      <c r="O3667" s="54"/>
      <c r="P3667"/>
      <c r="Q3667" s="25"/>
      <c r="R3667" s="54"/>
      <c r="W3667" s="23"/>
      <c r="X3667" s="23"/>
      <c r="Y3667" s="23"/>
      <c r="Z3667" s="43"/>
      <c r="AA3667" s="23"/>
      <c r="AB3667" s="23"/>
      <c r="AC3667" s="23"/>
      <c r="AD3667" s="23"/>
      <c r="AE3667" s="23"/>
      <c r="AF3667" s="23"/>
      <c r="AG3667" s="23"/>
      <c r="AH3667" s="23"/>
      <c r="AI3667" s="49"/>
    </row>
    <row r="3668" spans="1:35">
      <c r="A3668" s="23"/>
      <c r="B3668" s="42"/>
      <c r="C3668" s="49"/>
      <c r="E3668" s="49"/>
      <c r="G3668" s="43"/>
      <c r="H3668" s="44"/>
      <c r="L3668" s="42"/>
      <c r="M3668" s="42"/>
      <c r="N3668" s="25"/>
      <c r="O3668" s="54"/>
      <c r="P3668"/>
      <c r="Q3668" s="25"/>
      <c r="R3668" s="54"/>
      <c r="W3668" s="23"/>
      <c r="X3668" s="23"/>
      <c r="Y3668" s="23"/>
      <c r="Z3668" s="43"/>
      <c r="AA3668" s="23"/>
      <c r="AB3668" s="23"/>
      <c r="AC3668" s="23"/>
      <c r="AD3668" s="23"/>
      <c r="AE3668" s="23"/>
      <c r="AF3668" s="23"/>
      <c r="AG3668" s="23"/>
      <c r="AH3668" s="23"/>
      <c r="AI3668" s="49"/>
    </row>
    <row r="3669" spans="1:35">
      <c r="A3669" s="23"/>
      <c r="B3669" s="42"/>
      <c r="C3669" s="49"/>
      <c r="E3669" s="49"/>
      <c r="G3669" s="43"/>
      <c r="H3669" s="44"/>
      <c r="L3669" s="42"/>
      <c r="M3669" s="42"/>
      <c r="N3669" s="25"/>
      <c r="O3669" s="54"/>
      <c r="P3669"/>
      <c r="Q3669" s="25"/>
      <c r="R3669" s="54"/>
      <c r="W3669" s="23"/>
      <c r="X3669" s="23"/>
      <c r="Y3669" s="23"/>
      <c r="Z3669" s="43"/>
      <c r="AA3669" s="23"/>
      <c r="AB3669" s="23"/>
      <c r="AC3669" s="23"/>
      <c r="AD3669" s="23"/>
      <c r="AE3669" s="23"/>
      <c r="AF3669" s="23"/>
      <c r="AG3669" s="23"/>
      <c r="AH3669" s="23"/>
      <c r="AI3669" s="49"/>
    </row>
    <row r="3670" spans="1:35">
      <c r="A3670" s="23"/>
      <c r="B3670" s="42"/>
      <c r="C3670" s="49"/>
      <c r="E3670" s="49"/>
      <c r="G3670" s="43"/>
      <c r="H3670" s="44"/>
      <c r="L3670" s="42"/>
      <c r="M3670" s="42"/>
      <c r="N3670" s="25"/>
      <c r="O3670" s="54"/>
      <c r="P3670"/>
      <c r="Q3670" s="25"/>
      <c r="R3670" s="54"/>
      <c r="W3670" s="23"/>
      <c r="X3670" s="23"/>
      <c r="Y3670" s="23"/>
      <c r="Z3670" s="43"/>
      <c r="AA3670" s="23"/>
      <c r="AB3670" s="23"/>
      <c r="AC3670" s="23"/>
      <c r="AD3670" s="23"/>
      <c r="AE3670" s="23"/>
      <c r="AF3670" s="23"/>
      <c r="AG3670" s="23"/>
      <c r="AH3670" s="23"/>
      <c r="AI3670" s="49"/>
    </row>
    <row r="3671" spans="1:35">
      <c r="A3671" s="23"/>
      <c r="B3671" s="42"/>
      <c r="C3671" s="49"/>
      <c r="E3671" s="49"/>
      <c r="G3671" s="43"/>
      <c r="H3671" s="44"/>
      <c r="L3671" s="42"/>
      <c r="M3671" s="42"/>
      <c r="N3671" s="25"/>
      <c r="O3671" s="54"/>
      <c r="P3671"/>
      <c r="Q3671" s="25"/>
      <c r="R3671" s="54"/>
      <c r="W3671" s="23"/>
      <c r="X3671" s="23"/>
      <c r="Y3671" s="23"/>
      <c r="Z3671" s="43"/>
      <c r="AA3671" s="23"/>
      <c r="AB3671" s="23"/>
      <c r="AC3671" s="23"/>
      <c r="AD3671" s="23"/>
      <c r="AE3671" s="23"/>
      <c r="AF3671" s="23"/>
      <c r="AG3671" s="23"/>
      <c r="AH3671" s="23"/>
      <c r="AI3671" s="49"/>
    </row>
    <row r="3672" spans="1:35">
      <c r="A3672" s="23"/>
      <c r="B3672" s="42"/>
      <c r="C3672" s="49"/>
      <c r="E3672" s="49"/>
      <c r="G3672" s="43"/>
      <c r="H3672" s="44"/>
      <c r="L3672" s="42"/>
      <c r="M3672" s="42"/>
      <c r="N3672" s="25"/>
      <c r="O3672" s="54"/>
      <c r="P3672"/>
      <c r="Q3672" s="25"/>
      <c r="R3672" s="54"/>
      <c r="W3672" s="23"/>
      <c r="X3672" s="23"/>
      <c r="Y3672" s="23"/>
      <c r="Z3672" s="43"/>
      <c r="AA3672" s="23"/>
      <c r="AB3672" s="23"/>
      <c r="AC3672" s="23"/>
      <c r="AD3672" s="23"/>
      <c r="AE3672" s="23"/>
      <c r="AF3672" s="23"/>
      <c r="AG3672" s="23"/>
      <c r="AH3672" s="23"/>
      <c r="AI3672" s="49"/>
    </row>
    <row r="3673" spans="1:35">
      <c r="A3673" s="23"/>
      <c r="B3673" s="42"/>
      <c r="C3673" s="49"/>
      <c r="E3673" s="49"/>
      <c r="G3673" s="43"/>
      <c r="H3673" s="44"/>
      <c r="L3673" s="42"/>
      <c r="M3673" s="42"/>
      <c r="N3673" s="25"/>
      <c r="O3673" s="54"/>
      <c r="P3673"/>
      <c r="Q3673" s="25"/>
      <c r="R3673" s="54"/>
      <c r="W3673" s="23"/>
      <c r="X3673" s="23"/>
      <c r="Y3673" s="23"/>
      <c r="Z3673" s="43"/>
      <c r="AA3673" s="23"/>
      <c r="AB3673" s="23"/>
      <c r="AC3673" s="23"/>
      <c r="AD3673" s="23"/>
      <c r="AE3673" s="23"/>
      <c r="AF3673" s="23"/>
      <c r="AG3673" s="23"/>
      <c r="AH3673" s="23"/>
      <c r="AI3673" s="49"/>
    </row>
    <row r="3674" spans="1:35">
      <c r="A3674" s="23"/>
      <c r="B3674" s="42"/>
      <c r="C3674" s="49"/>
      <c r="E3674" s="49"/>
      <c r="G3674" s="43"/>
      <c r="H3674" s="44"/>
      <c r="L3674" s="42"/>
      <c r="M3674" s="42"/>
      <c r="N3674" s="25"/>
      <c r="O3674" s="54"/>
      <c r="P3674"/>
      <c r="Q3674" s="25"/>
      <c r="R3674" s="54"/>
      <c r="W3674" s="23"/>
      <c r="X3674" s="23"/>
      <c r="Y3674" s="23"/>
      <c r="Z3674" s="43"/>
      <c r="AA3674" s="23"/>
      <c r="AB3674" s="23"/>
      <c r="AC3674" s="23"/>
      <c r="AD3674" s="23"/>
      <c r="AE3674" s="23"/>
      <c r="AF3674" s="23"/>
      <c r="AG3674" s="23"/>
      <c r="AH3674" s="23"/>
      <c r="AI3674" s="49"/>
    </row>
    <row r="3675" spans="1:35">
      <c r="A3675" s="23"/>
      <c r="B3675" s="42"/>
      <c r="C3675" s="49"/>
      <c r="E3675" s="49"/>
      <c r="G3675" s="43"/>
      <c r="H3675" s="44"/>
      <c r="L3675" s="42"/>
      <c r="M3675" s="42"/>
      <c r="N3675" s="25"/>
      <c r="O3675" s="54"/>
      <c r="P3675"/>
      <c r="Q3675" s="25"/>
      <c r="R3675" s="54"/>
      <c r="W3675" s="23"/>
      <c r="X3675" s="23"/>
      <c r="Y3675" s="23"/>
      <c r="Z3675" s="43"/>
      <c r="AA3675" s="23"/>
      <c r="AB3675" s="23"/>
      <c r="AC3675" s="23"/>
      <c r="AD3675" s="23"/>
      <c r="AE3675" s="23"/>
      <c r="AF3675" s="23"/>
      <c r="AG3675" s="23"/>
      <c r="AH3675" s="23"/>
      <c r="AI3675" s="49"/>
    </row>
    <row r="3676" spans="1:35">
      <c r="A3676" s="23"/>
      <c r="B3676" s="42"/>
      <c r="C3676" s="49"/>
      <c r="E3676" s="49"/>
      <c r="G3676" s="43"/>
      <c r="H3676" s="44"/>
      <c r="L3676" s="42"/>
      <c r="M3676" s="42"/>
      <c r="N3676" s="25"/>
      <c r="O3676" s="54"/>
      <c r="P3676"/>
      <c r="Q3676" s="25"/>
      <c r="R3676" s="54"/>
      <c r="W3676" s="23"/>
      <c r="X3676" s="23"/>
      <c r="Y3676" s="23"/>
      <c r="Z3676" s="43"/>
      <c r="AA3676" s="23"/>
      <c r="AB3676" s="23"/>
      <c r="AC3676" s="23"/>
      <c r="AD3676" s="23"/>
      <c r="AE3676" s="23"/>
      <c r="AF3676" s="23"/>
      <c r="AG3676" s="23"/>
      <c r="AH3676" s="23"/>
      <c r="AI3676" s="49"/>
    </row>
    <row r="3677" spans="1:35">
      <c r="A3677" s="23"/>
      <c r="B3677" s="42"/>
      <c r="C3677" s="49"/>
      <c r="E3677" s="49"/>
      <c r="G3677" s="43"/>
      <c r="H3677" s="44"/>
      <c r="L3677" s="42"/>
      <c r="M3677" s="42"/>
      <c r="N3677" s="25"/>
      <c r="O3677" s="54"/>
      <c r="P3677"/>
      <c r="Q3677" s="25"/>
      <c r="R3677" s="54"/>
      <c r="W3677" s="23"/>
      <c r="X3677" s="23"/>
      <c r="Y3677" s="23"/>
      <c r="Z3677" s="43"/>
      <c r="AA3677" s="23"/>
      <c r="AB3677" s="23"/>
      <c r="AC3677" s="23"/>
      <c r="AD3677" s="23"/>
      <c r="AE3677" s="23"/>
      <c r="AF3677" s="23"/>
      <c r="AG3677" s="23"/>
      <c r="AH3677" s="23"/>
      <c r="AI3677" s="49"/>
    </row>
    <row r="3678" spans="1:35">
      <c r="A3678" s="23"/>
      <c r="B3678" s="42"/>
      <c r="C3678" s="49"/>
      <c r="E3678" s="49"/>
      <c r="G3678" s="43"/>
      <c r="H3678" s="44"/>
      <c r="L3678" s="42"/>
      <c r="M3678" s="42"/>
      <c r="N3678" s="25"/>
      <c r="O3678" s="54"/>
      <c r="P3678"/>
      <c r="Q3678" s="25"/>
      <c r="R3678" s="54"/>
      <c r="W3678" s="23"/>
      <c r="X3678" s="23"/>
      <c r="Y3678" s="23"/>
      <c r="Z3678" s="43"/>
      <c r="AA3678" s="23"/>
      <c r="AB3678" s="23"/>
      <c r="AC3678" s="23"/>
      <c r="AD3678" s="23"/>
      <c r="AE3678" s="23"/>
      <c r="AF3678" s="23"/>
      <c r="AG3678" s="23"/>
      <c r="AH3678" s="23"/>
      <c r="AI3678" s="49"/>
    </row>
    <row r="3679" spans="1:35">
      <c r="A3679" s="23"/>
      <c r="B3679" s="42"/>
      <c r="C3679" s="49"/>
      <c r="E3679" s="49"/>
      <c r="G3679" s="43"/>
      <c r="H3679" s="44"/>
      <c r="L3679" s="42"/>
      <c r="M3679" s="42"/>
      <c r="N3679" s="25"/>
      <c r="O3679" s="54"/>
      <c r="P3679"/>
      <c r="Q3679" s="25"/>
      <c r="R3679" s="54"/>
      <c r="W3679" s="23"/>
      <c r="X3679" s="23"/>
      <c r="Y3679" s="23"/>
      <c r="Z3679" s="43"/>
      <c r="AA3679" s="23"/>
      <c r="AB3679" s="23"/>
      <c r="AC3679" s="23"/>
      <c r="AD3679" s="23"/>
      <c r="AE3679" s="23"/>
      <c r="AF3679" s="23"/>
      <c r="AG3679" s="23"/>
      <c r="AH3679" s="23"/>
      <c r="AI3679" s="49"/>
    </row>
    <row r="3680" spans="1:35">
      <c r="A3680" s="23"/>
      <c r="B3680" s="42"/>
      <c r="C3680" s="49"/>
      <c r="E3680" s="49"/>
      <c r="G3680" s="43"/>
      <c r="H3680" s="44"/>
      <c r="L3680" s="42"/>
      <c r="M3680" s="42"/>
      <c r="N3680" s="25"/>
      <c r="O3680" s="54"/>
      <c r="P3680"/>
      <c r="Q3680" s="25"/>
      <c r="R3680" s="54"/>
      <c r="W3680" s="23"/>
      <c r="X3680" s="23"/>
      <c r="Y3680" s="23"/>
      <c r="Z3680" s="43"/>
      <c r="AA3680" s="23"/>
      <c r="AB3680" s="23"/>
      <c r="AC3680" s="23"/>
      <c r="AD3680" s="23"/>
      <c r="AE3680" s="23"/>
      <c r="AF3680" s="23"/>
      <c r="AG3680" s="23"/>
      <c r="AH3680" s="23"/>
      <c r="AI3680" s="49"/>
    </row>
    <row r="3681" spans="1:35">
      <c r="A3681" s="23"/>
      <c r="B3681" s="42"/>
      <c r="C3681" s="49"/>
      <c r="E3681" s="49"/>
      <c r="G3681" s="43"/>
      <c r="H3681" s="44"/>
      <c r="L3681" s="42"/>
      <c r="M3681" s="42"/>
      <c r="N3681" s="25"/>
      <c r="O3681" s="54"/>
      <c r="P3681"/>
      <c r="Q3681" s="25"/>
      <c r="R3681" s="54"/>
      <c r="W3681" s="23"/>
      <c r="X3681" s="23"/>
      <c r="Y3681" s="23"/>
      <c r="Z3681" s="43"/>
      <c r="AA3681" s="23"/>
      <c r="AB3681" s="23"/>
      <c r="AC3681" s="23"/>
      <c r="AD3681" s="23"/>
      <c r="AE3681" s="23"/>
      <c r="AF3681" s="23"/>
      <c r="AG3681" s="23"/>
      <c r="AH3681" s="23"/>
      <c r="AI3681" s="49"/>
    </row>
    <row r="3682" spans="1:35">
      <c r="A3682" s="23"/>
      <c r="B3682" s="42"/>
      <c r="C3682" s="49"/>
      <c r="E3682" s="49"/>
      <c r="G3682" s="43"/>
      <c r="H3682" s="44"/>
      <c r="L3682" s="42"/>
      <c r="M3682" s="42"/>
      <c r="N3682" s="25"/>
      <c r="O3682" s="54"/>
      <c r="P3682"/>
      <c r="Q3682" s="25"/>
      <c r="R3682" s="54"/>
      <c r="W3682" s="23"/>
      <c r="X3682" s="23"/>
      <c r="Y3682" s="23"/>
      <c r="Z3682" s="43"/>
      <c r="AA3682" s="23"/>
      <c r="AB3682" s="23"/>
      <c r="AC3682" s="23"/>
      <c r="AD3682" s="23"/>
      <c r="AE3682" s="23"/>
      <c r="AF3682" s="23"/>
      <c r="AG3682" s="23"/>
      <c r="AH3682" s="23"/>
      <c r="AI3682" s="49"/>
    </row>
    <row r="3683" spans="1:35">
      <c r="A3683" s="23"/>
      <c r="B3683" s="42"/>
      <c r="C3683" s="49"/>
      <c r="E3683" s="49"/>
      <c r="G3683" s="43"/>
      <c r="H3683" s="44"/>
      <c r="L3683" s="42"/>
      <c r="M3683" s="42"/>
      <c r="N3683" s="25"/>
      <c r="O3683" s="54"/>
      <c r="P3683"/>
      <c r="Q3683" s="25"/>
      <c r="R3683" s="54"/>
      <c r="W3683" s="23"/>
      <c r="X3683" s="23"/>
      <c r="Y3683" s="23"/>
      <c r="Z3683" s="43"/>
      <c r="AA3683" s="23"/>
      <c r="AB3683" s="23"/>
      <c r="AC3683" s="23"/>
      <c r="AD3683" s="23"/>
      <c r="AE3683" s="23"/>
      <c r="AF3683" s="23"/>
      <c r="AG3683" s="23"/>
      <c r="AH3683" s="23"/>
      <c r="AI3683" s="49"/>
    </row>
    <row r="3684" spans="1:35">
      <c r="A3684" s="23"/>
      <c r="B3684" s="42"/>
      <c r="C3684" s="49"/>
      <c r="E3684" s="49"/>
      <c r="G3684" s="43"/>
      <c r="H3684" s="44"/>
      <c r="L3684" s="42"/>
      <c r="M3684" s="42"/>
      <c r="N3684" s="25"/>
      <c r="O3684" s="54"/>
      <c r="P3684"/>
      <c r="Q3684" s="25"/>
      <c r="R3684" s="54"/>
      <c r="W3684" s="23"/>
      <c r="X3684" s="23"/>
      <c r="Y3684" s="23"/>
      <c r="Z3684" s="43"/>
      <c r="AA3684" s="23"/>
      <c r="AB3684" s="23"/>
      <c r="AC3684" s="23"/>
      <c r="AD3684" s="23"/>
      <c r="AE3684" s="23"/>
      <c r="AF3684" s="23"/>
      <c r="AG3684" s="23"/>
      <c r="AH3684" s="23"/>
      <c r="AI3684" s="49"/>
    </row>
    <row r="3685" spans="1:35">
      <c r="A3685" s="23"/>
      <c r="B3685" s="42"/>
      <c r="C3685" s="49"/>
      <c r="E3685" s="49"/>
      <c r="G3685" s="43"/>
      <c r="H3685" s="44"/>
      <c r="L3685" s="42"/>
      <c r="M3685" s="42"/>
      <c r="N3685" s="25"/>
      <c r="O3685" s="54"/>
      <c r="P3685"/>
      <c r="Q3685" s="25"/>
      <c r="R3685" s="54"/>
      <c r="W3685" s="23"/>
      <c r="X3685" s="23"/>
      <c r="Y3685" s="23"/>
      <c r="Z3685" s="43"/>
      <c r="AA3685" s="23"/>
      <c r="AB3685" s="23"/>
      <c r="AC3685" s="23"/>
      <c r="AD3685" s="23"/>
      <c r="AE3685" s="23"/>
      <c r="AF3685" s="23"/>
      <c r="AG3685" s="23"/>
      <c r="AH3685" s="23"/>
      <c r="AI3685" s="49"/>
    </row>
    <row r="3686" spans="1:35">
      <c r="A3686" s="23"/>
      <c r="B3686" s="42"/>
      <c r="C3686" s="49"/>
      <c r="E3686" s="49"/>
      <c r="G3686" s="43"/>
      <c r="H3686" s="44"/>
      <c r="L3686" s="42"/>
      <c r="M3686" s="42"/>
      <c r="N3686" s="25"/>
      <c r="O3686" s="54"/>
      <c r="P3686"/>
      <c r="Q3686" s="25"/>
      <c r="R3686" s="54"/>
      <c r="W3686" s="23"/>
      <c r="X3686" s="23"/>
      <c r="Y3686" s="23"/>
      <c r="Z3686" s="43"/>
      <c r="AA3686" s="23"/>
      <c r="AB3686" s="23"/>
      <c r="AC3686" s="23"/>
      <c r="AD3686" s="23"/>
      <c r="AE3686" s="23"/>
      <c r="AF3686" s="23"/>
      <c r="AG3686" s="23"/>
      <c r="AH3686" s="23"/>
      <c r="AI3686" s="49"/>
    </row>
    <row r="3687" spans="1:35">
      <c r="A3687" s="23"/>
      <c r="B3687" s="42"/>
      <c r="C3687" s="49"/>
      <c r="E3687" s="49"/>
      <c r="G3687" s="43"/>
      <c r="H3687" s="44"/>
      <c r="L3687" s="42"/>
      <c r="M3687" s="42"/>
      <c r="N3687" s="25"/>
      <c r="O3687" s="54"/>
      <c r="P3687"/>
      <c r="Q3687" s="25"/>
      <c r="R3687" s="54"/>
      <c r="W3687" s="23"/>
      <c r="X3687" s="23"/>
      <c r="Y3687" s="23"/>
      <c r="Z3687" s="43"/>
      <c r="AA3687" s="23"/>
      <c r="AB3687" s="23"/>
      <c r="AC3687" s="23"/>
      <c r="AD3687" s="23"/>
      <c r="AE3687" s="23"/>
      <c r="AF3687" s="23"/>
      <c r="AG3687" s="23"/>
      <c r="AH3687" s="23"/>
      <c r="AI3687" s="49"/>
    </row>
    <row r="3688" spans="1:35">
      <c r="A3688" s="23"/>
      <c r="B3688" s="42"/>
      <c r="C3688" s="49"/>
      <c r="E3688" s="49"/>
      <c r="G3688" s="43"/>
      <c r="H3688" s="44"/>
      <c r="L3688" s="42"/>
      <c r="M3688" s="42"/>
      <c r="N3688" s="25"/>
      <c r="O3688" s="54"/>
      <c r="P3688"/>
      <c r="Q3688" s="25"/>
      <c r="R3688" s="54"/>
      <c r="W3688" s="23"/>
      <c r="X3688" s="23"/>
      <c r="Y3688" s="23"/>
      <c r="Z3688" s="43"/>
      <c r="AA3688" s="23"/>
      <c r="AB3688" s="23"/>
      <c r="AC3688" s="23"/>
      <c r="AD3688" s="23"/>
      <c r="AE3688" s="23"/>
      <c r="AF3688" s="23"/>
      <c r="AG3688" s="23"/>
      <c r="AH3688" s="23"/>
      <c r="AI3688" s="49"/>
    </row>
    <row r="3689" spans="1:35">
      <c r="A3689" s="23"/>
      <c r="B3689" s="42"/>
      <c r="C3689" s="49"/>
      <c r="E3689" s="49"/>
      <c r="G3689" s="43"/>
      <c r="H3689" s="44"/>
      <c r="L3689" s="42"/>
      <c r="M3689" s="42"/>
      <c r="N3689" s="25"/>
      <c r="O3689" s="54"/>
      <c r="P3689"/>
      <c r="Q3689" s="25"/>
      <c r="R3689" s="54"/>
      <c r="W3689" s="23"/>
      <c r="X3689" s="23"/>
      <c r="Y3689" s="23"/>
      <c r="Z3689" s="43"/>
      <c r="AA3689" s="23"/>
      <c r="AB3689" s="23"/>
      <c r="AC3689" s="23"/>
      <c r="AD3689" s="23"/>
      <c r="AE3689" s="23"/>
      <c r="AF3689" s="23"/>
      <c r="AG3689" s="23"/>
      <c r="AH3689" s="23"/>
      <c r="AI3689" s="49"/>
    </row>
    <row r="3690" spans="1:35">
      <c r="A3690" s="23"/>
      <c r="B3690" s="42"/>
      <c r="C3690" s="49"/>
      <c r="E3690" s="49"/>
      <c r="G3690" s="43"/>
      <c r="H3690" s="44"/>
      <c r="L3690" s="42"/>
      <c r="M3690" s="42"/>
      <c r="N3690" s="25"/>
      <c r="O3690" s="54"/>
      <c r="P3690"/>
      <c r="Q3690" s="25"/>
      <c r="R3690" s="54"/>
      <c r="W3690" s="23"/>
      <c r="X3690" s="23"/>
      <c r="Y3690" s="23"/>
      <c r="Z3690" s="43"/>
      <c r="AA3690" s="23"/>
      <c r="AB3690" s="23"/>
      <c r="AC3690" s="23"/>
      <c r="AD3690" s="23"/>
      <c r="AE3690" s="23"/>
      <c r="AF3690" s="23"/>
      <c r="AG3690" s="23"/>
      <c r="AH3690" s="23"/>
      <c r="AI3690" s="49"/>
    </row>
    <row r="3691" spans="1:35">
      <c r="A3691" s="23"/>
      <c r="B3691" s="42"/>
      <c r="C3691" s="49"/>
      <c r="E3691" s="49"/>
      <c r="G3691" s="43"/>
      <c r="H3691" s="44"/>
      <c r="L3691" s="42"/>
      <c r="M3691" s="42"/>
      <c r="N3691" s="25"/>
      <c r="O3691" s="54"/>
      <c r="P3691"/>
      <c r="Q3691" s="25"/>
      <c r="R3691" s="54"/>
      <c r="W3691" s="23"/>
      <c r="X3691" s="23"/>
      <c r="Y3691" s="23"/>
      <c r="Z3691" s="43"/>
      <c r="AA3691" s="23"/>
      <c r="AB3691" s="23"/>
      <c r="AC3691" s="23"/>
      <c r="AD3691" s="23"/>
      <c r="AE3691" s="23"/>
      <c r="AF3691" s="23"/>
      <c r="AG3691" s="23"/>
      <c r="AH3691" s="23"/>
      <c r="AI3691" s="49"/>
    </row>
    <row r="3692" spans="1:35">
      <c r="A3692" s="23"/>
      <c r="B3692" s="42"/>
      <c r="C3692" s="49"/>
      <c r="E3692" s="49"/>
      <c r="G3692" s="43"/>
      <c r="H3692" s="44"/>
      <c r="L3692" s="42"/>
      <c r="M3692" s="42"/>
      <c r="N3692" s="25"/>
      <c r="O3692" s="54"/>
      <c r="P3692"/>
      <c r="Q3692" s="25"/>
      <c r="R3692" s="54"/>
      <c r="W3692" s="23"/>
      <c r="X3692" s="23"/>
      <c r="Y3692" s="23"/>
      <c r="Z3692" s="43"/>
      <c r="AA3692" s="23"/>
      <c r="AB3692" s="23"/>
      <c r="AC3692" s="23"/>
      <c r="AD3692" s="23"/>
      <c r="AE3692" s="23"/>
      <c r="AF3692" s="23"/>
      <c r="AG3692" s="23"/>
      <c r="AH3692" s="23"/>
      <c r="AI3692" s="49"/>
    </row>
    <row r="3693" spans="1:35">
      <c r="A3693" s="23"/>
      <c r="B3693" s="42"/>
      <c r="C3693" s="49"/>
      <c r="E3693" s="49"/>
      <c r="G3693" s="43"/>
      <c r="H3693" s="44"/>
      <c r="L3693" s="42"/>
      <c r="M3693" s="42"/>
      <c r="N3693" s="25"/>
      <c r="O3693" s="54"/>
      <c r="P3693"/>
      <c r="Q3693" s="25"/>
      <c r="R3693" s="54"/>
      <c r="W3693" s="23"/>
      <c r="X3693" s="23"/>
      <c r="Y3693" s="23"/>
      <c r="Z3693" s="43"/>
      <c r="AA3693" s="23"/>
      <c r="AB3693" s="23"/>
      <c r="AC3693" s="23"/>
      <c r="AD3693" s="23"/>
      <c r="AE3693" s="23"/>
      <c r="AF3693" s="23"/>
      <c r="AG3693" s="23"/>
      <c r="AH3693" s="23"/>
      <c r="AI3693" s="49"/>
    </row>
    <row r="3694" spans="1:35">
      <c r="A3694" s="23"/>
      <c r="B3694" s="42"/>
      <c r="C3694" s="49"/>
      <c r="E3694" s="49"/>
      <c r="G3694" s="43"/>
      <c r="H3694" s="44"/>
      <c r="L3694" s="42"/>
      <c r="M3694" s="42"/>
      <c r="N3694" s="25"/>
      <c r="O3694" s="54"/>
      <c r="P3694"/>
      <c r="Q3694" s="25"/>
      <c r="R3694" s="54"/>
      <c r="W3694" s="23"/>
      <c r="X3694" s="23"/>
      <c r="Y3694" s="23"/>
      <c r="Z3694" s="43"/>
      <c r="AA3694" s="23"/>
      <c r="AB3694" s="23"/>
      <c r="AC3694" s="23"/>
      <c r="AD3694" s="23"/>
      <c r="AE3694" s="23"/>
      <c r="AF3694" s="23"/>
      <c r="AG3694" s="23"/>
      <c r="AH3694" s="23"/>
      <c r="AI3694" s="49"/>
    </row>
    <row r="3695" spans="1:35">
      <c r="A3695" s="23"/>
      <c r="B3695" s="42"/>
      <c r="C3695" s="49"/>
      <c r="E3695" s="49"/>
      <c r="G3695" s="43"/>
      <c r="H3695" s="44"/>
      <c r="L3695" s="42"/>
      <c r="M3695" s="42"/>
      <c r="N3695" s="25"/>
      <c r="O3695" s="54"/>
      <c r="P3695"/>
      <c r="Q3695" s="25"/>
      <c r="R3695" s="54"/>
      <c r="W3695" s="23"/>
      <c r="X3695" s="23"/>
      <c r="Y3695" s="23"/>
      <c r="Z3695" s="43"/>
      <c r="AA3695" s="23"/>
      <c r="AB3695" s="23"/>
      <c r="AC3695" s="23"/>
      <c r="AD3695" s="23"/>
      <c r="AE3695" s="23"/>
      <c r="AF3695" s="23"/>
      <c r="AG3695" s="23"/>
      <c r="AH3695" s="23"/>
      <c r="AI3695" s="49"/>
    </row>
    <row r="3696" spans="1:35">
      <c r="A3696" s="23"/>
      <c r="B3696" s="42"/>
      <c r="C3696" s="49"/>
      <c r="E3696" s="49"/>
      <c r="G3696" s="43"/>
      <c r="H3696" s="44"/>
      <c r="L3696" s="42"/>
      <c r="M3696" s="42"/>
      <c r="N3696" s="25"/>
      <c r="O3696" s="54"/>
      <c r="P3696"/>
      <c r="Q3696" s="25"/>
      <c r="R3696" s="54"/>
      <c r="W3696" s="23"/>
      <c r="X3696" s="23"/>
      <c r="Y3696" s="23"/>
      <c r="Z3696" s="43"/>
      <c r="AA3696" s="23"/>
      <c r="AB3696" s="23"/>
      <c r="AC3696" s="23"/>
      <c r="AD3696" s="23"/>
      <c r="AE3696" s="23"/>
      <c r="AF3696" s="23"/>
      <c r="AG3696" s="23"/>
      <c r="AH3696" s="23"/>
      <c r="AI3696" s="49"/>
    </row>
    <row r="3697" spans="1:35">
      <c r="A3697" s="23"/>
      <c r="B3697" s="42"/>
      <c r="C3697" s="49"/>
      <c r="E3697" s="49"/>
      <c r="G3697" s="43"/>
      <c r="H3697" s="44"/>
      <c r="L3697" s="42"/>
      <c r="M3697" s="42"/>
      <c r="N3697" s="25"/>
      <c r="O3697" s="54"/>
      <c r="P3697"/>
      <c r="Q3697" s="25"/>
      <c r="R3697" s="54"/>
      <c r="W3697" s="23"/>
      <c r="X3697" s="23"/>
      <c r="Y3697" s="23"/>
      <c r="Z3697" s="43"/>
      <c r="AA3697" s="23"/>
      <c r="AB3697" s="23"/>
      <c r="AC3697" s="23"/>
      <c r="AD3697" s="23"/>
      <c r="AE3697" s="23"/>
      <c r="AF3697" s="23"/>
      <c r="AG3697" s="23"/>
      <c r="AH3697" s="23"/>
      <c r="AI3697" s="49"/>
    </row>
    <row r="3698" spans="1:35">
      <c r="A3698" s="23"/>
      <c r="B3698" s="42"/>
      <c r="C3698" s="49"/>
      <c r="E3698" s="49"/>
      <c r="G3698" s="43"/>
      <c r="H3698" s="44"/>
      <c r="L3698" s="42"/>
      <c r="M3698" s="42"/>
      <c r="N3698" s="25"/>
      <c r="O3698" s="54"/>
      <c r="P3698"/>
      <c r="Q3698" s="25"/>
      <c r="R3698" s="54"/>
      <c r="W3698" s="23"/>
      <c r="X3698" s="23"/>
      <c r="Y3698" s="23"/>
      <c r="Z3698" s="43"/>
      <c r="AA3698" s="23"/>
      <c r="AB3698" s="23"/>
      <c r="AC3698" s="23"/>
      <c r="AD3698" s="23"/>
      <c r="AE3698" s="23"/>
      <c r="AF3698" s="23"/>
      <c r="AG3698" s="23"/>
      <c r="AH3698" s="23"/>
      <c r="AI3698" s="49"/>
    </row>
    <row r="3699" spans="1:35">
      <c r="A3699" s="23"/>
      <c r="B3699" s="42"/>
      <c r="C3699" s="49"/>
      <c r="E3699" s="49"/>
      <c r="G3699" s="43"/>
      <c r="H3699" s="44"/>
      <c r="L3699" s="42"/>
      <c r="M3699" s="42"/>
      <c r="N3699" s="25"/>
      <c r="O3699" s="54"/>
      <c r="P3699"/>
      <c r="Q3699" s="25"/>
      <c r="R3699" s="54"/>
      <c r="W3699" s="23"/>
      <c r="X3699" s="23"/>
      <c r="Y3699" s="23"/>
      <c r="Z3699" s="43"/>
      <c r="AA3699" s="23"/>
      <c r="AB3699" s="23"/>
      <c r="AC3699" s="23"/>
      <c r="AD3699" s="23"/>
      <c r="AE3699" s="23"/>
      <c r="AF3699" s="23"/>
      <c r="AG3699" s="23"/>
      <c r="AH3699" s="23"/>
      <c r="AI3699" s="49"/>
    </row>
    <row r="3700" spans="1:35">
      <c r="A3700" s="23"/>
      <c r="B3700" s="42"/>
      <c r="C3700" s="49"/>
      <c r="E3700" s="49"/>
      <c r="G3700" s="43"/>
      <c r="H3700" s="44"/>
      <c r="L3700" s="42"/>
      <c r="M3700" s="42"/>
      <c r="N3700" s="25"/>
      <c r="O3700" s="54"/>
      <c r="P3700"/>
      <c r="Q3700" s="25"/>
      <c r="R3700" s="54"/>
      <c r="W3700" s="23"/>
      <c r="X3700" s="23"/>
      <c r="Y3700" s="23"/>
      <c r="Z3700" s="43"/>
      <c r="AA3700" s="23"/>
      <c r="AB3700" s="23"/>
      <c r="AC3700" s="23"/>
      <c r="AD3700" s="23"/>
      <c r="AE3700" s="23"/>
      <c r="AF3700" s="23"/>
      <c r="AG3700" s="23"/>
      <c r="AH3700" s="23"/>
      <c r="AI3700" s="49"/>
    </row>
    <row r="3701" spans="1:35">
      <c r="A3701" s="23"/>
      <c r="B3701" s="42"/>
      <c r="C3701" s="49"/>
      <c r="E3701" s="49"/>
      <c r="G3701" s="43"/>
      <c r="H3701" s="44"/>
      <c r="L3701" s="42"/>
      <c r="M3701" s="42"/>
      <c r="N3701" s="25"/>
      <c r="O3701" s="54"/>
      <c r="P3701"/>
      <c r="Q3701" s="25"/>
      <c r="R3701" s="54"/>
      <c r="W3701" s="23"/>
      <c r="X3701" s="23"/>
      <c r="Y3701" s="23"/>
      <c r="Z3701" s="43"/>
      <c r="AA3701" s="23"/>
      <c r="AB3701" s="23"/>
      <c r="AC3701" s="23"/>
      <c r="AD3701" s="23"/>
      <c r="AE3701" s="23"/>
      <c r="AF3701" s="23"/>
      <c r="AG3701" s="23"/>
      <c r="AH3701" s="23"/>
      <c r="AI3701" s="49"/>
    </row>
    <row r="3702" spans="1:35">
      <c r="A3702" s="23"/>
      <c r="B3702" s="42"/>
      <c r="C3702" s="49"/>
      <c r="E3702" s="49"/>
      <c r="G3702" s="43"/>
      <c r="H3702" s="44"/>
      <c r="L3702" s="42"/>
      <c r="M3702" s="42"/>
      <c r="N3702" s="25"/>
      <c r="O3702" s="54"/>
      <c r="P3702"/>
      <c r="Q3702" s="25"/>
      <c r="R3702" s="54"/>
      <c r="W3702" s="23"/>
      <c r="X3702" s="23"/>
      <c r="Y3702" s="23"/>
      <c r="Z3702" s="43"/>
      <c r="AA3702" s="23"/>
      <c r="AB3702" s="23"/>
      <c r="AC3702" s="23"/>
      <c r="AD3702" s="23"/>
      <c r="AE3702" s="23"/>
      <c r="AF3702" s="23"/>
      <c r="AG3702" s="23"/>
      <c r="AH3702" s="23"/>
      <c r="AI3702" s="49"/>
    </row>
    <row r="3703" spans="1:35">
      <c r="A3703" s="23"/>
      <c r="B3703" s="42"/>
      <c r="C3703" s="49"/>
      <c r="E3703" s="49"/>
      <c r="G3703" s="43"/>
      <c r="H3703" s="44"/>
      <c r="L3703" s="42"/>
      <c r="M3703" s="42"/>
      <c r="N3703" s="25"/>
      <c r="O3703" s="54"/>
      <c r="P3703"/>
      <c r="Q3703" s="25"/>
      <c r="R3703" s="54"/>
      <c r="W3703" s="23"/>
      <c r="X3703" s="23"/>
      <c r="Y3703" s="23"/>
      <c r="Z3703" s="43"/>
      <c r="AA3703" s="23"/>
      <c r="AB3703" s="23"/>
      <c r="AC3703" s="23"/>
      <c r="AD3703" s="23"/>
      <c r="AE3703" s="23"/>
      <c r="AF3703" s="23"/>
      <c r="AG3703" s="23"/>
      <c r="AH3703" s="23"/>
      <c r="AI3703" s="49"/>
    </row>
    <row r="3704" spans="1:35">
      <c r="A3704" s="23"/>
      <c r="B3704" s="42"/>
      <c r="C3704" s="49"/>
      <c r="E3704" s="49"/>
      <c r="G3704" s="43"/>
      <c r="H3704" s="44"/>
      <c r="L3704" s="42"/>
      <c r="M3704" s="42"/>
      <c r="N3704" s="25"/>
      <c r="O3704" s="54"/>
      <c r="P3704"/>
      <c r="Q3704" s="25"/>
      <c r="R3704" s="54"/>
      <c r="W3704" s="23"/>
      <c r="X3704" s="23"/>
      <c r="Y3704" s="23"/>
      <c r="Z3704" s="43"/>
      <c r="AA3704" s="23"/>
      <c r="AB3704" s="23"/>
      <c r="AC3704" s="23"/>
      <c r="AD3704" s="23"/>
      <c r="AE3704" s="23"/>
      <c r="AF3704" s="23"/>
      <c r="AG3704" s="23"/>
      <c r="AH3704" s="23"/>
      <c r="AI3704" s="49"/>
    </row>
    <row r="3705" spans="1:35">
      <c r="A3705" s="23"/>
      <c r="B3705" s="42"/>
      <c r="C3705" s="49"/>
      <c r="E3705" s="49"/>
      <c r="G3705" s="43"/>
      <c r="H3705" s="44"/>
      <c r="L3705" s="42"/>
      <c r="M3705" s="42"/>
      <c r="N3705" s="25"/>
      <c r="O3705" s="54"/>
      <c r="P3705"/>
      <c r="Q3705" s="25"/>
      <c r="R3705" s="54"/>
      <c r="W3705" s="23"/>
      <c r="X3705" s="23"/>
      <c r="Y3705" s="23"/>
      <c r="Z3705" s="43"/>
      <c r="AA3705" s="23"/>
      <c r="AB3705" s="23"/>
      <c r="AC3705" s="23"/>
      <c r="AD3705" s="23"/>
      <c r="AE3705" s="23"/>
      <c r="AF3705" s="23"/>
      <c r="AG3705" s="23"/>
      <c r="AH3705" s="23"/>
      <c r="AI3705" s="49"/>
    </row>
    <row r="3706" spans="1:35">
      <c r="A3706" s="23"/>
      <c r="B3706" s="42"/>
      <c r="C3706" s="49"/>
      <c r="E3706" s="49"/>
      <c r="G3706" s="43"/>
      <c r="H3706" s="44"/>
      <c r="L3706" s="42"/>
      <c r="M3706" s="42"/>
      <c r="N3706" s="25"/>
      <c r="O3706" s="54"/>
      <c r="P3706"/>
      <c r="Q3706" s="25"/>
      <c r="R3706" s="54"/>
      <c r="W3706" s="23"/>
      <c r="X3706" s="23"/>
      <c r="Y3706" s="23"/>
      <c r="Z3706" s="43"/>
      <c r="AA3706" s="23"/>
      <c r="AB3706" s="23"/>
      <c r="AC3706" s="23"/>
      <c r="AD3706" s="23"/>
      <c r="AE3706" s="23"/>
      <c r="AF3706" s="23"/>
      <c r="AG3706" s="23"/>
      <c r="AH3706" s="23"/>
      <c r="AI3706" s="49"/>
    </row>
    <row r="3707" spans="1:35">
      <c r="A3707" s="23"/>
      <c r="B3707" s="42"/>
      <c r="C3707" s="49"/>
      <c r="E3707" s="49"/>
      <c r="G3707" s="43"/>
      <c r="H3707" s="44"/>
      <c r="L3707" s="42"/>
      <c r="M3707" s="42"/>
      <c r="N3707" s="25"/>
      <c r="O3707" s="54"/>
      <c r="P3707"/>
      <c r="Q3707" s="25"/>
      <c r="R3707" s="54"/>
      <c r="W3707" s="23"/>
      <c r="X3707" s="23"/>
      <c r="Y3707" s="23"/>
      <c r="Z3707" s="43"/>
      <c r="AA3707" s="23"/>
      <c r="AB3707" s="23"/>
      <c r="AC3707" s="23"/>
      <c r="AD3707" s="23"/>
      <c r="AE3707" s="23"/>
      <c r="AF3707" s="23"/>
      <c r="AG3707" s="23"/>
      <c r="AH3707" s="23"/>
      <c r="AI3707" s="49"/>
    </row>
    <row r="3708" spans="1:35">
      <c r="A3708" s="23"/>
      <c r="B3708" s="42"/>
      <c r="C3708" s="49"/>
      <c r="E3708" s="49"/>
      <c r="G3708" s="43"/>
      <c r="H3708" s="44"/>
      <c r="L3708" s="42"/>
      <c r="M3708" s="42"/>
      <c r="N3708" s="25"/>
      <c r="O3708" s="54"/>
      <c r="P3708"/>
      <c r="Q3708" s="25"/>
      <c r="R3708" s="54"/>
      <c r="W3708" s="23"/>
      <c r="X3708" s="23"/>
      <c r="Y3708" s="23"/>
      <c r="Z3708" s="43"/>
      <c r="AA3708" s="23"/>
      <c r="AB3708" s="23"/>
      <c r="AC3708" s="23"/>
      <c r="AD3708" s="23"/>
      <c r="AE3708" s="23"/>
      <c r="AF3708" s="23"/>
      <c r="AG3708" s="23"/>
      <c r="AH3708" s="23"/>
      <c r="AI3708" s="49"/>
    </row>
    <row r="3709" spans="1:35">
      <c r="A3709" s="23"/>
      <c r="B3709" s="42"/>
      <c r="C3709" s="49"/>
      <c r="E3709" s="49"/>
      <c r="G3709" s="43"/>
      <c r="H3709" s="44"/>
      <c r="L3709" s="42"/>
      <c r="M3709" s="42"/>
      <c r="N3709" s="25"/>
      <c r="O3709" s="54"/>
      <c r="P3709"/>
      <c r="Q3709" s="25"/>
      <c r="R3709" s="54"/>
      <c r="W3709" s="23"/>
      <c r="X3709" s="23"/>
      <c r="Y3709" s="23"/>
      <c r="Z3709" s="43"/>
      <c r="AA3709" s="23"/>
      <c r="AB3709" s="23"/>
      <c r="AC3709" s="23"/>
      <c r="AD3709" s="23"/>
      <c r="AE3709" s="23"/>
      <c r="AF3709" s="23"/>
      <c r="AG3709" s="23"/>
      <c r="AH3709" s="23"/>
      <c r="AI3709" s="49"/>
    </row>
    <row r="3710" spans="1:35">
      <c r="A3710" s="23"/>
      <c r="B3710" s="42"/>
      <c r="C3710" s="49"/>
      <c r="E3710" s="49"/>
      <c r="G3710" s="43"/>
      <c r="H3710" s="44"/>
      <c r="L3710" s="42"/>
      <c r="M3710" s="42"/>
      <c r="N3710" s="25"/>
      <c r="O3710" s="54"/>
      <c r="P3710"/>
      <c r="Q3710" s="25"/>
      <c r="R3710" s="54"/>
      <c r="W3710" s="23"/>
      <c r="X3710" s="23"/>
      <c r="Y3710" s="23"/>
      <c r="Z3710" s="43"/>
      <c r="AA3710" s="23"/>
      <c r="AB3710" s="23"/>
      <c r="AC3710" s="23"/>
      <c r="AD3710" s="23"/>
      <c r="AE3710" s="23"/>
      <c r="AF3710" s="23"/>
      <c r="AG3710" s="23"/>
      <c r="AH3710" s="23"/>
      <c r="AI3710" s="49"/>
    </row>
    <row r="3711" spans="1:35">
      <c r="A3711" s="23"/>
      <c r="B3711" s="42"/>
      <c r="C3711" s="49"/>
      <c r="E3711" s="49"/>
      <c r="G3711" s="43"/>
      <c r="H3711" s="44"/>
      <c r="L3711" s="42"/>
      <c r="M3711" s="42"/>
      <c r="N3711" s="25"/>
      <c r="O3711" s="54"/>
      <c r="P3711"/>
      <c r="Q3711" s="25"/>
      <c r="R3711" s="54"/>
      <c r="W3711" s="23"/>
      <c r="X3711" s="23"/>
      <c r="Y3711" s="23"/>
      <c r="Z3711" s="43"/>
      <c r="AA3711" s="23"/>
      <c r="AB3711" s="23"/>
      <c r="AC3711" s="23"/>
      <c r="AD3711" s="23"/>
      <c r="AE3711" s="23"/>
      <c r="AF3711" s="23"/>
      <c r="AG3711" s="23"/>
      <c r="AH3711" s="23"/>
      <c r="AI3711" s="49"/>
    </row>
    <row r="3712" spans="1:35">
      <c r="A3712" s="23"/>
      <c r="B3712" s="42"/>
      <c r="C3712" s="49"/>
      <c r="E3712" s="49"/>
      <c r="G3712" s="43"/>
      <c r="H3712" s="44"/>
      <c r="L3712" s="42"/>
      <c r="M3712" s="42"/>
      <c r="N3712" s="25"/>
      <c r="O3712" s="54"/>
      <c r="P3712"/>
      <c r="Q3712" s="25"/>
      <c r="R3712" s="54"/>
      <c r="W3712" s="23"/>
      <c r="X3712" s="23"/>
      <c r="Y3712" s="23"/>
      <c r="Z3712" s="43"/>
      <c r="AA3712" s="23"/>
      <c r="AB3712" s="23"/>
      <c r="AC3712" s="23"/>
      <c r="AD3712" s="23"/>
      <c r="AE3712" s="23"/>
      <c r="AF3712" s="23"/>
      <c r="AG3712" s="23"/>
      <c r="AH3712" s="23"/>
      <c r="AI3712" s="49"/>
    </row>
    <row r="3713" spans="1:35">
      <c r="A3713" s="23"/>
      <c r="B3713" s="42"/>
      <c r="C3713" s="49"/>
      <c r="E3713" s="49"/>
      <c r="G3713" s="43"/>
      <c r="H3713" s="44"/>
      <c r="L3713" s="42"/>
      <c r="M3713" s="42"/>
      <c r="N3713" s="25"/>
      <c r="O3713" s="54"/>
      <c r="P3713"/>
      <c r="Q3713" s="25"/>
      <c r="R3713" s="54"/>
      <c r="W3713" s="23"/>
      <c r="X3713" s="23"/>
      <c r="Y3713" s="23"/>
      <c r="Z3713" s="43"/>
      <c r="AA3713" s="23"/>
      <c r="AB3713" s="23"/>
      <c r="AC3713" s="23"/>
      <c r="AD3713" s="23"/>
      <c r="AE3713" s="23"/>
      <c r="AF3713" s="23"/>
      <c r="AG3713" s="23"/>
      <c r="AH3713" s="23"/>
      <c r="AI3713" s="49"/>
    </row>
    <row r="3714" spans="1:35">
      <c r="A3714" s="23"/>
      <c r="B3714" s="42"/>
      <c r="C3714" s="49"/>
      <c r="E3714" s="49"/>
      <c r="G3714" s="43"/>
      <c r="H3714" s="44"/>
      <c r="L3714" s="42"/>
      <c r="M3714" s="42"/>
      <c r="N3714" s="25"/>
      <c r="O3714" s="54"/>
      <c r="P3714"/>
      <c r="Q3714" s="25"/>
      <c r="R3714" s="54"/>
      <c r="W3714" s="23"/>
      <c r="X3714" s="23"/>
      <c r="Y3714" s="23"/>
      <c r="Z3714" s="43"/>
      <c r="AA3714" s="23"/>
      <c r="AB3714" s="23"/>
      <c r="AC3714" s="23"/>
      <c r="AD3714" s="23"/>
      <c r="AE3714" s="23"/>
      <c r="AF3714" s="23"/>
      <c r="AG3714" s="23"/>
      <c r="AH3714" s="23"/>
      <c r="AI3714" s="49"/>
    </row>
    <row r="3715" spans="1:35">
      <c r="A3715" s="23"/>
      <c r="B3715" s="42"/>
      <c r="C3715" s="49"/>
      <c r="E3715" s="49"/>
      <c r="G3715" s="43"/>
      <c r="H3715" s="44"/>
      <c r="L3715" s="42"/>
      <c r="M3715" s="42"/>
      <c r="N3715" s="25"/>
      <c r="O3715" s="54"/>
      <c r="P3715"/>
      <c r="Q3715" s="25"/>
      <c r="R3715" s="54"/>
      <c r="W3715" s="23"/>
      <c r="X3715" s="23"/>
      <c r="Y3715" s="23"/>
      <c r="Z3715" s="43"/>
      <c r="AA3715" s="23"/>
      <c r="AB3715" s="23"/>
      <c r="AC3715" s="23"/>
      <c r="AD3715" s="23"/>
      <c r="AE3715" s="23"/>
      <c r="AF3715" s="23"/>
      <c r="AG3715" s="23"/>
      <c r="AH3715" s="23"/>
      <c r="AI3715" s="49"/>
    </row>
    <row r="3716" spans="1:35">
      <c r="A3716" s="23"/>
      <c r="B3716" s="42"/>
      <c r="C3716" s="49"/>
      <c r="E3716" s="49"/>
      <c r="G3716" s="43"/>
      <c r="H3716" s="44"/>
      <c r="L3716" s="42"/>
      <c r="M3716" s="42"/>
      <c r="N3716" s="25"/>
      <c r="O3716" s="54"/>
      <c r="P3716"/>
      <c r="Q3716" s="25"/>
      <c r="R3716" s="54"/>
      <c r="W3716" s="23"/>
      <c r="X3716" s="23"/>
      <c r="Y3716" s="23"/>
      <c r="Z3716" s="43"/>
      <c r="AA3716" s="23"/>
      <c r="AB3716" s="23"/>
      <c r="AC3716" s="23"/>
      <c r="AD3716" s="23"/>
      <c r="AE3716" s="23"/>
      <c r="AF3716" s="23"/>
      <c r="AG3716" s="23"/>
      <c r="AH3716" s="23"/>
      <c r="AI3716" s="49"/>
    </row>
    <row r="3717" spans="1:35">
      <c r="A3717" s="23"/>
      <c r="B3717" s="42"/>
      <c r="C3717" s="49"/>
      <c r="E3717" s="49"/>
      <c r="G3717" s="43"/>
      <c r="H3717" s="44"/>
      <c r="L3717" s="42"/>
      <c r="M3717" s="42"/>
      <c r="N3717" s="25"/>
      <c r="O3717" s="54"/>
      <c r="P3717"/>
      <c r="Q3717" s="25"/>
      <c r="R3717" s="54"/>
      <c r="W3717" s="23"/>
      <c r="X3717" s="23"/>
      <c r="Y3717" s="23"/>
      <c r="Z3717" s="43"/>
      <c r="AA3717" s="23"/>
      <c r="AB3717" s="23"/>
      <c r="AC3717" s="23"/>
      <c r="AD3717" s="23"/>
      <c r="AE3717" s="23"/>
      <c r="AF3717" s="23"/>
      <c r="AG3717" s="23"/>
      <c r="AH3717" s="23"/>
      <c r="AI3717" s="49"/>
    </row>
    <row r="3718" spans="1:35">
      <c r="A3718" s="23"/>
      <c r="B3718" s="42"/>
      <c r="C3718" s="49"/>
      <c r="E3718" s="49"/>
      <c r="G3718" s="43"/>
      <c r="H3718" s="44"/>
      <c r="L3718" s="42"/>
      <c r="M3718" s="42"/>
      <c r="N3718" s="25"/>
      <c r="O3718" s="54"/>
      <c r="P3718"/>
      <c r="Q3718" s="25"/>
      <c r="R3718" s="54"/>
      <c r="W3718" s="23"/>
      <c r="X3718" s="23"/>
      <c r="Y3718" s="23"/>
      <c r="Z3718" s="43"/>
      <c r="AA3718" s="23"/>
      <c r="AB3718" s="23"/>
      <c r="AC3718" s="23"/>
      <c r="AD3718" s="23"/>
      <c r="AE3718" s="23"/>
      <c r="AF3718" s="23"/>
      <c r="AG3718" s="23"/>
      <c r="AH3718" s="23"/>
      <c r="AI3718" s="49"/>
    </row>
    <row r="3719" spans="1:35">
      <c r="A3719" s="23"/>
      <c r="B3719" s="42"/>
      <c r="C3719" s="49"/>
      <c r="E3719" s="49"/>
      <c r="G3719" s="43"/>
      <c r="H3719" s="44"/>
      <c r="L3719" s="42"/>
      <c r="M3719" s="42"/>
      <c r="N3719" s="25"/>
      <c r="O3719" s="54"/>
      <c r="P3719"/>
      <c r="Q3719" s="25"/>
      <c r="R3719" s="54"/>
      <c r="W3719" s="23"/>
      <c r="X3719" s="23"/>
      <c r="Y3719" s="23"/>
      <c r="Z3719" s="43"/>
      <c r="AA3719" s="23"/>
      <c r="AB3719" s="23"/>
      <c r="AC3719" s="23"/>
      <c r="AD3719" s="23"/>
      <c r="AE3719" s="23"/>
      <c r="AF3719" s="23"/>
      <c r="AG3719" s="23"/>
      <c r="AH3719" s="23"/>
      <c r="AI3719" s="49"/>
    </row>
    <row r="3720" spans="1:35">
      <c r="A3720" s="23"/>
      <c r="B3720" s="42"/>
      <c r="C3720" s="49"/>
      <c r="E3720" s="49"/>
      <c r="G3720" s="43"/>
      <c r="H3720" s="44"/>
      <c r="L3720" s="42"/>
      <c r="M3720" s="42"/>
      <c r="N3720" s="25"/>
      <c r="O3720" s="54"/>
      <c r="P3720"/>
      <c r="Q3720" s="25"/>
      <c r="R3720" s="54"/>
      <c r="W3720" s="23"/>
      <c r="X3720" s="23"/>
      <c r="Y3720" s="23"/>
      <c r="Z3720" s="43"/>
      <c r="AA3720" s="23"/>
      <c r="AB3720" s="23"/>
      <c r="AC3720" s="23"/>
      <c r="AD3720" s="23"/>
      <c r="AE3720" s="23"/>
      <c r="AF3720" s="23"/>
      <c r="AG3720" s="23"/>
      <c r="AH3720" s="23"/>
      <c r="AI3720" s="49"/>
    </row>
    <row r="3721" spans="1:35">
      <c r="A3721" s="23"/>
      <c r="B3721" s="42"/>
      <c r="C3721" s="49"/>
      <c r="E3721" s="49"/>
      <c r="G3721" s="43"/>
      <c r="H3721" s="44"/>
      <c r="L3721" s="42"/>
      <c r="M3721" s="42"/>
      <c r="N3721" s="25"/>
      <c r="O3721" s="54"/>
      <c r="P3721"/>
      <c r="Q3721" s="25"/>
      <c r="R3721" s="54"/>
      <c r="W3721" s="23"/>
      <c r="X3721" s="23"/>
      <c r="Y3721" s="23"/>
      <c r="Z3721" s="43"/>
      <c r="AA3721" s="23"/>
      <c r="AB3721" s="23"/>
      <c r="AC3721" s="23"/>
      <c r="AD3721" s="23"/>
      <c r="AE3721" s="23"/>
      <c r="AF3721" s="23"/>
      <c r="AG3721" s="23"/>
      <c r="AH3721" s="23"/>
      <c r="AI3721" s="49"/>
    </row>
    <row r="3722" spans="1:35">
      <c r="A3722" s="23"/>
      <c r="B3722" s="42"/>
      <c r="C3722" s="49"/>
      <c r="E3722" s="49"/>
      <c r="G3722" s="43"/>
      <c r="H3722" s="44"/>
      <c r="L3722" s="42"/>
      <c r="M3722" s="42"/>
      <c r="N3722" s="25"/>
      <c r="O3722" s="54"/>
      <c r="P3722"/>
      <c r="Q3722" s="25"/>
      <c r="R3722" s="54"/>
      <c r="W3722" s="23"/>
      <c r="X3722" s="23"/>
      <c r="Y3722" s="23"/>
      <c r="Z3722" s="43"/>
      <c r="AA3722" s="23"/>
      <c r="AB3722" s="23"/>
      <c r="AC3722" s="23"/>
      <c r="AD3722" s="23"/>
      <c r="AE3722" s="23"/>
      <c r="AF3722" s="23"/>
      <c r="AG3722" s="23"/>
      <c r="AH3722" s="23"/>
      <c r="AI3722" s="49"/>
    </row>
    <row r="3723" spans="1:35">
      <c r="A3723" s="23"/>
      <c r="B3723" s="42"/>
      <c r="C3723" s="49"/>
      <c r="E3723" s="49"/>
      <c r="G3723" s="43"/>
      <c r="H3723" s="44"/>
      <c r="L3723" s="42"/>
      <c r="M3723" s="42"/>
      <c r="N3723" s="25"/>
      <c r="O3723" s="54"/>
      <c r="P3723"/>
      <c r="Q3723" s="25"/>
      <c r="R3723" s="54"/>
      <c r="W3723" s="23"/>
      <c r="X3723" s="23"/>
      <c r="Y3723" s="23"/>
      <c r="Z3723" s="43"/>
      <c r="AA3723" s="23"/>
      <c r="AB3723" s="23"/>
      <c r="AC3723" s="23"/>
      <c r="AD3723" s="23"/>
      <c r="AE3723" s="23"/>
      <c r="AF3723" s="23"/>
      <c r="AG3723" s="23"/>
      <c r="AH3723" s="23"/>
      <c r="AI3723" s="49"/>
    </row>
    <row r="3724" spans="1:35">
      <c r="A3724" s="23"/>
      <c r="B3724" s="42"/>
      <c r="C3724" s="49"/>
      <c r="E3724" s="49"/>
      <c r="G3724" s="43"/>
      <c r="H3724" s="44"/>
      <c r="L3724" s="42"/>
      <c r="M3724" s="42"/>
      <c r="N3724" s="25"/>
      <c r="O3724" s="54"/>
      <c r="P3724"/>
      <c r="Q3724" s="25"/>
      <c r="R3724" s="54"/>
      <c r="W3724" s="23"/>
      <c r="X3724" s="23"/>
      <c r="Y3724" s="23"/>
      <c r="Z3724" s="43"/>
      <c r="AA3724" s="23"/>
      <c r="AB3724" s="23"/>
      <c r="AC3724" s="23"/>
      <c r="AD3724" s="23"/>
      <c r="AE3724" s="23"/>
      <c r="AF3724" s="23"/>
      <c r="AG3724" s="23"/>
      <c r="AH3724" s="23"/>
      <c r="AI3724" s="49"/>
    </row>
    <row r="3725" spans="1:35">
      <c r="A3725" s="23"/>
      <c r="B3725" s="42"/>
      <c r="C3725" s="49"/>
      <c r="E3725" s="49"/>
      <c r="G3725" s="43"/>
      <c r="H3725" s="44"/>
      <c r="L3725" s="42"/>
      <c r="M3725" s="42"/>
      <c r="N3725" s="25"/>
      <c r="O3725" s="54"/>
      <c r="P3725"/>
      <c r="Q3725" s="25"/>
      <c r="R3725" s="54"/>
      <c r="W3725" s="23"/>
      <c r="X3725" s="23"/>
      <c r="Y3725" s="23"/>
      <c r="Z3725" s="43"/>
      <c r="AA3725" s="23"/>
      <c r="AB3725" s="23"/>
      <c r="AC3725" s="23"/>
      <c r="AD3725" s="23"/>
      <c r="AE3725" s="23"/>
      <c r="AF3725" s="23"/>
      <c r="AG3725" s="23"/>
      <c r="AH3725" s="23"/>
      <c r="AI3725" s="49"/>
    </row>
    <row r="3726" spans="1:35">
      <c r="A3726" s="23"/>
      <c r="B3726" s="42"/>
      <c r="C3726" s="49"/>
      <c r="E3726" s="49"/>
      <c r="G3726" s="43"/>
      <c r="H3726" s="44"/>
      <c r="L3726" s="42"/>
      <c r="M3726" s="42"/>
      <c r="N3726" s="25"/>
      <c r="O3726" s="54"/>
      <c r="P3726"/>
      <c r="Q3726" s="25"/>
      <c r="R3726" s="54"/>
      <c r="W3726" s="23"/>
      <c r="X3726" s="23"/>
      <c r="Y3726" s="23"/>
      <c r="Z3726" s="43"/>
      <c r="AA3726" s="23"/>
      <c r="AB3726" s="23"/>
      <c r="AC3726" s="23"/>
      <c r="AD3726" s="23"/>
      <c r="AE3726" s="23"/>
      <c r="AF3726" s="23"/>
      <c r="AG3726" s="23"/>
      <c r="AH3726" s="23"/>
      <c r="AI3726" s="49"/>
    </row>
    <row r="3727" spans="1:35">
      <c r="A3727" s="23"/>
      <c r="B3727" s="42"/>
      <c r="C3727" s="49"/>
      <c r="E3727" s="49"/>
      <c r="G3727" s="43"/>
      <c r="H3727" s="44"/>
      <c r="L3727" s="42"/>
      <c r="M3727" s="42"/>
      <c r="N3727" s="25"/>
      <c r="O3727" s="54"/>
      <c r="P3727"/>
      <c r="Q3727" s="25"/>
      <c r="R3727" s="54"/>
      <c r="W3727" s="23"/>
      <c r="X3727" s="23"/>
      <c r="Y3727" s="23"/>
      <c r="Z3727" s="43"/>
      <c r="AA3727" s="23"/>
      <c r="AB3727" s="23"/>
      <c r="AC3727" s="23"/>
      <c r="AD3727" s="23"/>
      <c r="AE3727" s="23"/>
      <c r="AF3727" s="23"/>
      <c r="AG3727" s="23"/>
      <c r="AH3727" s="23"/>
      <c r="AI3727" s="49"/>
    </row>
    <row r="3728" spans="1:35">
      <c r="A3728" s="23"/>
      <c r="B3728" s="42"/>
      <c r="C3728" s="49"/>
      <c r="E3728" s="49"/>
      <c r="G3728" s="43"/>
      <c r="H3728" s="44"/>
      <c r="L3728" s="42"/>
      <c r="M3728" s="42"/>
      <c r="N3728" s="25"/>
      <c r="O3728" s="54"/>
      <c r="P3728"/>
      <c r="Q3728" s="25"/>
      <c r="R3728" s="54"/>
      <c r="W3728" s="23"/>
      <c r="X3728" s="23"/>
      <c r="Y3728" s="23"/>
      <c r="Z3728" s="43"/>
      <c r="AA3728" s="23"/>
      <c r="AB3728" s="23"/>
      <c r="AC3728" s="23"/>
      <c r="AD3728" s="23"/>
      <c r="AE3728" s="23"/>
      <c r="AF3728" s="23"/>
      <c r="AG3728" s="23"/>
      <c r="AH3728" s="23"/>
      <c r="AI3728" s="49"/>
    </row>
    <row r="3729" spans="1:35">
      <c r="A3729" s="23"/>
      <c r="B3729" s="42"/>
      <c r="C3729" s="49"/>
      <c r="E3729" s="49"/>
      <c r="G3729" s="43"/>
      <c r="H3729" s="44"/>
      <c r="L3729" s="42"/>
      <c r="M3729" s="42"/>
      <c r="N3729" s="25"/>
      <c r="O3729" s="54"/>
      <c r="P3729"/>
      <c r="Q3729" s="25"/>
      <c r="R3729" s="54"/>
      <c r="W3729" s="23"/>
      <c r="X3729" s="23"/>
      <c r="Y3729" s="23"/>
      <c r="Z3729" s="43"/>
      <c r="AA3729" s="23"/>
      <c r="AB3729" s="23"/>
      <c r="AC3729" s="23"/>
      <c r="AD3729" s="23"/>
      <c r="AE3729" s="23"/>
      <c r="AF3729" s="23"/>
      <c r="AG3729" s="23"/>
      <c r="AH3729" s="23"/>
      <c r="AI3729" s="49"/>
    </row>
    <row r="3730" spans="1:35">
      <c r="A3730" s="23"/>
      <c r="B3730" s="42"/>
      <c r="C3730" s="49"/>
      <c r="E3730" s="49"/>
      <c r="G3730" s="43"/>
      <c r="H3730" s="44"/>
      <c r="L3730" s="42"/>
      <c r="M3730" s="42"/>
      <c r="N3730" s="25"/>
      <c r="O3730" s="54"/>
      <c r="P3730"/>
      <c r="Q3730" s="25"/>
      <c r="R3730" s="54"/>
      <c r="W3730" s="23"/>
      <c r="X3730" s="23"/>
      <c r="Y3730" s="23"/>
      <c r="Z3730" s="43"/>
      <c r="AA3730" s="23"/>
      <c r="AB3730" s="23"/>
      <c r="AC3730" s="23"/>
      <c r="AD3730" s="23"/>
      <c r="AE3730" s="23"/>
      <c r="AF3730" s="23"/>
      <c r="AG3730" s="23"/>
      <c r="AH3730" s="23"/>
      <c r="AI3730" s="49"/>
    </row>
    <row r="3731" spans="1:35">
      <c r="A3731" s="23"/>
      <c r="B3731" s="42"/>
      <c r="C3731" s="49"/>
      <c r="E3731" s="49"/>
      <c r="G3731" s="43"/>
      <c r="H3731" s="44"/>
      <c r="L3731" s="42"/>
      <c r="M3731" s="42"/>
      <c r="N3731" s="25"/>
      <c r="O3731" s="54"/>
      <c r="P3731"/>
      <c r="Q3731" s="25"/>
      <c r="R3731" s="54"/>
      <c r="W3731" s="23"/>
      <c r="X3731" s="23"/>
      <c r="Y3731" s="23"/>
      <c r="Z3731" s="43"/>
      <c r="AA3731" s="23"/>
      <c r="AB3731" s="23"/>
      <c r="AC3731" s="23"/>
      <c r="AD3731" s="23"/>
      <c r="AE3731" s="23"/>
      <c r="AF3731" s="23"/>
      <c r="AG3731" s="23"/>
      <c r="AH3731" s="23"/>
      <c r="AI3731" s="49"/>
    </row>
    <row r="3732" spans="1:35">
      <c r="A3732" s="23"/>
      <c r="B3732" s="42"/>
      <c r="C3732" s="49"/>
      <c r="E3732" s="49"/>
      <c r="G3732" s="43"/>
      <c r="H3732" s="44"/>
      <c r="L3732" s="42"/>
      <c r="M3732" s="42"/>
      <c r="N3732" s="25"/>
      <c r="O3732" s="54"/>
      <c r="P3732"/>
      <c r="Q3732" s="25"/>
      <c r="R3732" s="54"/>
      <c r="W3732" s="23"/>
      <c r="X3732" s="23"/>
      <c r="Y3732" s="23"/>
      <c r="Z3732" s="43"/>
      <c r="AA3732" s="23"/>
      <c r="AB3732" s="23"/>
      <c r="AC3732" s="23"/>
      <c r="AD3732" s="23"/>
      <c r="AE3732" s="23"/>
      <c r="AF3732" s="23"/>
      <c r="AG3732" s="23"/>
      <c r="AH3732" s="23"/>
      <c r="AI3732" s="49"/>
    </row>
    <row r="3733" spans="1:35">
      <c r="A3733" s="23"/>
      <c r="B3733" s="42"/>
      <c r="C3733" s="49"/>
      <c r="E3733" s="49"/>
      <c r="G3733" s="43"/>
      <c r="H3733" s="44"/>
      <c r="L3733" s="42"/>
      <c r="M3733" s="42"/>
      <c r="N3733" s="25"/>
      <c r="O3733" s="54"/>
      <c r="P3733"/>
      <c r="Q3733" s="25"/>
      <c r="R3733" s="54"/>
      <c r="W3733" s="23"/>
      <c r="X3733" s="23"/>
      <c r="Y3733" s="23"/>
      <c r="Z3733" s="43"/>
      <c r="AA3733" s="23"/>
      <c r="AB3733" s="23"/>
      <c r="AC3733" s="23"/>
      <c r="AD3733" s="23"/>
      <c r="AE3733" s="23"/>
      <c r="AF3733" s="23"/>
      <c r="AG3733" s="23"/>
      <c r="AH3733" s="23"/>
      <c r="AI3733" s="49"/>
    </row>
    <row r="3734" spans="1:35">
      <c r="A3734" s="23"/>
      <c r="B3734" s="42"/>
      <c r="C3734" s="49"/>
      <c r="E3734" s="49"/>
      <c r="G3734" s="43"/>
      <c r="H3734" s="44"/>
      <c r="L3734" s="42"/>
      <c r="M3734" s="42"/>
      <c r="N3734" s="25"/>
      <c r="O3734" s="54"/>
      <c r="P3734"/>
      <c r="Q3734" s="25"/>
      <c r="R3734" s="54"/>
      <c r="W3734" s="23"/>
      <c r="X3734" s="23"/>
      <c r="Y3734" s="23"/>
      <c r="Z3734" s="43"/>
      <c r="AA3734" s="23"/>
      <c r="AB3734" s="23"/>
      <c r="AC3734" s="23"/>
      <c r="AD3734" s="23"/>
      <c r="AE3734" s="23"/>
      <c r="AF3734" s="23"/>
      <c r="AG3734" s="23"/>
      <c r="AH3734" s="23"/>
      <c r="AI3734" s="49"/>
    </row>
    <row r="3735" spans="1:35">
      <c r="A3735" s="23"/>
      <c r="B3735" s="42"/>
      <c r="C3735" s="49"/>
      <c r="E3735" s="49"/>
      <c r="G3735" s="43"/>
      <c r="H3735" s="44"/>
      <c r="L3735" s="42"/>
      <c r="M3735" s="42"/>
      <c r="N3735" s="25"/>
      <c r="O3735" s="54"/>
      <c r="P3735"/>
      <c r="Q3735" s="25"/>
      <c r="R3735" s="54"/>
      <c r="W3735" s="23"/>
      <c r="X3735" s="23"/>
      <c r="Y3735" s="23"/>
      <c r="Z3735" s="43"/>
      <c r="AA3735" s="23"/>
      <c r="AB3735" s="23"/>
      <c r="AC3735" s="23"/>
      <c r="AD3735" s="23"/>
      <c r="AE3735" s="23"/>
      <c r="AF3735" s="23"/>
      <c r="AG3735" s="23"/>
      <c r="AH3735" s="23"/>
      <c r="AI3735" s="49"/>
    </row>
    <row r="3736" spans="1:35">
      <c r="A3736" s="23"/>
      <c r="B3736" s="42"/>
      <c r="C3736" s="49"/>
      <c r="E3736" s="49"/>
      <c r="G3736" s="43"/>
      <c r="H3736" s="44"/>
      <c r="L3736" s="42"/>
      <c r="M3736" s="42"/>
      <c r="N3736" s="25"/>
      <c r="O3736" s="54"/>
      <c r="P3736"/>
      <c r="Q3736" s="25"/>
      <c r="R3736" s="54"/>
      <c r="W3736" s="23"/>
      <c r="X3736" s="23"/>
      <c r="Y3736" s="23"/>
      <c r="Z3736" s="43"/>
      <c r="AA3736" s="23"/>
      <c r="AB3736" s="23"/>
      <c r="AC3736" s="23"/>
      <c r="AD3736" s="23"/>
      <c r="AE3736" s="23"/>
      <c r="AF3736" s="23"/>
      <c r="AG3736" s="23"/>
      <c r="AH3736" s="23"/>
      <c r="AI3736" s="49"/>
    </row>
    <row r="3737" spans="1:35">
      <c r="A3737" s="23"/>
      <c r="B3737" s="42"/>
      <c r="C3737" s="49"/>
      <c r="E3737" s="49"/>
      <c r="G3737" s="43"/>
      <c r="H3737" s="44"/>
      <c r="L3737" s="42"/>
      <c r="M3737" s="42"/>
      <c r="N3737" s="25"/>
      <c r="O3737" s="54"/>
      <c r="P3737"/>
      <c r="Q3737" s="25"/>
      <c r="R3737" s="54"/>
      <c r="W3737" s="23"/>
      <c r="X3737" s="23"/>
      <c r="Y3737" s="23"/>
      <c r="Z3737" s="43"/>
      <c r="AA3737" s="23"/>
      <c r="AB3737" s="23"/>
      <c r="AC3737" s="23"/>
      <c r="AD3737" s="23"/>
      <c r="AE3737" s="23"/>
      <c r="AF3737" s="23"/>
      <c r="AG3737" s="23"/>
      <c r="AH3737" s="23"/>
      <c r="AI3737" s="49"/>
    </row>
    <row r="3738" spans="1:35">
      <c r="A3738" s="23"/>
      <c r="B3738" s="42"/>
      <c r="C3738" s="49"/>
      <c r="E3738" s="49"/>
      <c r="G3738" s="43"/>
      <c r="H3738" s="44"/>
      <c r="L3738" s="42"/>
      <c r="M3738" s="42"/>
      <c r="N3738" s="25"/>
      <c r="O3738" s="54"/>
      <c r="P3738"/>
      <c r="Q3738" s="25"/>
      <c r="R3738" s="54"/>
      <c r="W3738" s="23"/>
      <c r="X3738" s="23"/>
      <c r="Y3738" s="23"/>
      <c r="Z3738" s="43"/>
      <c r="AA3738" s="23"/>
      <c r="AB3738" s="23"/>
      <c r="AC3738" s="23"/>
      <c r="AD3738" s="23"/>
      <c r="AE3738" s="23"/>
      <c r="AF3738" s="23"/>
      <c r="AG3738" s="23"/>
      <c r="AH3738" s="23"/>
      <c r="AI3738" s="49"/>
    </row>
    <row r="3739" spans="1:35">
      <c r="A3739" s="23"/>
      <c r="B3739" s="42"/>
      <c r="C3739" s="49"/>
      <c r="E3739" s="49"/>
      <c r="G3739" s="43"/>
      <c r="H3739" s="44"/>
      <c r="L3739" s="42"/>
      <c r="M3739" s="42"/>
      <c r="N3739" s="25"/>
      <c r="O3739" s="54"/>
      <c r="P3739"/>
      <c r="Q3739" s="25"/>
      <c r="R3739" s="54"/>
      <c r="W3739" s="23"/>
      <c r="X3739" s="23"/>
      <c r="Y3739" s="23"/>
      <c r="Z3739" s="43"/>
      <c r="AA3739" s="23"/>
      <c r="AB3739" s="23"/>
      <c r="AC3739" s="23"/>
      <c r="AD3739" s="23"/>
      <c r="AE3739" s="23"/>
      <c r="AF3739" s="23"/>
      <c r="AG3739" s="23"/>
      <c r="AH3739" s="23"/>
      <c r="AI3739" s="49"/>
    </row>
    <row r="3740" spans="1:35">
      <c r="A3740" s="23"/>
      <c r="B3740" s="42"/>
      <c r="C3740" s="49"/>
      <c r="E3740" s="49"/>
      <c r="G3740" s="43"/>
      <c r="H3740" s="44"/>
      <c r="L3740" s="42"/>
      <c r="M3740" s="42"/>
      <c r="N3740" s="25"/>
      <c r="O3740" s="54"/>
      <c r="P3740"/>
      <c r="Q3740" s="25"/>
      <c r="R3740" s="54"/>
      <c r="W3740" s="23"/>
      <c r="X3740" s="23"/>
      <c r="Y3740" s="23"/>
      <c r="Z3740" s="43"/>
      <c r="AA3740" s="23"/>
      <c r="AB3740" s="23"/>
      <c r="AC3740" s="23"/>
      <c r="AD3740" s="23"/>
      <c r="AE3740" s="23"/>
      <c r="AF3740" s="23"/>
      <c r="AG3740" s="23"/>
      <c r="AH3740" s="23"/>
      <c r="AI3740" s="49"/>
    </row>
    <row r="3741" spans="1:35">
      <c r="B3741" s="42"/>
      <c r="G3741" s="43"/>
      <c r="H3741" s="44"/>
      <c r="L3741" s="42"/>
      <c r="M3741" s="42"/>
      <c r="N3741" s="25"/>
      <c r="O3741" s="54"/>
      <c r="P3741"/>
      <c r="Q3741" s="25"/>
      <c r="R3741" s="54"/>
      <c r="W3741" s="23"/>
      <c r="X3741" s="23"/>
      <c r="Y3741" s="23"/>
      <c r="Z3741" s="43"/>
      <c r="AA3741" s="23"/>
      <c r="AB3741" s="23"/>
      <c r="AC3741" s="23"/>
      <c r="AD3741" s="23"/>
      <c r="AE3741" s="23"/>
      <c r="AF3741" s="23"/>
      <c r="AG3741" s="23"/>
      <c r="AH3741" s="23"/>
      <c r="AI3741" s="48"/>
    </row>
    <row r="3742" spans="1:35">
      <c r="B3742" s="42"/>
      <c r="G3742" s="43"/>
      <c r="H3742" s="44"/>
      <c r="L3742" s="42"/>
      <c r="M3742" s="42"/>
      <c r="N3742" s="25"/>
      <c r="O3742" s="54"/>
      <c r="P3742"/>
      <c r="Q3742" s="25"/>
      <c r="R3742" s="54"/>
      <c r="W3742" s="23"/>
      <c r="X3742" s="23"/>
      <c r="Y3742" s="23"/>
      <c r="Z3742" s="43"/>
      <c r="AA3742" s="23"/>
      <c r="AB3742" s="23"/>
      <c r="AC3742" s="23"/>
      <c r="AD3742" s="23"/>
      <c r="AE3742" s="23"/>
      <c r="AF3742" s="23"/>
      <c r="AG3742" s="23"/>
      <c r="AH3742" s="23"/>
      <c r="AI3742" s="48"/>
    </row>
    <row r="3743" spans="1:35">
      <c r="B3743" s="42"/>
      <c r="G3743" s="43"/>
      <c r="H3743" s="44"/>
      <c r="L3743" s="42"/>
      <c r="M3743" s="42"/>
      <c r="N3743" s="25"/>
      <c r="O3743" s="54"/>
      <c r="P3743"/>
      <c r="Q3743" s="25"/>
      <c r="R3743" s="54"/>
      <c r="W3743" s="23"/>
      <c r="X3743" s="23"/>
      <c r="Y3743" s="23"/>
      <c r="Z3743" s="43"/>
      <c r="AA3743" s="23"/>
      <c r="AB3743" s="23"/>
      <c r="AC3743" s="23"/>
      <c r="AD3743" s="23"/>
      <c r="AE3743" s="23"/>
      <c r="AF3743" s="23"/>
      <c r="AG3743" s="23"/>
      <c r="AH3743" s="23"/>
      <c r="AI3743" s="48"/>
    </row>
    <row r="3744" spans="1:35">
      <c r="B3744" s="42"/>
      <c r="G3744" s="43"/>
      <c r="H3744" s="44"/>
      <c r="L3744" s="42"/>
      <c r="M3744" s="42"/>
      <c r="N3744" s="25"/>
      <c r="O3744" s="54"/>
      <c r="P3744"/>
      <c r="Q3744" s="25"/>
      <c r="R3744" s="54"/>
      <c r="W3744" s="23"/>
      <c r="X3744" s="23"/>
      <c r="Y3744" s="23"/>
      <c r="Z3744" s="43"/>
      <c r="AA3744" s="23"/>
      <c r="AB3744" s="23"/>
      <c r="AC3744" s="23"/>
      <c r="AD3744" s="23"/>
      <c r="AE3744" s="23"/>
      <c r="AF3744" s="23"/>
      <c r="AG3744" s="23"/>
      <c r="AH3744" s="23"/>
      <c r="AI3744" s="48"/>
    </row>
    <row r="3745" spans="2:35">
      <c r="B3745" s="42"/>
      <c r="G3745" s="43"/>
      <c r="H3745" s="44"/>
      <c r="L3745" s="42"/>
      <c r="M3745" s="42"/>
      <c r="N3745" s="25"/>
      <c r="O3745" s="54"/>
      <c r="P3745"/>
      <c r="Q3745" s="25"/>
      <c r="R3745" s="54"/>
      <c r="W3745" s="23"/>
      <c r="X3745" s="23"/>
      <c r="Y3745" s="23"/>
      <c r="Z3745" s="43"/>
      <c r="AA3745" s="23"/>
      <c r="AB3745" s="23"/>
      <c r="AC3745" s="23"/>
      <c r="AD3745" s="23"/>
      <c r="AE3745" s="23"/>
      <c r="AF3745" s="23"/>
      <c r="AG3745" s="23"/>
      <c r="AH3745" s="23"/>
      <c r="AI3745" s="48"/>
    </row>
    <row r="3746" spans="2:35">
      <c r="B3746" s="42"/>
      <c r="G3746" s="43"/>
      <c r="H3746" s="44"/>
      <c r="L3746" s="42"/>
      <c r="M3746" s="42"/>
      <c r="N3746" s="25"/>
      <c r="O3746" s="54"/>
      <c r="P3746"/>
      <c r="Q3746" s="25"/>
      <c r="R3746" s="54"/>
      <c r="W3746" s="23"/>
      <c r="X3746" s="23"/>
      <c r="Y3746" s="23"/>
      <c r="Z3746" s="43"/>
      <c r="AA3746" s="23"/>
      <c r="AB3746" s="23"/>
      <c r="AC3746" s="23"/>
      <c r="AD3746" s="23"/>
      <c r="AE3746" s="23"/>
      <c r="AF3746" s="23"/>
      <c r="AG3746" s="23"/>
      <c r="AH3746" s="23"/>
      <c r="AI3746" s="48"/>
    </row>
    <row r="3747" spans="2:35">
      <c r="B3747" s="42"/>
      <c r="G3747" s="43"/>
      <c r="H3747" s="44"/>
      <c r="L3747" s="42"/>
      <c r="M3747" s="42"/>
      <c r="N3747" s="25"/>
      <c r="O3747" s="54"/>
      <c r="P3747"/>
      <c r="Q3747" s="25"/>
      <c r="R3747" s="54"/>
      <c r="W3747" s="23"/>
      <c r="X3747" s="23"/>
      <c r="Y3747" s="23"/>
      <c r="Z3747" s="43"/>
      <c r="AA3747" s="23"/>
      <c r="AB3747" s="23"/>
      <c r="AC3747" s="23"/>
      <c r="AD3747" s="23"/>
      <c r="AE3747" s="23"/>
      <c r="AF3747" s="23"/>
      <c r="AG3747" s="23"/>
      <c r="AH3747" s="23"/>
      <c r="AI3747" s="48"/>
    </row>
    <row r="3748" spans="2:35">
      <c r="B3748" s="42"/>
      <c r="G3748" s="43"/>
      <c r="H3748" s="44"/>
      <c r="L3748" s="42"/>
      <c r="M3748" s="42"/>
      <c r="N3748" s="25"/>
      <c r="O3748" s="54"/>
      <c r="P3748"/>
      <c r="Q3748" s="25"/>
      <c r="R3748" s="54"/>
      <c r="W3748" s="23"/>
      <c r="X3748" s="23"/>
      <c r="Y3748" s="23"/>
      <c r="Z3748" s="43"/>
      <c r="AA3748" s="23"/>
      <c r="AB3748" s="23"/>
      <c r="AC3748" s="23"/>
      <c r="AD3748" s="23"/>
      <c r="AE3748" s="23"/>
      <c r="AF3748" s="23"/>
      <c r="AG3748" s="23"/>
      <c r="AH3748" s="23"/>
      <c r="AI3748" s="48"/>
    </row>
    <row r="3749" spans="2:35">
      <c r="B3749" s="42"/>
      <c r="G3749" s="43"/>
      <c r="H3749" s="44"/>
      <c r="L3749" s="42"/>
      <c r="M3749" s="42"/>
      <c r="N3749" s="25"/>
      <c r="O3749" s="54"/>
      <c r="P3749"/>
      <c r="Q3749" s="25"/>
      <c r="R3749" s="54"/>
      <c r="W3749" s="23"/>
      <c r="X3749" s="23"/>
      <c r="Y3749" s="23"/>
      <c r="Z3749" s="43"/>
      <c r="AA3749" s="23"/>
      <c r="AB3749" s="23"/>
      <c r="AC3749" s="23"/>
      <c r="AD3749" s="23"/>
      <c r="AE3749" s="23"/>
      <c r="AF3749" s="23"/>
      <c r="AG3749" s="23"/>
      <c r="AH3749" s="23"/>
      <c r="AI3749" s="48"/>
    </row>
    <row r="3750" spans="2:35">
      <c r="B3750" s="42"/>
      <c r="G3750" s="43"/>
      <c r="H3750" s="44"/>
      <c r="L3750" s="42"/>
      <c r="M3750" s="42"/>
      <c r="N3750" s="25"/>
      <c r="O3750" s="54"/>
      <c r="P3750"/>
      <c r="Q3750" s="25"/>
      <c r="R3750" s="54"/>
      <c r="W3750" s="23"/>
      <c r="X3750" s="23"/>
      <c r="Y3750" s="23"/>
      <c r="Z3750" s="43"/>
      <c r="AA3750" s="23"/>
      <c r="AB3750" s="23"/>
      <c r="AC3750" s="23"/>
      <c r="AD3750" s="23"/>
      <c r="AE3750" s="23"/>
      <c r="AF3750" s="23"/>
      <c r="AG3750" s="23"/>
      <c r="AH3750" s="23"/>
      <c r="AI3750" s="48"/>
    </row>
    <row r="3751" spans="2:35">
      <c r="B3751" s="42"/>
      <c r="G3751" s="43"/>
      <c r="H3751" s="44"/>
      <c r="L3751" s="42"/>
      <c r="M3751" s="42"/>
      <c r="N3751" s="25"/>
      <c r="O3751" s="54"/>
      <c r="P3751"/>
      <c r="Q3751" s="25"/>
      <c r="R3751" s="54"/>
      <c r="W3751" s="23"/>
      <c r="X3751" s="23"/>
      <c r="Y3751" s="23"/>
      <c r="Z3751" s="43"/>
      <c r="AA3751" s="23"/>
      <c r="AB3751" s="23"/>
      <c r="AC3751" s="23"/>
      <c r="AD3751" s="23"/>
      <c r="AE3751" s="23"/>
      <c r="AF3751" s="23"/>
      <c r="AG3751" s="23"/>
      <c r="AH3751" s="23"/>
      <c r="AI3751" s="48"/>
    </row>
    <row r="3752" spans="2:35">
      <c r="B3752" s="42"/>
      <c r="G3752" s="43"/>
      <c r="H3752" s="44"/>
      <c r="L3752" s="42"/>
      <c r="M3752" s="42"/>
      <c r="N3752" s="25"/>
      <c r="O3752" s="54"/>
      <c r="P3752"/>
      <c r="Q3752" s="25"/>
      <c r="R3752" s="54"/>
      <c r="W3752" s="23"/>
      <c r="X3752" s="23"/>
      <c r="Y3752" s="23"/>
      <c r="Z3752" s="43"/>
      <c r="AA3752" s="23"/>
      <c r="AB3752" s="23"/>
      <c r="AC3752" s="23"/>
      <c r="AD3752" s="23"/>
      <c r="AE3752" s="23"/>
      <c r="AF3752" s="23"/>
      <c r="AG3752" s="23"/>
      <c r="AH3752" s="23"/>
      <c r="AI3752" s="48"/>
    </row>
    <row r="3753" spans="2:35">
      <c r="B3753" s="42"/>
      <c r="G3753" s="43"/>
      <c r="H3753" s="44"/>
      <c r="L3753" s="42"/>
      <c r="M3753" s="42"/>
      <c r="N3753" s="25"/>
      <c r="O3753" s="54"/>
      <c r="P3753"/>
      <c r="Q3753" s="25"/>
      <c r="R3753" s="54"/>
      <c r="W3753" s="23"/>
      <c r="X3753" s="23"/>
      <c r="Y3753" s="23"/>
      <c r="Z3753" s="43"/>
      <c r="AA3753" s="23"/>
      <c r="AB3753" s="23"/>
      <c r="AC3753" s="23"/>
      <c r="AD3753" s="23"/>
      <c r="AE3753" s="23"/>
      <c r="AF3753" s="23"/>
      <c r="AG3753" s="23"/>
      <c r="AH3753" s="23"/>
      <c r="AI3753" s="48"/>
    </row>
    <row r="3754" spans="2:35">
      <c r="B3754" s="42"/>
      <c r="G3754" s="43"/>
      <c r="H3754" s="44"/>
      <c r="L3754" s="42"/>
      <c r="M3754" s="42"/>
      <c r="N3754" s="25"/>
      <c r="O3754" s="54"/>
      <c r="P3754"/>
      <c r="Q3754" s="25"/>
      <c r="R3754" s="54"/>
      <c r="W3754" s="23"/>
      <c r="X3754" s="23"/>
      <c r="Y3754" s="23"/>
      <c r="Z3754" s="43"/>
      <c r="AA3754" s="23"/>
      <c r="AB3754" s="23"/>
      <c r="AC3754" s="23"/>
      <c r="AD3754" s="23"/>
      <c r="AE3754" s="23"/>
      <c r="AF3754" s="23"/>
      <c r="AG3754" s="23"/>
      <c r="AH3754" s="23"/>
      <c r="AI3754" s="48"/>
    </row>
    <row r="3755" spans="2:35">
      <c r="B3755" s="42"/>
      <c r="G3755" s="43"/>
      <c r="H3755" s="44"/>
      <c r="L3755" s="42"/>
      <c r="M3755" s="42"/>
      <c r="N3755" s="25"/>
      <c r="O3755" s="54"/>
      <c r="P3755"/>
      <c r="Q3755" s="25"/>
      <c r="R3755" s="54"/>
      <c r="W3755" s="23"/>
      <c r="X3755" s="23"/>
      <c r="Y3755" s="23"/>
      <c r="Z3755" s="43"/>
      <c r="AA3755" s="23"/>
      <c r="AB3755" s="23"/>
      <c r="AC3755" s="23"/>
      <c r="AD3755" s="23"/>
      <c r="AE3755" s="23"/>
      <c r="AF3755" s="23"/>
      <c r="AG3755" s="23"/>
      <c r="AH3755" s="23"/>
      <c r="AI3755" s="48"/>
    </row>
    <row r="3756" spans="2:35">
      <c r="B3756" s="42"/>
      <c r="G3756" s="43"/>
      <c r="H3756" s="44"/>
      <c r="L3756" s="42"/>
      <c r="M3756" s="42"/>
      <c r="N3756" s="25"/>
      <c r="O3756" s="54"/>
      <c r="P3756"/>
      <c r="Q3756" s="25"/>
      <c r="R3756" s="54"/>
      <c r="W3756" s="23"/>
      <c r="X3756" s="23"/>
      <c r="Y3756" s="23"/>
      <c r="Z3756" s="43"/>
      <c r="AA3756" s="23"/>
      <c r="AB3756" s="23"/>
      <c r="AC3756" s="23"/>
      <c r="AD3756" s="23"/>
      <c r="AE3756" s="23"/>
      <c r="AF3756" s="23"/>
      <c r="AG3756" s="23"/>
      <c r="AH3756" s="23"/>
      <c r="AI3756" s="48"/>
    </row>
    <row r="3757" spans="2:35">
      <c r="B3757" s="42"/>
      <c r="G3757" s="43"/>
      <c r="H3757" s="44"/>
      <c r="L3757" s="42"/>
      <c r="M3757" s="42"/>
      <c r="N3757" s="25"/>
      <c r="O3757" s="54"/>
      <c r="P3757"/>
      <c r="Q3757" s="25"/>
      <c r="R3757" s="54"/>
      <c r="W3757" s="23"/>
      <c r="X3757" s="23"/>
      <c r="Y3757" s="23"/>
      <c r="Z3757" s="43"/>
      <c r="AA3757" s="23"/>
      <c r="AB3757" s="23"/>
      <c r="AC3757" s="23"/>
      <c r="AD3757" s="23"/>
      <c r="AE3757" s="23"/>
      <c r="AF3757" s="23"/>
      <c r="AG3757" s="23"/>
      <c r="AH3757" s="23"/>
      <c r="AI3757" s="48"/>
    </row>
    <row r="3758" spans="2:35">
      <c r="B3758" s="42"/>
      <c r="G3758" s="43"/>
      <c r="H3758" s="44"/>
      <c r="L3758" s="42"/>
      <c r="M3758" s="42"/>
      <c r="N3758" s="25"/>
      <c r="O3758" s="54"/>
      <c r="P3758"/>
      <c r="Q3758" s="25"/>
      <c r="R3758" s="54"/>
      <c r="W3758" s="23"/>
      <c r="X3758" s="23"/>
      <c r="Y3758" s="23"/>
      <c r="Z3758" s="43"/>
      <c r="AA3758" s="23"/>
      <c r="AB3758" s="23"/>
      <c r="AC3758" s="23"/>
      <c r="AD3758" s="23"/>
      <c r="AE3758" s="23"/>
      <c r="AF3758" s="23"/>
      <c r="AG3758" s="23"/>
      <c r="AH3758" s="23"/>
      <c r="AI3758" s="48"/>
    </row>
    <row r="3759" spans="2:35">
      <c r="B3759" s="42"/>
      <c r="G3759" s="43"/>
      <c r="H3759" s="44"/>
      <c r="L3759" s="42"/>
      <c r="M3759" s="42"/>
      <c r="N3759" s="25"/>
      <c r="O3759" s="54"/>
      <c r="P3759"/>
      <c r="Q3759" s="25"/>
      <c r="R3759" s="54"/>
      <c r="W3759" s="23"/>
      <c r="X3759" s="23"/>
      <c r="Y3759" s="23"/>
      <c r="Z3759" s="43"/>
      <c r="AA3759" s="23"/>
      <c r="AB3759" s="23"/>
      <c r="AC3759" s="23"/>
      <c r="AD3759" s="23"/>
      <c r="AE3759" s="23"/>
      <c r="AF3759" s="23"/>
      <c r="AG3759" s="23"/>
      <c r="AH3759" s="23"/>
      <c r="AI3759" s="48"/>
    </row>
    <row r="3760" spans="2:35">
      <c r="B3760" s="42"/>
      <c r="G3760" s="43"/>
      <c r="H3760" s="44"/>
      <c r="L3760" s="42"/>
      <c r="M3760" s="42"/>
      <c r="N3760" s="25"/>
      <c r="O3760" s="54"/>
      <c r="P3760"/>
      <c r="Q3760" s="25"/>
      <c r="R3760" s="54"/>
      <c r="W3760" s="23"/>
      <c r="X3760" s="23"/>
      <c r="Y3760" s="23"/>
      <c r="Z3760" s="43"/>
      <c r="AA3760" s="23"/>
      <c r="AB3760" s="23"/>
      <c r="AC3760" s="23"/>
      <c r="AD3760" s="23"/>
      <c r="AE3760" s="23"/>
      <c r="AF3760" s="23"/>
      <c r="AG3760" s="23"/>
      <c r="AH3760" s="23"/>
    </row>
    <row r="3761" spans="1:35">
      <c r="B3761" s="42"/>
      <c r="G3761" s="43"/>
      <c r="H3761" s="44"/>
      <c r="L3761" s="42"/>
      <c r="M3761" s="42"/>
      <c r="N3761" s="25"/>
      <c r="O3761" s="54"/>
      <c r="P3761"/>
      <c r="Q3761" s="25"/>
      <c r="R3761" s="54"/>
      <c r="W3761" s="23"/>
      <c r="X3761" s="23"/>
      <c r="Y3761" s="23"/>
      <c r="Z3761" s="43"/>
      <c r="AA3761" s="23"/>
      <c r="AB3761" s="23"/>
      <c r="AC3761" s="23"/>
      <c r="AD3761" s="23"/>
      <c r="AE3761" s="23"/>
      <c r="AF3761" s="23"/>
      <c r="AG3761" s="23"/>
      <c r="AH3761" s="23"/>
      <c r="AI3761" s="48"/>
    </row>
    <row r="3762" spans="1:35">
      <c r="A3762" s="23"/>
      <c r="B3762" s="42"/>
      <c r="C3762" s="49"/>
      <c r="E3762" s="49"/>
      <c r="G3762" s="43"/>
      <c r="H3762" s="44"/>
      <c r="L3762" s="42"/>
      <c r="M3762" s="42"/>
      <c r="N3762" s="25"/>
      <c r="O3762" s="54"/>
      <c r="P3762"/>
      <c r="Q3762" s="25"/>
      <c r="R3762" s="54"/>
      <c r="W3762" s="23"/>
      <c r="X3762" s="23"/>
      <c r="Y3762" s="23"/>
      <c r="Z3762" s="43"/>
      <c r="AA3762" s="23"/>
      <c r="AB3762" s="23"/>
      <c r="AC3762" s="23"/>
      <c r="AD3762" s="23"/>
      <c r="AE3762" s="23"/>
      <c r="AF3762" s="23"/>
      <c r="AG3762" s="23"/>
      <c r="AH3762" s="23"/>
      <c r="AI3762" s="49"/>
    </row>
    <row r="3763" spans="1:35">
      <c r="A3763" s="23"/>
      <c r="B3763" s="42"/>
      <c r="C3763" s="49"/>
      <c r="E3763" s="49"/>
      <c r="G3763" s="43"/>
      <c r="H3763" s="44"/>
      <c r="L3763" s="42"/>
      <c r="M3763" s="42"/>
      <c r="N3763" s="25"/>
      <c r="O3763" s="54"/>
      <c r="P3763"/>
      <c r="Q3763" s="25"/>
      <c r="R3763" s="54"/>
      <c r="W3763" s="23"/>
      <c r="X3763" s="23"/>
      <c r="Y3763" s="23"/>
      <c r="Z3763" s="43"/>
      <c r="AA3763" s="23"/>
      <c r="AB3763" s="23"/>
      <c r="AC3763" s="23"/>
      <c r="AD3763" s="23"/>
      <c r="AE3763" s="23"/>
      <c r="AF3763" s="23"/>
      <c r="AG3763" s="23"/>
      <c r="AH3763" s="23"/>
      <c r="AI3763" s="49"/>
    </row>
    <row r="3764" spans="1:35">
      <c r="A3764" s="23"/>
      <c r="B3764" s="42"/>
      <c r="C3764" s="49"/>
      <c r="E3764" s="49"/>
      <c r="G3764" s="43"/>
      <c r="H3764" s="44"/>
      <c r="L3764" s="42"/>
      <c r="M3764" s="42"/>
      <c r="N3764" s="25"/>
      <c r="O3764" s="54"/>
      <c r="P3764"/>
      <c r="Q3764" s="25"/>
      <c r="R3764" s="54"/>
      <c r="W3764" s="23"/>
      <c r="X3764" s="23"/>
      <c r="Y3764" s="23"/>
      <c r="Z3764" s="43"/>
      <c r="AA3764" s="23"/>
      <c r="AB3764" s="23"/>
      <c r="AC3764" s="23"/>
      <c r="AD3764" s="23"/>
      <c r="AE3764" s="23"/>
      <c r="AF3764" s="23"/>
      <c r="AG3764" s="23"/>
      <c r="AH3764" s="23"/>
      <c r="AI3764" s="49"/>
    </row>
    <row r="3765" spans="1:35">
      <c r="A3765" s="23"/>
      <c r="B3765" s="42"/>
      <c r="C3765" s="49"/>
      <c r="E3765" s="49"/>
      <c r="G3765" s="43"/>
      <c r="H3765" s="44"/>
      <c r="L3765" s="42"/>
      <c r="M3765" s="42"/>
      <c r="N3765" s="25"/>
      <c r="O3765" s="54"/>
      <c r="P3765"/>
      <c r="Q3765" s="25"/>
      <c r="R3765" s="54"/>
      <c r="W3765" s="23"/>
      <c r="X3765" s="23"/>
      <c r="Y3765" s="23"/>
      <c r="Z3765" s="43"/>
      <c r="AA3765" s="23"/>
      <c r="AB3765" s="23"/>
      <c r="AC3765" s="23"/>
      <c r="AD3765" s="23"/>
      <c r="AE3765" s="23"/>
      <c r="AF3765" s="23"/>
      <c r="AG3765" s="23"/>
      <c r="AH3765" s="23"/>
      <c r="AI3765" s="49"/>
    </row>
    <row r="3766" spans="1:35">
      <c r="A3766" s="23"/>
      <c r="B3766" s="42"/>
      <c r="C3766" s="49"/>
      <c r="E3766" s="49"/>
      <c r="G3766" s="43"/>
      <c r="H3766" s="44"/>
      <c r="L3766" s="42"/>
      <c r="M3766" s="42"/>
      <c r="N3766" s="25"/>
      <c r="O3766" s="54"/>
      <c r="P3766"/>
      <c r="Q3766" s="25"/>
      <c r="R3766" s="54"/>
      <c r="W3766" s="23"/>
      <c r="X3766" s="23"/>
      <c r="Y3766" s="23"/>
      <c r="Z3766" s="43"/>
      <c r="AA3766" s="23"/>
      <c r="AB3766" s="23"/>
      <c r="AC3766" s="23"/>
      <c r="AD3766" s="23"/>
      <c r="AE3766" s="23"/>
      <c r="AF3766" s="23"/>
      <c r="AG3766" s="23"/>
      <c r="AH3766" s="23"/>
      <c r="AI3766" s="49"/>
    </row>
    <row r="3767" spans="1:35">
      <c r="A3767" s="23"/>
      <c r="B3767" s="42"/>
      <c r="C3767" s="49"/>
      <c r="E3767" s="49"/>
      <c r="G3767" s="43"/>
      <c r="H3767" s="44"/>
      <c r="L3767" s="42"/>
      <c r="M3767" s="42"/>
      <c r="N3767" s="25"/>
      <c r="O3767" s="54"/>
      <c r="P3767"/>
      <c r="Q3767" s="25"/>
      <c r="R3767" s="54"/>
      <c r="W3767" s="23"/>
      <c r="X3767" s="23"/>
      <c r="Y3767" s="23"/>
      <c r="Z3767" s="43"/>
      <c r="AA3767" s="23"/>
      <c r="AB3767" s="23"/>
      <c r="AC3767" s="23"/>
      <c r="AD3767" s="23"/>
      <c r="AE3767" s="23"/>
      <c r="AF3767" s="23"/>
      <c r="AG3767" s="23"/>
      <c r="AH3767" s="23"/>
      <c r="AI3767" s="49"/>
    </row>
    <row r="3768" spans="1:35">
      <c r="A3768" s="23"/>
      <c r="B3768" s="42"/>
      <c r="C3768" s="49"/>
      <c r="E3768" s="49"/>
      <c r="G3768" s="43"/>
      <c r="H3768" s="44"/>
      <c r="L3768" s="42"/>
      <c r="M3768" s="42"/>
      <c r="N3768" s="25"/>
      <c r="O3768" s="54"/>
      <c r="P3768"/>
      <c r="Q3768" s="25"/>
      <c r="R3768" s="54"/>
      <c r="W3768" s="23"/>
      <c r="X3768" s="23"/>
      <c r="Y3768" s="23"/>
      <c r="Z3768" s="43"/>
      <c r="AA3768" s="23"/>
      <c r="AB3768" s="23"/>
      <c r="AC3768" s="23"/>
      <c r="AD3768" s="23"/>
      <c r="AE3768" s="23"/>
      <c r="AF3768" s="23"/>
      <c r="AG3768" s="23"/>
      <c r="AH3768" s="23"/>
      <c r="AI3768" s="49"/>
    </row>
    <row r="3769" spans="1:35">
      <c r="A3769" s="23"/>
      <c r="B3769" s="42"/>
      <c r="C3769" s="49"/>
      <c r="E3769" s="49"/>
      <c r="G3769" s="43"/>
      <c r="H3769" s="44"/>
      <c r="L3769" s="42"/>
      <c r="M3769" s="42"/>
      <c r="N3769" s="25"/>
      <c r="O3769" s="54"/>
      <c r="P3769"/>
      <c r="Q3769" s="25"/>
      <c r="R3769" s="54"/>
      <c r="W3769" s="23"/>
      <c r="X3769" s="23"/>
      <c r="Y3769" s="23"/>
      <c r="Z3769" s="43"/>
      <c r="AA3769" s="23"/>
      <c r="AB3769" s="23"/>
      <c r="AC3769" s="23"/>
      <c r="AD3769" s="23"/>
      <c r="AE3769" s="23"/>
      <c r="AF3769" s="23"/>
      <c r="AG3769" s="23"/>
      <c r="AH3769" s="23"/>
      <c r="AI3769" s="49"/>
    </row>
    <row r="3770" spans="1:35">
      <c r="A3770" s="23"/>
      <c r="B3770" s="42"/>
      <c r="C3770" s="49"/>
      <c r="E3770" s="49"/>
      <c r="G3770" s="43"/>
      <c r="H3770" s="44"/>
      <c r="L3770" s="42"/>
      <c r="M3770" s="42"/>
      <c r="N3770" s="25"/>
      <c r="O3770" s="54"/>
      <c r="P3770"/>
      <c r="Q3770" s="25"/>
      <c r="R3770" s="54"/>
      <c r="W3770" s="23"/>
      <c r="X3770" s="23"/>
      <c r="Y3770" s="23"/>
      <c r="Z3770" s="43"/>
      <c r="AA3770" s="23"/>
      <c r="AB3770" s="23"/>
      <c r="AC3770" s="23"/>
      <c r="AD3770" s="23"/>
      <c r="AE3770" s="23"/>
      <c r="AF3770" s="23"/>
      <c r="AG3770" s="23"/>
      <c r="AH3770" s="23"/>
      <c r="AI3770" s="49"/>
    </row>
    <row r="3771" spans="1:35">
      <c r="A3771" s="23"/>
      <c r="B3771" s="42"/>
      <c r="C3771" s="49"/>
      <c r="E3771" s="49"/>
      <c r="G3771" s="43"/>
      <c r="H3771" s="44"/>
      <c r="L3771" s="42"/>
      <c r="M3771" s="42"/>
      <c r="N3771" s="25"/>
      <c r="O3771" s="54"/>
      <c r="P3771"/>
      <c r="Q3771" s="25"/>
      <c r="R3771" s="54"/>
      <c r="W3771" s="23"/>
      <c r="X3771" s="23"/>
      <c r="Y3771" s="23"/>
      <c r="Z3771" s="43"/>
      <c r="AA3771" s="23"/>
      <c r="AB3771" s="23"/>
      <c r="AC3771" s="23"/>
      <c r="AD3771" s="23"/>
      <c r="AE3771" s="23"/>
      <c r="AF3771" s="23"/>
      <c r="AG3771" s="23"/>
      <c r="AH3771" s="23"/>
      <c r="AI3771" s="49"/>
    </row>
    <row r="3772" spans="1:35">
      <c r="A3772" s="23"/>
      <c r="B3772" s="42"/>
      <c r="C3772" s="49"/>
      <c r="E3772" s="49"/>
      <c r="G3772" s="43"/>
      <c r="H3772" s="44"/>
      <c r="L3772" s="42"/>
      <c r="M3772" s="42"/>
      <c r="N3772" s="25"/>
      <c r="O3772" s="54"/>
      <c r="P3772"/>
      <c r="Q3772" s="25"/>
      <c r="R3772" s="54"/>
      <c r="W3772" s="23"/>
      <c r="X3772" s="23"/>
      <c r="Y3772" s="23"/>
      <c r="Z3772" s="43"/>
      <c r="AA3772" s="23"/>
      <c r="AB3772" s="23"/>
      <c r="AC3772" s="23"/>
      <c r="AD3772" s="23"/>
      <c r="AE3772" s="23"/>
      <c r="AF3772" s="23"/>
      <c r="AG3772" s="23"/>
      <c r="AH3772" s="23"/>
      <c r="AI3772" s="49"/>
    </row>
    <row r="3773" spans="1:35">
      <c r="A3773" s="23"/>
      <c r="B3773" s="42"/>
      <c r="C3773" s="49"/>
      <c r="E3773" s="49"/>
      <c r="G3773" s="43"/>
      <c r="H3773" s="44"/>
      <c r="L3773" s="42"/>
      <c r="M3773" s="42"/>
      <c r="N3773" s="25"/>
      <c r="O3773" s="54"/>
      <c r="P3773"/>
      <c r="Q3773" s="25"/>
      <c r="R3773" s="54"/>
      <c r="W3773" s="23"/>
      <c r="X3773" s="23"/>
      <c r="Y3773" s="23"/>
      <c r="Z3773" s="43"/>
      <c r="AA3773" s="23"/>
      <c r="AB3773" s="23"/>
      <c r="AC3773" s="23"/>
      <c r="AD3773" s="23"/>
      <c r="AE3773" s="23"/>
      <c r="AF3773" s="23"/>
      <c r="AG3773" s="23"/>
      <c r="AH3773" s="23"/>
      <c r="AI3773" s="49"/>
    </row>
    <row r="3774" spans="1:35">
      <c r="A3774" s="23"/>
      <c r="B3774" s="42"/>
      <c r="C3774" s="49"/>
      <c r="E3774" s="49"/>
      <c r="G3774" s="43"/>
      <c r="H3774" s="44"/>
      <c r="L3774" s="42"/>
      <c r="M3774" s="42"/>
      <c r="N3774" s="25"/>
      <c r="O3774" s="54"/>
      <c r="P3774"/>
      <c r="Q3774" s="25"/>
      <c r="R3774" s="54"/>
      <c r="W3774" s="23"/>
      <c r="X3774" s="23"/>
      <c r="Y3774" s="23"/>
      <c r="Z3774" s="43"/>
      <c r="AA3774" s="23"/>
      <c r="AB3774" s="23"/>
      <c r="AC3774" s="23"/>
      <c r="AD3774" s="23"/>
      <c r="AE3774" s="23"/>
      <c r="AF3774" s="23"/>
      <c r="AG3774" s="23"/>
      <c r="AH3774" s="23"/>
      <c r="AI3774" s="49"/>
    </row>
    <row r="3775" spans="1:35">
      <c r="A3775" s="23"/>
      <c r="B3775" s="42"/>
      <c r="C3775" s="49"/>
      <c r="E3775" s="49"/>
      <c r="G3775" s="43"/>
      <c r="H3775" s="44"/>
      <c r="L3775" s="42"/>
      <c r="M3775" s="42"/>
      <c r="N3775" s="25"/>
      <c r="O3775" s="54"/>
      <c r="P3775"/>
      <c r="Q3775" s="25"/>
      <c r="R3775" s="54"/>
      <c r="W3775" s="23"/>
      <c r="X3775" s="23"/>
      <c r="Y3775" s="23"/>
      <c r="Z3775" s="43"/>
      <c r="AA3775" s="23"/>
      <c r="AB3775" s="23"/>
      <c r="AC3775" s="23"/>
      <c r="AD3775" s="23"/>
      <c r="AE3775" s="23"/>
      <c r="AF3775" s="23"/>
      <c r="AG3775" s="23"/>
      <c r="AH3775" s="23"/>
      <c r="AI3775" s="49"/>
    </row>
    <row r="3776" spans="1:35">
      <c r="A3776" s="23"/>
      <c r="B3776" s="42"/>
      <c r="C3776" s="49"/>
      <c r="E3776" s="49"/>
      <c r="G3776" s="43"/>
      <c r="H3776" s="44"/>
      <c r="L3776" s="42"/>
      <c r="M3776" s="42"/>
      <c r="N3776" s="25"/>
      <c r="O3776" s="54"/>
      <c r="P3776"/>
      <c r="Q3776" s="25"/>
      <c r="R3776" s="54"/>
      <c r="W3776" s="23"/>
      <c r="X3776" s="23"/>
      <c r="Y3776" s="23"/>
      <c r="Z3776" s="43"/>
      <c r="AA3776" s="23"/>
      <c r="AB3776" s="23"/>
      <c r="AC3776" s="23"/>
      <c r="AD3776" s="23"/>
      <c r="AE3776" s="23"/>
      <c r="AF3776" s="23"/>
      <c r="AG3776" s="23"/>
      <c r="AH3776" s="23"/>
      <c r="AI3776" s="49"/>
    </row>
    <row r="3777" spans="1:35">
      <c r="A3777" s="23"/>
      <c r="B3777" s="42"/>
      <c r="C3777" s="49"/>
      <c r="E3777" s="49"/>
      <c r="G3777" s="43"/>
      <c r="H3777" s="44"/>
      <c r="L3777" s="42"/>
      <c r="M3777" s="42"/>
      <c r="N3777" s="25"/>
      <c r="O3777" s="54"/>
      <c r="P3777"/>
      <c r="Q3777" s="25"/>
      <c r="R3777" s="54"/>
      <c r="W3777" s="23"/>
      <c r="X3777" s="23"/>
      <c r="Y3777" s="23"/>
      <c r="Z3777" s="43"/>
      <c r="AA3777" s="23"/>
      <c r="AB3777" s="23"/>
      <c r="AC3777" s="23"/>
      <c r="AD3777" s="23"/>
      <c r="AE3777" s="23"/>
      <c r="AF3777" s="23"/>
      <c r="AG3777" s="23"/>
      <c r="AH3777" s="23"/>
      <c r="AI3777" s="49"/>
    </row>
    <row r="3778" spans="1:35">
      <c r="A3778" s="23"/>
      <c r="B3778" s="42"/>
      <c r="C3778" s="49"/>
      <c r="E3778" s="49"/>
      <c r="G3778" s="43"/>
      <c r="H3778" s="44"/>
      <c r="L3778" s="42"/>
      <c r="M3778" s="42"/>
      <c r="N3778" s="25"/>
      <c r="O3778" s="54"/>
      <c r="P3778"/>
      <c r="Q3778" s="25"/>
      <c r="R3778" s="54"/>
      <c r="W3778" s="23"/>
      <c r="X3778" s="23"/>
      <c r="Y3778" s="23"/>
      <c r="Z3778" s="43"/>
      <c r="AA3778" s="23"/>
      <c r="AB3778" s="23"/>
      <c r="AC3778" s="23"/>
      <c r="AD3778" s="23"/>
      <c r="AE3778" s="23"/>
      <c r="AF3778" s="23"/>
      <c r="AG3778" s="23"/>
      <c r="AH3778" s="23"/>
      <c r="AI3778" s="49"/>
    </row>
    <row r="3779" spans="1:35">
      <c r="A3779" s="23"/>
      <c r="B3779" s="42"/>
      <c r="C3779" s="49"/>
      <c r="E3779" s="49"/>
      <c r="G3779" s="43"/>
      <c r="H3779" s="44"/>
      <c r="L3779" s="42"/>
      <c r="M3779" s="42"/>
      <c r="N3779" s="25"/>
      <c r="O3779" s="54"/>
      <c r="P3779"/>
      <c r="Q3779" s="25"/>
      <c r="R3779" s="54"/>
      <c r="W3779" s="23"/>
      <c r="X3779" s="23"/>
      <c r="Y3779" s="23"/>
      <c r="Z3779" s="43"/>
      <c r="AA3779" s="23"/>
      <c r="AB3779" s="23"/>
      <c r="AC3779" s="23"/>
      <c r="AD3779" s="23"/>
      <c r="AE3779" s="23"/>
      <c r="AF3779" s="23"/>
      <c r="AG3779" s="23"/>
      <c r="AH3779" s="23"/>
      <c r="AI3779" s="49"/>
    </row>
    <row r="3780" spans="1:35">
      <c r="A3780" s="23"/>
      <c r="B3780" s="42"/>
      <c r="C3780" s="49"/>
      <c r="E3780" s="49"/>
      <c r="G3780" s="43"/>
      <c r="H3780" s="44"/>
      <c r="L3780" s="42"/>
      <c r="M3780" s="42"/>
      <c r="N3780" s="25"/>
      <c r="O3780" s="54"/>
      <c r="P3780"/>
      <c r="Q3780" s="25"/>
      <c r="R3780" s="54"/>
      <c r="W3780" s="23"/>
      <c r="X3780" s="23"/>
      <c r="Y3780" s="23"/>
      <c r="Z3780" s="43"/>
      <c r="AA3780" s="23"/>
      <c r="AB3780" s="23"/>
      <c r="AC3780" s="23"/>
      <c r="AD3780" s="23"/>
      <c r="AE3780" s="23"/>
      <c r="AF3780" s="23"/>
      <c r="AG3780" s="23"/>
      <c r="AH3780" s="23"/>
      <c r="AI3780" s="49"/>
    </row>
    <row r="3781" spans="1:35">
      <c r="B3781" s="42"/>
      <c r="G3781" s="43"/>
      <c r="H3781" s="44"/>
      <c r="L3781" s="42"/>
      <c r="M3781" s="42"/>
      <c r="N3781" s="25"/>
      <c r="O3781" s="54"/>
      <c r="P3781"/>
      <c r="Q3781" s="25"/>
      <c r="R3781" s="54"/>
      <c r="W3781" s="23"/>
      <c r="X3781" s="23"/>
      <c r="Y3781" s="23"/>
      <c r="Z3781" s="43"/>
      <c r="AA3781" s="23"/>
      <c r="AB3781" s="23"/>
      <c r="AC3781" s="23"/>
      <c r="AD3781" s="23"/>
      <c r="AE3781" s="23"/>
      <c r="AF3781" s="23"/>
      <c r="AG3781" s="23"/>
      <c r="AH3781" s="23"/>
      <c r="AI3781" s="48"/>
    </row>
    <row r="3782" spans="1:35">
      <c r="A3782" s="23"/>
      <c r="B3782" s="42"/>
      <c r="C3782" s="49"/>
      <c r="E3782" s="49"/>
      <c r="G3782" s="43"/>
      <c r="H3782" s="44"/>
      <c r="L3782" s="42"/>
      <c r="M3782" s="42"/>
      <c r="N3782" s="25"/>
      <c r="O3782" s="54"/>
      <c r="P3782"/>
      <c r="Q3782" s="25"/>
      <c r="R3782" s="54"/>
      <c r="W3782" s="23"/>
      <c r="X3782" s="23"/>
      <c r="Y3782" s="23"/>
      <c r="Z3782" s="43"/>
      <c r="AA3782" s="23"/>
      <c r="AB3782" s="23"/>
      <c r="AC3782" s="23"/>
      <c r="AD3782" s="23"/>
      <c r="AE3782" s="23"/>
      <c r="AF3782" s="23"/>
      <c r="AG3782" s="23"/>
      <c r="AH3782" s="23"/>
      <c r="AI3782" s="49"/>
    </row>
    <row r="3783" spans="1:35">
      <c r="A3783" s="23"/>
      <c r="B3783" s="42"/>
      <c r="C3783" s="49"/>
      <c r="E3783" s="49"/>
      <c r="G3783" s="43"/>
      <c r="H3783" s="44"/>
      <c r="L3783" s="42"/>
      <c r="M3783" s="42"/>
      <c r="N3783" s="25"/>
      <c r="O3783" s="54"/>
      <c r="P3783"/>
      <c r="Q3783" s="25"/>
      <c r="R3783" s="54"/>
      <c r="W3783" s="23"/>
      <c r="X3783" s="23"/>
      <c r="Y3783" s="23"/>
      <c r="Z3783" s="43"/>
      <c r="AA3783" s="23"/>
      <c r="AB3783" s="23"/>
      <c r="AC3783" s="23"/>
      <c r="AD3783" s="23"/>
      <c r="AE3783" s="23"/>
      <c r="AF3783" s="23"/>
      <c r="AG3783" s="23"/>
      <c r="AH3783" s="23"/>
      <c r="AI3783" s="49"/>
    </row>
    <row r="3784" spans="1:35">
      <c r="A3784" s="23"/>
      <c r="B3784" s="42"/>
      <c r="C3784" s="49"/>
      <c r="E3784" s="49"/>
      <c r="G3784" s="43"/>
      <c r="H3784" s="44"/>
      <c r="L3784" s="42"/>
      <c r="M3784" s="42"/>
      <c r="N3784" s="25"/>
      <c r="O3784" s="54"/>
      <c r="P3784"/>
      <c r="Q3784" s="25"/>
      <c r="R3784" s="54"/>
      <c r="W3784" s="23"/>
      <c r="X3784" s="23"/>
      <c r="Y3784" s="23"/>
      <c r="Z3784" s="43"/>
      <c r="AA3784" s="23"/>
      <c r="AB3784" s="23"/>
      <c r="AC3784" s="23"/>
      <c r="AD3784" s="23"/>
      <c r="AE3784" s="23"/>
      <c r="AF3784" s="23"/>
      <c r="AG3784" s="23"/>
      <c r="AH3784" s="23"/>
      <c r="AI3784" s="49"/>
    </row>
    <row r="3785" spans="1:35">
      <c r="B3785" s="42"/>
      <c r="C3785" s="49"/>
      <c r="E3785" s="49"/>
      <c r="G3785" s="43"/>
      <c r="H3785" s="44"/>
      <c r="L3785" s="42"/>
      <c r="M3785" s="42"/>
      <c r="N3785" s="25"/>
      <c r="O3785" s="54"/>
      <c r="P3785"/>
      <c r="Q3785" s="25"/>
      <c r="R3785" s="54"/>
      <c r="W3785" s="23"/>
      <c r="X3785" s="23"/>
      <c r="Y3785" s="23"/>
      <c r="Z3785" s="43"/>
      <c r="AA3785" s="23"/>
      <c r="AB3785" s="23"/>
      <c r="AC3785" s="23"/>
      <c r="AD3785" s="23"/>
      <c r="AE3785" s="23"/>
      <c r="AF3785" s="23"/>
      <c r="AG3785" s="23"/>
      <c r="AH3785" s="23"/>
      <c r="AI3785" s="23"/>
    </row>
    <row r="3786" spans="1:35">
      <c r="B3786" s="42"/>
      <c r="C3786" s="49"/>
      <c r="E3786" s="49"/>
      <c r="G3786" s="43"/>
      <c r="H3786" s="44"/>
      <c r="L3786" s="42"/>
      <c r="M3786" s="42"/>
      <c r="N3786" s="25"/>
      <c r="O3786" s="54"/>
      <c r="P3786"/>
      <c r="Q3786" s="25"/>
      <c r="R3786" s="54"/>
      <c r="W3786" s="23"/>
      <c r="X3786" s="23"/>
      <c r="Y3786" s="23"/>
      <c r="Z3786" s="43"/>
      <c r="AA3786" s="23"/>
      <c r="AB3786" s="23"/>
      <c r="AC3786" s="23"/>
      <c r="AD3786" s="23"/>
      <c r="AE3786" s="23"/>
      <c r="AF3786" s="23"/>
      <c r="AG3786" s="23"/>
      <c r="AH3786" s="23"/>
      <c r="AI3786" s="23"/>
    </row>
    <row r="3787" spans="1:35">
      <c r="B3787" s="42"/>
      <c r="C3787" s="49"/>
      <c r="E3787" s="49"/>
      <c r="G3787" s="43"/>
      <c r="H3787" s="44"/>
      <c r="L3787" s="42"/>
      <c r="M3787" s="42"/>
      <c r="N3787" s="25"/>
      <c r="O3787" s="54"/>
      <c r="P3787"/>
      <c r="Q3787" s="25"/>
      <c r="R3787" s="54"/>
      <c r="W3787" s="23"/>
      <c r="X3787" s="23"/>
      <c r="Y3787" s="23"/>
      <c r="Z3787" s="43"/>
      <c r="AA3787" s="23"/>
      <c r="AB3787" s="23"/>
      <c r="AC3787" s="23"/>
      <c r="AD3787" s="23"/>
      <c r="AE3787" s="23"/>
      <c r="AF3787" s="23"/>
      <c r="AG3787" s="23"/>
      <c r="AH3787" s="23"/>
      <c r="AI3787" s="23"/>
    </row>
    <row r="3788" spans="1:35">
      <c r="B3788" s="42"/>
      <c r="C3788" s="49"/>
      <c r="E3788" s="49"/>
      <c r="G3788" s="43"/>
      <c r="H3788" s="44"/>
      <c r="L3788" s="42"/>
      <c r="M3788" s="42"/>
      <c r="N3788" s="25"/>
      <c r="O3788" s="54"/>
      <c r="P3788"/>
      <c r="Q3788" s="25"/>
      <c r="R3788" s="54"/>
      <c r="W3788" s="23"/>
      <c r="X3788" s="23"/>
      <c r="Y3788" s="23"/>
      <c r="Z3788" s="43"/>
      <c r="AA3788" s="23"/>
      <c r="AB3788" s="23"/>
      <c r="AC3788" s="23"/>
      <c r="AD3788" s="23"/>
      <c r="AE3788" s="23"/>
      <c r="AF3788" s="23"/>
      <c r="AG3788" s="23"/>
      <c r="AH3788" s="23"/>
      <c r="AI3788" s="23"/>
    </row>
    <row r="3789" spans="1:35">
      <c r="A3789" s="23"/>
      <c r="B3789" s="42"/>
      <c r="C3789" s="49"/>
      <c r="E3789" s="49"/>
      <c r="G3789" s="43"/>
      <c r="H3789" s="44"/>
      <c r="L3789" s="42"/>
      <c r="M3789" s="42"/>
      <c r="N3789" s="25"/>
      <c r="O3789" s="54"/>
      <c r="P3789"/>
      <c r="Q3789" s="25"/>
      <c r="R3789" s="54"/>
      <c r="W3789" s="23"/>
      <c r="X3789" s="23"/>
      <c r="Y3789" s="23"/>
      <c r="Z3789" s="43"/>
      <c r="AA3789" s="23"/>
      <c r="AB3789" s="23"/>
      <c r="AC3789" s="23"/>
      <c r="AD3789" s="23"/>
      <c r="AE3789" s="23"/>
      <c r="AF3789" s="23"/>
      <c r="AG3789" s="23"/>
      <c r="AH3789" s="23"/>
      <c r="AI3789" s="49"/>
    </row>
    <row r="3790" spans="1:35">
      <c r="A3790" s="23"/>
      <c r="B3790" s="42"/>
      <c r="C3790" s="49"/>
      <c r="E3790" s="49"/>
      <c r="G3790" s="43"/>
      <c r="H3790" s="44"/>
      <c r="L3790" s="42"/>
      <c r="M3790" s="42"/>
      <c r="N3790" s="25"/>
      <c r="O3790" s="54"/>
      <c r="P3790"/>
      <c r="Q3790" s="25"/>
      <c r="R3790" s="54"/>
      <c r="W3790" s="23"/>
      <c r="X3790" s="23"/>
      <c r="Y3790" s="23"/>
      <c r="Z3790" s="43"/>
      <c r="AA3790" s="23"/>
      <c r="AB3790" s="23"/>
      <c r="AC3790" s="23"/>
      <c r="AD3790" s="23"/>
      <c r="AE3790" s="23"/>
      <c r="AF3790" s="23"/>
      <c r="AG3790" s="23"/>
      <c r="AH3790" s="23"/>
      <c r="AI3790" s="49"/>
    </row>
    <row r="3791" spans="1:35">
      <c r="A3791" s="23"/>
      <c r="B3791" s="42"/>
      <c r="C3791" s="49"/>
      <c r="E3791" s="49"/>
      <c r="G3791" s="43"/>
      <c r="H3791" s="44"/>
      <c r="L3791" s="42"/>
      <c r="M3791" s="42"/>
      <c r="N3791" s="25"/>
      <c r="O3791" s="54"/>
      <c r="P3791"/>
      <c r="Q3791" s="25"/>
      <c r="R3791" s="54"/>
      <c r="W3791" s="23"/>
      <c r="X3791" s="23"/>
      <c r="Y3791" s="23"/>
      <c r="Z3791" s="43"/>
      <c r="AA3791" s="23"/>
      <c r="AB3791" s="23"/>
      <c r="AC3791" s="23"/>
      <c r="AD3791" s="23"/>
      <c r="AE3791" s="23"/>
      <c r="AF3791" s="23"/>
      <c r="AG3791" s="23"/>
      <c r="AH3791" s="23"/>
      <c r="AI3791" s="49"/>
    </row>
    <row r="3792" spans="1:35">
      <c r="A3792" s="23"/>
      <c r="B3792" s="42"/>
      <c r="C3792" s="49"/>
      <c r="E3792" s="49"/>
      <c r="G3792" s="43"/>
      <c r="H3792" s="44"/>
      <c r="L3792" s="42"/>
      <c r="M3792" s="42"/>
      <c r="N3792" s="25"/>
      <c r="O3792" s="54"/>
      <c r="P3792"/>
      <c r="Q3792" s="25"/>
      <c r="R3792" s="54"/>
      <c r="W3792" s="23"/>
      <c r="X3792" s="23"/>
      <c r="Y3792" s="23"/>
      <c r="Z3792" s="43"/>
      <c r="AA3792" s="23"/>
      <c r="AB3792" s="23"/>
      <c r="AC3792" s="23"/>
      <c r="AD3792" s="23"/>
      <c r="AE3792" s="23"/>
      <c r="AF3792" s="23"/>
      <c r="AG3792" s="23"/>
      <c r="AH3792" s="23"/>
      <c r="AI3792" s="49"/>
    </row>
    <row r="3793" spans="1:35">
      <c r="A3793" s="23"/>
      <c r="B3793" s="42"/>
      <c r="C3793" s="49"/>
      <c r="E3793" s="49"/>
      <c r="G3793" s="43"/>
      <c r="H3793" s="44"/>
      <c r="L3793" s="42"/>
      <c r="M3793" s="42"/>
      <c r="N3793" s="25"/>
      <c r="O3793" s="54"/>
      <c r="P3793"/>
      <c r="Q3793" s="25"/>
      <c r="R3793" s="54"/>
      <c r="W3793" s="23"/>
      <c r="X3793" s="23"/>
      <c r="Y3793" s="23"/>
      <c r="Z3793" s="43"/>
      <c r="AA3793" s="23"/>
      <c r="AB3793" s="23"/>
      <c r="AC3793" s="23"/>
      <c r="AD3793" s="23"/>
      <c r="AE3793" s="23"/>
      <c r="AF3793" s="23"/>
      <c r="AG3793" s="23"/>
      <c r="AH3793" s="23"/>
      <c r="AI3793" s="49"/>
    </row>
    <row r="3794" spans="1:35">
      <c r="A3794" s="23"/>
      <c r="B3794" s="42"/>
      <c r="C3794" s="49"/>
      <c r="E3794" s="49"/>
      <c r="G3794" s="43"/>
      <c r="H3794" s="44"/>
      <c r="L3794" s="42"/>
      <c r="M3794" s="42"/>
      <c r="N3794" s="25"/>
      <c r="O3794" s="54"/>
      <c r="P3794"/>
      <c r="Q3794" s="25"/>
      <c r="R3794" s="54"/>
      <c r="W3794" s="23"/>
      <c r="X3794" s="23"/>
      <c r="Y3794" s="23"/>
      <c r="Z3794" s="43"/>
      <c r="AA3794" s="23"/>
      <c r="AB3794" s="23"/>
      <c r="AC3794" s="23"/>
      <c r="AD3794" s="23"/>
      <c r="AE3794" s="23"/>
      <c r="AF3794" s="23"/>
      <c r="AG3794" s="23"/>
      <c r="AH3794" s="23"/>
      <c r="AI3794" s="49"/>
    </row>
    <row r="3795" spans="1:35">
      <c r="A3795" s="23"/>
      <c r="B3795" s="42"/>
      <c r="C3795" s="49"/>
      <c r="E3795" s="49"/>
      <c r="G3795" s="43"/>
      <c r="H3795" s="44"/>
      <c r="L3795" s="42"/>
      <c r="M3795" s="42"/>
      <c r="N3795" s="25"/>
      <c r="O3795" s="54"/>
      <c r="P3795"/>
      <c r="Q3795" s="25"/>
      <c r="R3795" s="54"/>
      <c r="W3795" s="23"/>
      <c r="X3795" s="23"/>
      <c r="Y3795" s="23"/>
      <c r="Z3795" s="43"/>
      <c r="AA3795" s="23"/>
      <c r="AB3795" s="23"/>
      <c r="AC3795" s="23"/>
      <c r="AD3795" s="23"/>
      <c r="AE3795" s="23"/>
      <c r="AF3795" s="23"/>
      <c r="AG3795" s="23"/>
      <c r="AH3795" s="23"/>
      <c r="AI3795" s="49"/>
    </row>
    <row r="3796" spans="1:35">
      <c r="A3796" s="23"/>
      <c r="B3796" s="42"/>
      <c r="C3796" s="49"/>
      <c r="E3796" s="49"/>
      <c r="G3796" s="43"/>
      <c r="H3796" s="44"/>
      <c r="L3796" s="42"/>
      <c r="M3796" s="42"/>
      <c r="N3796" s="25"/>
      <c r="O3796" s="54"/>
      <c r="P3796"/>
      <c r="Q3796" s="25"/>
      <c r="R3796" s="54"/>
      <c r="W3796" s="23"/>
      <c r="X3796" s="23"/>
      <c r="Y3796" s="23"/>
      <c r="Z3796" s="43"/>
      <c r="AA3796" s="23"/>
      <c r="AB3796" s="23"/>
      <c r="AC3796" s="23"/>
      <c r="AD3796" s="23"/>
      <c r="AE3796" s="23"/>
      <c r="AF3796" s="23"/>
      <c r="AG3796" s="23"/>
      <c r="AH3796" s="23"/>
      <c r="AI3796" s="49"/>
    </row>
    <row r="3797" spans="1:35">
      <c r="A3797" s="23"/>
      <c r="B3797" s="42"/>
      <c r="C3797" s="49"/>
      <c r="E3797" s="49"/>
      <c r="G3797" s="43"/>
      <c r="H3797" s="44"/>
      <c r="L3797" s="42"/>
      <c r="M3797" s="42"/>
      <c r="N3797" s="25"/>
      <c r="O3797" s="54"/>
      <c r="P3797"/>
      <c r="Q3797" s="25"/>
      <c r="R3797" s="54"/>
      <c r="W3797" s="23"/>
      <c r="X3797" s="23"/>
      <c r="Y3797" s="23"/>
      <c r="Z3797" s="43"/>
      <c r="AA3797" s="23"/>
      <c r="AB3797" s="23"/>
      <c r="AC3797" s="23"/>
      <c r="AD3797" s="23"/>
      <c r="AE3797" s="23"/>
      <c r="AF3797" s="23"/>
      <c r="AG3797" s="23"/>
      <c r="AH3797" s="23"/>
      <c r="AI3797" s="49"/>
    </row>
    <row r="3798" spans="1:35">
      <c r="A3798" s="23"/>
      <c r="B3798" s="42"/>
      <c r="C3798" s="49"/>
      <c r="E3798" s="49"/>
      <c r="G3798" s="43"/>
      <c r="H3798" s="44"/>
      <c r="L3798" s="42"/>
      <c r="M3798" s="42"/>
      <c r="N3798" s="25"/>
      <c r="O3798" s="54"/>
      <c r="P3798"/>
      <c r="Q3798" s="25"/>
      <c r="R3798" s="54"/>
      <c r="W3798" s="23"/>
      <c r="X3798" s="23"/>
      <c r="Y3798" s="23"/>
      <c r="Z3798" s="43"/>
      <c r="AA3798" s="23"/>
      <c r="AB3798" s="23"/>
      <c r="AC3798" s="23"/>
      <c r="AD3798" s="23"/>
      <c r="AE3798" s="23"/>
      <c r="AF3798" s="23"/>
      <c r="AG3798" s="23"/>
      <c r="AH3798" s="23"/>
      <c r="AI3798" s="49"/>
    </row>
    <row r="3799" spans="1:35">
      <c r="A3799" s="23"/>
      <c r="B3799" s="42"/>
      <c r="C3799" s="49"/>
      <c r="E3799" s="49"/>
      <c r="G3799" s="43"/>
      <c r="H3799" s="44"/>
      <c r="L3799" s="42"/>
      <c r="M3799" s="42"/>
      <c r="N3799" s="25"/>
      <c r="O3799" s="54"/>
      <c r="P3799"/>
      <c r="Q3799" s="25"/>
      <c r="R3799" s="54"/>
      <c r="W3799" s="23"/>
      <c r="X3799" s="23"/>
      <c r="Y3799" s="23"/>
      <c r="Z3799" s="43"/>
      <c r="AA3799" s="23"/>
      <c r="AB3799" s="23"/>
      <c r="AC3799" s="23"/>
      <c r="AD3799" s="23"/>
      <c r="AE3799" s="23"/>
      <c r="AF3799" s="23"/>
      <c r="AG3799" s="23"/>
      <c r="AH3799" s="23"/>
      <c r="AI3799" s="49"/>
    </row>
    <row r="3800" spans="1:35">
      <c r="A3800" s="23"/>
      <c r="B3800" s="42"/>
      <c r="C3800" s="49"/>
      <c r="E3800" s="49"/>
      <c r="G3800" s="43"/>
      <c r="H3800" s="44"/>
      <c r="L3800" s="42"/>
      <c r="M3800" s="42"/>
      <c r="N3800" s="25"/>
      <c r="O3800" s="54"/>
      <c r="P3800"/>
      <c r="Q3800" s="25"/>
      <c r="R3800" s="54"/>
      <c r="W3800" s="23"/>
      <c r="X3800" s="23"/>
      <c r="Y3800" s="23"/>
      <c r="Z3800" s="43"/>
      <c r="AA3800" s="23"/>
      <c r="AB3800" s="23"/>
      <c r="AC3800" s="23"/>
      <c r="AD3800" s="23"/>
      <c r="AE3800" s="23"/>
      <c r="AF3800" s="23"/>
      <c r="AG3800" s="23"/>
      <c r="AH3800" s="23"/>
      <c r="AI3800" s="49"/>
    </row>
    <row r="3801" spans="1:35">
      <c r="A3801" s="23"/>
      <c r="B3801" s="42"/>
      <c r="C3801" s="49"/>
      <c r="E3801" s="49"/>
      <c r="G3801" s="43"/>
      <c r="H3801" s="44"/>
      <c r="L3801" s="42"/>
      <c r="M3801" s="42"/>
      <c r="N3801" s="25"/>
      <c r="O3801" s="54"/>
      <c r="P3801"/>
      <c r="Q3801" s="25"/>
      <c r="R3801" s="54"/>
      <c r="W3801" s="23"/>
      <c r="X3801" s="23"/>
      <c r="Y3801" s="23"/>
      <c r="Z3801" s="43"/>
      <c r="AA3801" s="23"/>
      <c r="AB3801" s="23"/>
      <c r="AC3801" s="23"/>
      <c r="AD3801" s="23"/>
      <c r="AE3801" s="23"/>
      <c r="AF3801" s="23"/>
      <c r="AG3801" s="23"/>
      <c r="AH3801" s="23"/>
      <c r="AI3801" s="49"/>
    </row>
    <row r="3802" spans="1:35">
      <c r="A3802" s="23"/>
      <c r="B3802" s="42"/>
      <c r="C3802" s="49"/>
      <c r="E3802" s="49"/>
      <c r="G3802" s="43"/>
      <c r="H3802" s="44"/>
      <c r="L3802" s="42"/>
      <c r="M3802" s="42"/>
      <c r="N3802" s="25"/>
      <c r="O3802" s="54"/>
      <c r="P3802"/>
      <c r="Q3802" s="25"/>
      <c r="R3802" s="54"/>
      <c r="W3802" s="23"/>
      <c r="X3802" s="23"/>
      <c r="Y3802" s="23"/>
      <c r="Z3802" s="43"/>
      <c r="AA3802" s="23"/>
      <c r="AB3802" s="23"/>
      <c r="AC3802" s="23"/>
      <c r="AD3802" s="23"/>
      <c r="AE3802" s="23"/>
      <c r="AF3802" s="23"/>
      <c r="AG3802" s="23"/>
      <c r="AH3802" s="23"/>
      <c r="AI3802" s="49"/>
    </row>
    <row r="3803" spans="1:35">
      <c r="A3803" s="23"/>
      <c r="B3803" s="42"/>
      <c r="C3803" s="49"/>
      <c r="E3803" s="49"/>
      <c r="G3803" s="43"/>
      <c r="H3803" s="44"/>
      <c r="L3803" s="42"/>
      <c r="M3803" s="42"/>
      <c r="N3803" s="25"/>
      <c r="O3803" s="54"/>
      <c r="P3803"/>
      <c r="Q3803" s="25"/>
      <c r="R3803" s="54"/>
      <c r="W3803" s="23"/>
      <c r="X3803" s="23"/>
      <c r="Y3803" s="23"/>
      <c r="Z3803" s="43"/>
      <c r="AA3803" s="23"/>
      <c r="AB3803" s="23"/>
      <c r="AC3803" s="23"/>
      <c r="AD3803" s="23"/>
      <c r="AE3803" s="23"/>
      <c r="AF3803" s="23"/>
      <c r="AG3803" s="23"/>
      <c r="AH3803" s="23"/>
      <c r="AI3803" s="49"/>
    </row>
    <row r="3804" spans="1:35">
      <c r="A3804" s="23"/>
      <c r="B3804" s="42"/>
      <c r="C3804" s="49"/>
      <c r="E3804" s="49"/>
      <c r="G3804" s="43"/>
      <c r="H3804" s="44"/>
      <c r="L3804" s="42"/>
      <c r="M3804" s="42"/>
      <c r="N3804" s="25"/>
      <c r="O3804" s="54"/>
      <c r="P3804"/>
      <c r="Q3804" s="25"/>
      <c r="R3804" s="54"/>
      <c r="W3804" s="23"/>
      <c r="X3804" s="23"/>
      <c r="Y3804" s="23"/>
      <c r="Z3804" s="43"/>
      <c r="AA3804" s="23"/>
      <c r="AB3804" s="23"/>
      <c r="AC3804" s="23"/>
      <c r="AD3804" s="23"/>
      <c r="AE3804" s="23"/>
      <c r="AF3804" s="23"/>
      <c r="AG3804" s="23"/>
      <c r="AH3804" s="23"/>
      <c r="AI3804" s="49"/>
    </row>
    <row r="3805" spans="1:35">
      <c r="A3805" s="23"/>
      <c r="B3805" s="42"/>
      <c r="C3805" s="49"/>
      <c r="E3805" s="49"/>
      <c r="G3805" s="43"/>
      <c r="H3805" s="44"/>
      <c r="L3805" s="42"/>
      <c r="M3805" s="42"/>
      <c r="N3805" s="25"/>
      <c r="O3805" s="54"/>
      <c r="P3805"/>
      <c r="Q3805" s="25"/>
      <c r="R3805" s="54"/>
      <c r="W3805" s="23"/>
      <c r="X3805" s="23"/>
      <c r="Y3805" s="23"/>
      <c r="Z3805" s="43"/>
      <c r="AA3805" s="23"/>
      <c r="AB3805" s="23"/>
      <c r="AC3805" s="23"/>
      <c r="AD3805" s="23"/>
      <c r="AE3805" s="23"/>
      <c r="AF3805" s="23"/>
      <c r="AG3805" s="23"/>
      <c r="AH3805" s="23"/>
      <c r="AI3805" s="49"/>
    </row>
    <row r="3806" spans="1:35">
      <c r="A3806" s="23"/>
      <c r="B3806" s="42"/>
      <c r="C3806" s="49"/>
      <c r="E3806" s="49"/>
      <c r="G3806" s="43"/>
      <c r="H3806" s="44"/>
      <c r="L3806" s="42"/>
      <c r="M3806" s="42"/>
      <c r="N3806" s="25"/>
      <c r="O3806" s="54"/>
      <c r="P3806"/>
      <c r="Q3806" s="25"/>
      <c r="R3806" s="54"/>
      <c r="W3806" s="23"/>
      <c r="X3806" s="23"/>
      <c r="Y3806" s="23"/>
      <c r="Z3806" s="43"/>
      <c r="AA3806" s="23"/>
      <c r="AB3806" s="23"/>
      <c r="AC3806" s="23"/>
      <c r="AD3806" s="23"/>
      <c r="AE3806" s="23"/>
      <c r="AF3806" s="23"/>
      <c r="AG3806" s="23"/>
      <c r="AH3806" s="23"/>
      <c r="AI3806" s="49"/>
    </row>
    <row r="3807" spans="1:35">
      <c r="A3807" s="23"/>
      <c r="B3807" s="42"/>
      <c r="C3807" s="49"/>
      <c r="E3807" s="49"/>
      <c r="G3807" s="43"/>
      <c r="H3807" s="44"/>
      <c r="L3807" s="42"/>
      <c r="M3807" s="42"/>
      <c r="N3807" s="25"/>
      <c r="O3807" s="54"/>
      <c r="P3807"/>
      <c r="Q3807" s="25"/>
      <c r="R3807" s="54"/>
      <c r="W3807" s="23"/>
      <c r="X3807" s="23"/>
      <c r="Y3807" s="23"/>
      <c r="Z3807" s="43"/>
      <c r="AA3807" s="23"/>
      <c r="AB3807" s="23"/>
      <c r="AC3807" s="23"/>
      <c r="AD3807" s="23"/>
      <c r="AE3807" s="23"/>
      <c r="AF3807" s="23"/>
      <c r="AG3807" s="23"/>
      <c r="AH3807" s="23"/>
      <c r="AI3807" s="49"/>
    </row>
    <row r="3808" spans="1:35">
      <c r="A3808" s="23"/>
      <c r="B3808" s="42"/>
      <c r="C3808" s="49"/>
      <c r="E3808" s="49"/>
      <c r="G3808" s="43"/>
      <c r="H3808" s="44"/>
      <c r="L3808" s="42"/>
      <c r="M3808" s="42"/>
      <c r="N3808" s="25"/>
      <c r="O3808" s="54"/>
      <c r="P3808"/>
      <c r="Q3808" s="25"/>
      <c r="R3808" s="54"/>
      <c r="W3808" s="23"/>
      <c r="X3808" s="23"/>
      <c r="Y3808" s="23"/>
      <c r="Z3808" s="43"/>
      <c r="AA3808" s="23"/>
      <c r="AB3808" s="23"/>
      <c r="AC3808" s="23"/>
      <c r="AD3808" s="23"/>
      <c r="AE3808" s="23"/>
      <c r="AF3808" s="23"/>
      <c r="AG3808" s="23"/>
      <c r="AH3808" s="23"/>
      <c r="AI3808" s="49"/>
    </row>
    <row r="3809" spans="1:35">
      <c r="A3809" s="23"/>
      <c r="B3809" s="42"/>
      <c r="C3809" s="49"/>
      <c r="E3809" s="49"/>
      <c r="G3809" s="43"/>
      <c r="H3809" s="44"/>
      <c r="L3809" s="42"/>
      <c r="M3809" s="42"/>
      <c r="N3809" s="25"/>
      <c r="O3809" s="54"/>
      <c r="P3809"/>
      <c r="Q3809" s="25"/>
      <c r="R3809" s="54"/>
      <c r="W3809" s="23"/>
      <c r="X3809" s="23"/>
      <c r="Y3809" s="23"/>
      <c r="Z3809" s="43"/>
      <c r="AA3809" s="23"/>
      <c r="AB3809" s="23"/>
      <c r="AC3809" s="23"/>
      <c r="AD3809" s="23"/>
      <c r="AE3809" s="23"/>
      <c r="AF3809" s="23"/>
      <c r="AG3809" s="23"/>
      <c r="AH3809" s="23"/>
      <c r="AI3809" s="49"/>
    </row>
    <row r="3810" spans="1:35">
      <c r="A3810" s="23"/>
      <c r="B3810" s="42"/>
      <c r="C3810" s="49"/>
      <c r="E3810" s="49"/>
      <c r="G3810" s="43"/>
      <c r="H3810" s="44"/>
      <c r="L3810" s="42"/>
      <c r="M3810" s="42"/>
      <c r="N3810" s="25"/>
      <c r="O3810" s="54"/>
      <c r="P3810"/>
      <c r="Q3810" s="25"/>
      <c r="R3810" s="54"/>
      <c r="W3810" s="23"/>
      <c r="X3810" s="23"/>
      <c r="Y3810" s="23"/>
      <c r="Z3810" s="43"/>
      <c r="AA3810" s="23"/>
      <c r="AB3810" s="23"/>
      <c r="AC3810" s="23"/>
      <c r="AD3810" s="23"/>
      <c r="AE3810" s="23"/>
      <c r="AF3810" s="23"/>
      <c r="AG3810" s="23"/>
      <c r="AH3810" s="23"/>
      <c r="AI3810" s="49"/>
    </row>
    <row r="3811" spans="1:35">
      <c r="A3811" s="23"/>
      <c r="B3811" s="42"/>
      <c r="C3811" s="49"/>
      <c r="E3811" s="49"/>
      <c r="G3811" s="43"/>
      <c r="H3811" s="44"/>
      <c r="L3811" s="42"/>
      <c r="M3811" s="42"/>
      <c r="N3811" s="25"/>
      <c r="O3811" s="54"/>
      <c r="P3811"/>
      <c r="Q3811" s="25"/>
      <c r="R3811" s="54"/>
      <c r="W3811" s="23"/>
      <c r="X3811" s="23"/>
      <c r="Y3811" s="23"/>
      <c r="Z3811" s="43"/>
      <c r="AA3811" s="23"/>
      <c r="AB3811" s="23"/>
      <c r="AC3811" s="23"/>
      <c r="AD3811" s="23"/>
      <c r="AE3811" s="23"/>
      <c r="AF3811" s="23"/>
      <c r="AG3811" s="23"/>
      <c r="AH3811" s="23"/>
      <c r="AI3811" s="49"/>
    </row>
    <row r="3812" spans="1:35">
      <c r="A3812" s="23"/>
      <c r="B3812" s="42"/>
      <c r="C3812" s="49"/>
      <c r="E3812" s="49"/>
      <c r="G3812" s="43"/>
      <c r="H3812" s="44"/>
      <c r="L3812" s="42"/>
      <c r="M3812" s="42"/>
      <c r="N3812" s="25"/>
      <c r="O3812" s="54"/>
      <c r="P3812"/>
      <c r="Q3812" s="25"/>
      <c r="R3812" s="54"/>
      <c r="W3812" s="23"/>
      <c r="X3812" s="23"/>
      <c r="Y3812" s="23"/>
      <c r="Z3812" s="43"/>
      <c r="AA3812" s="23"/>
      <c r="AB3812" s="23"/>
      <c r="AC3812" s="23"/>
      <c r="AD3812" s="23"/>
      <c r="AE3812" s="23"/>
      <c r="AF3812" s="23"/>
      <c r="AG3812" s="23"/>
      <c r="AH3812" s="23"/>
      <c r="AI3812" s="49"/>
    </row>
    <row r="3813" spans="1:35">
      <c r="A3813" s="23"/>
      <c r="B3813" s="42"/>
      <c r="C3813" s="49"/>
      <c r="E3813" s="49"/>
      <c r="G3813" s="43"/>
      <c r="H3813" s="44"/>
      <c r="L3813" s="42"/>
      <c r="M3813" s="42"/>
      <c r="N3813" s="25"/>
      <c r="O3813" s="54"/>
      <c r="P3813"/>
      <c r="Q3813" s="25"/>
      <c r="R3813" s="54"/>
      <c r="W3813" s="23"/>
      <c r="X3813" s="23"/>
      <c r="Y3813" s="23"/>
      <c r="Z3813" s="43"/>
      <c r="AA3813" s="23"/>
      <c r="AB3813" s="23"/>
      <c r="AC3813" s="23"/>
      <c r="AD3813" s="23"/>
      <c r="AE3813" s="23"/>
      <c r="AF3813" s="23"/>
      <c r="AG3813" s="23"/>
      <c r="AH3813" s="23"/>
      <c r="AI3813" s="49"/>
    </row>
    <row r="3814" spans="1:35">
      <c r="A3814" s="23"/>
      <c r="B3814" s="42"/>
      <c r="C3814" s="49"/>
      <c r="E3814" s="49"/>
      <c r="G3814" s="43"/>
      <c r="H3814" s="44"/>
      <c r="L3814" s="42"/>
      <c r="M3814" s="42"/>
      <c r="N3814" s="25"/>
      <c r="O3814" s="54"/>
      <c r="P3814"/>
      <c r="Q3814" s="25"/>
      <c r="R3814" s="54"/>
      <c r="W3814" s="23"/>
      <c r="X3814" s="23"/>
      <c r="Y3814" s="23"/>
      <c r="Z3814" s="43"/>
      <c r="AA3814" s="23"/>
      <c r="AB3814" s="23"/>
      <c r="AC3814" s="23"/>
      <c r="AD3814" s="23"/>
      <c r="AE3814" s="23"/>
      <c r="AF3814" s="23"/>
      <c r="AG3814" s="23"/>
      <c r="AH3814" s="23"/>
      <c r="AI3814" s="49"/>
    </row>
    <row r="3815" spans="1:35">
      <c r="A3815" s="23"/>
      <c r="B3815" s="42"/>
      <c r="C3815" s="49"/>
      <c r="E3815" s="49"/>
      <c r="G3815" s="43"/>
      <c r="H3815" s="44"/>
      <c r="L3815" s="42"/>
      <c r="M3815" s="42"/>
      <c r="N3815" s="25"/>
      <c r="O3815" s="54"/>
      <c r="P3815"/>
      <c r="Q3815" s="25"/>
      <c r="R3815" s="54"/>
      <c r="W3815" s="23"/>
      <c r="X3815" s="23"/>
      <c r="Y3815" s="23"/>
      <c r="Z3815" s="43"/>
      <c r="AA3815" s="23"/>
      <c r="AB3815" s="23"/>
      <c r="AC3815" s="23"/>
      <c r="AD3815" s="23"/>
      <c r="AE3815" s="23"/>
      <c r="AF3815" s="23"/>
      <c r="AG3815" s="23"/>
      <c r="AH3815" s="23"/>
      <c r="AI3815" s="49"/>
    </row>
    <row r="3816" spans="1:35">
      <c r="A3816" s="23"/>
      <c r="B3816" s="42"/>
      <c r="C3816" s="49"/>
      <c r="E3816" s="49"/>
      <c r="G3816" s="43"/>
      <c r="H3816" s="44"/>
      <c r="L3816" s="42"/>
      <c r="M3816" s="42"/>
      <c r="N3816" s="25"/>
      <c r="O3816" s="54"/>
      <c r="P3816"/>
      <c r="Q3816" s="25"/>
      <c r="R3816" s="54"/>
      <c r="W3816" s="23"/>
      <c r="X3816" s="23"/>
      <c r="Y3816" s="23"/>
      <c r="Z3816" s="43"/>
      <c r="AA3816" s="23"/>
      <c r="AB3816" s="23"/>
      <c r="AC3816" s="23"/>
      <c r="AD3816" s="23"/>
      <c r="AE3816" s="23"/>
      <c r="AF3816" s="23"/>
      <c r="AG3816" s="23"/>
      <c r="AH3816" s="23"/>
      <c r="AI3816" s="49"/>
    </row>
    <row r="3817" spans="1:35">
      <c r="A3817" s="23"/>
      <c r="B3817" s="42"/>
      <c r="C3817" s="49"/>
      <c r="E3817" s="49"/>
      <c r="G3817" s="43"/>
      <c r="H3817" s="44"/>
      <c r="L3817" s="42"/>
      <c r="M3817" s="42"/>
      <c r="N3817" s="25"/>
      <c r="O3817" s="54"/>
      <c r="P3817"/>
      <c r="Q3817" s="25"/>
      <c r="R3817" s="54"/>
      <c r="W3817" s="23"/>
      <c r="X3817" s="23"/>
      <c r="Y3817" s="23"/>
      <c r="Z3817" s="43"/>
      <c r="AA3817" s="23"/>
      <c r="AB3817" s="23"/>
      <c r="AC3817" s="23"/>
      <c r="AD3817" s="23"/>
      <c r="AE3817" s="23"/>
      <c r="AF3817" s="23"/>
      <c r="AG3817" s="23"/>
      <c r="AH3817" s="23"/>
      <c r="AI3817" s="49"/>
    </row>
    <row r="3818" spans="1:35">
      <c r="A3818" s="23"/>
      <c r="B3818" s="42"/>
      <c r="C3818" s="49"/>
      <c r="E3818" s="49"/>
      <c r="G3818" s="43"/>
      <c r="H3818" s="44"/>
      <c r="L3818" s="42"/>
      <c r="M3818" s="42"/>
      <c r="N3818" s="25"/>
      <c r="O3818" s="54"/>
      <c r="P3818"/>
      <c r="Q3818" s="25"/>
      <c r="R3818" s="54"/>
      <c r="W3818" s="23"/>
      <c r="X3818" s="23"/>
      <c r="Y3818" s="23"/>
      <c r="Z3818" s="43"/>
      <c r="AA3818" s="23"/>
      <c r="AB3818" s="23"/>
      <c r="AC3818" s="23"/>
      <c r="AD3818" s="23"/>
      <c r="AE3818" s="23"/>
      <c r="AF3818" s="23"/>
      <c r="AG3818" s="23"/>
      <c r="AH3818" s="23"/>
      <c r="AI3818" s="49"/>
    </row>
    <row r="3819" spans="1:35">
      <c r="A3819" s="23"/>
      <c r="B3819" s="42"/>
      <c r="C3819" s="49"/>
      <c r="E3819" s="49"/>
      <c r="G3819" s="43"/>
      <c r="H3819" s="44"/>
      <c r="L3819" s="42"/>
      <c r="M3819" s="42"/>
      <c r="N3819" s="25"/>
      <c r="O3819" s="54"/>
      <c r="P3819"/>
      <c r="Q3819" s="25"/>
      <c r="R3819" s="54"/>
      <c r="W3819" s="23"/>
      <c r="X3819" s="23"/>
      <c r="Y3819" s="23"/>
      <c r="Z3819" s="43"/>
      <c r="AA3819" s="23"/>
      <c r="AB3819" s="23"/>
      <c r="AC3819" s="23"/>
      <c r="AD3819" s="23"/>
      <c r="AE3819" s="23"/>
      <c r="AF3819" s="23"/>
      <c r="AG3819" s="23"/>
      <c r="AH3819" s="23"/>
      <c r="AI3819" s="49"/>
    </row>
    <row r="3820" spans="1:35">
      <c r="A3820" s="23"/>
      <c r="B3820" s="42"/>
      <c r="C3820" s="49"/>
      <c r="E3820" s="49"/>
      <c r="G3820" s="43"/>
      <c r="H3820" s="44"/>
      <c r="L3820" s="42"/>
      <c r="M3820" s="42"/>
      <c r="N3820" s="25"/>
      <c r="O3820" s="54"/>
      <c r="P3820"/>
      <c r="Q3820" s="25"/>
      <c r="R3820" s="54"/>
      <c r="W3820" s="23"/>
      <c r="X3820" s="23"/>
      <c r="Y3820" s="23"/>
      <c r="Z3820" s="43"/>
      <c r="AA3820" s="23"/>
      <c r="AB3820" s="23"/>
      <c r="AC3820" s="23"/>
      <c r="AD3820" s="23"/>
      <c r="AE3820" s="23"/>
      <c r="AF3820" s="23"/>
      <c r="AG3820" s="23"/>
      <c r="AH3820" s="23"/>
      <c r="AI3820" s="49"/>
    </row>
    <row r="3821" spans="1:35">
      <c r="A3821" s="23"/>
      <c r="B3821" s="42"/>
      <c r="C3821" s="49"/>
      <c r="E3821" s="49"/>
      <c r="G3821" s="43"/>
      <c r="H3821" s="44"/>
      <c r="L3821" s="42"/>
      <c r="M3821" s="42"/>
      <c r="N3821" s="25"/>
      <c r="O3821" s="54"/>
      <c r="P3821"/>
      <c r="Q3821" s="25"/>
      <c r="R3821" s="54"/>
      <c r="W3821" s="23"/>
      <c r="X3821" s="23"/>
      <c r="Y3821" s="23"/>
      <c r="Z3821" s="43"/>
      <c r="AA3821" s="23"/>
      <c r="AB3821" s="23"/>
      <c r="AC3821" s="23"/>
      <c r="AD3821" s="23"/>
      <c r="AE3821" s="23"/>
      <c r="AF3821" s="23"/>
      <c r="AG3821" s="23"/>
      <c r="AH3821" s="23"/>
      <c r="AI3821" s="49"/>
    </row>
    <row r="3822" spans="1:35">
      <c r="A3822" s="23"/>
      <c r="B3822" s="42"/>
      <c r="C3822" s="49"/>
      <c r="E3822" s="49"/>
      <c r="G3822" s="43"/>
      <c r="H3822" s="44"/>
      <c r="L3822" s="42"/>
      <c r="M3822" s="42"/>
      <c r="N3822" s="25"/>
      <c r="O3822" s="54"/>
      <c r="P3822"/>
      <c r="Q3822" s="25"/>
      <c r="R3822" s="54"/>
      <c r="W3822" s="23"/>
      <c r="X3822" s="23"/>
      <c r="Y3822" s="23"/>
      <c r="Z3822" s="43"/>
      <c r="AA3822" s="23"/>
      <c r="AB3822" s="23"/>
      <c r="AC3822" s="23"/>
      <c r="AD3822" s="23"/>
      <c r="AE3822" s="23"/>
      <c r="AF3822" s="23"/>
      <c r="AG3822" s="23"/>
      <c r="AH3822" s="23"/>
      <c r="AI3822" s="49"/>
    </row>
    <row r="3823" spans="1:35">
      <c r="A3823" s="23"/>
      <c r="B3823" s="42"/>
      <c r="C3823" s="49"/>
      <c r="E3823" s="49"/>
      <c r="G3823" s="43"/>
      <c r="H3823" s="44"/>
      <c r="L3823" s="42"/>
      <c r="M3823" s="42"/>
      <c r="N3823" s="25"/>
      <c r="O3823" s="54"/>
      <c r="P3823"/>
      <c r="Q3823" s="25"/>
      <c r="R3823" s="54"/>
      <c r="W3823" s="23"/>
      <c r="X3823" s="23"/>
      <c r="Y3823" s="23"/>
      <c r="Z3823" s="43"/>
      <c r="AA3823" s="23"/>
      <c r="AB3823" s="23"/>
      <c r="AC3823" s="23"/>
      <c r="AD3823" s="23"/>
      <c r="AE3823" s="23"/>
      <c r="AF3823" s="23"/>
      <c r="AG3823" s="23"/>
      <c r="AH3823" s="23"/>
      <c r="AI3823" s="49"/>
    </row>
    <row r="3824" spans="1:35">
      <c r="A3824" s="23"/>
      <c r="B3824" s="42"/>
      <c r="C3824" s="49"/>
      <c r="E3824" s="49"/>
      <c r="G3824" s="43"/>
      <c r="H3824" s="44"/>
      <c r="L3824" s="42"/>
      <c r="M3824" s="42"/>
      <c r="N3824" s="25"/>
      <c r="O3824" s="54"/>
      <c r="P3824"/>
      <c r="Q3824" s="25"/>
      <c r="R3824" s="54"/>
      <c r="W3824" s="23"/>
      <c r="X3824" s="23"/>
      <c r="Y3824" s="23"/>
      <c r="Z3824" s="43"/>
      <c r="AA3824" s="23"/>
      <c r="AB3824" s="23"/>
      <c r="AC3824" s="23"/>
      <c r="AD3824" s="23"/>
      <c r="AE3824" s="23"/>
      <c r="AF3824" s="23"/>
      <c r="AG3824" s="23"/>
      <c r="AH3824" s="23"/>
      <c r="AI3824" s="49"/>
    </row>
    <row r="3825" spans="1:35">
      <c r="A3825" s="23"/>
      <c r="B3825" s="42"/>
      <c r="C3825" s="49"/>
      <c r="E3825" s="49"/>
      <c r="G3825" s="43"/>
      <c r="H3825" s="44"/>
      <c r="L3825" s="42"/>
      <c r="M3825" s="42"/>
      <c r="N3825" s="25"/>
      <c r="O3825" s="54"/>
      <c r="P3825"/>
      <c r="Q3825" s="25"/>
      <c r="R3825" s="54"/>
      <c r="W3825" s="23"/>
      <c r="X3825" s="23"/>
      <c r="Y3825" s="23"/>
      <c r="Z3825" s="43"/>
      <c r="AA3825" s="23"/>
      <c r="AB3825" s="23"/>
      <c r="AC3825" s="23"/>
      <c r="AD3825" s="23"/>
      <c r="AE3825" s="23"/>
      <c r="AF3825" s="23"/>
      <c r="AG3825" s="23"/>
      <c r="AH3825" s="23"/>
      <c r="AI3825" s="49"/>
    </row>
    <row r="3826" spans="1:35">
      <c r="A3826" s="23"/>
      <c r="B3826" s="42"/>
      <c r="C3826" s="49"/>
      <c r="E3826" s="49"/>
      <c r="G3826" s="43"/>
      <c r="H3826" s="44"/>
      <c r="L3826" s="42"/>
      <c r="M3826" s="42"/>
      <c r="N3826" s="25"/>
      <c r="O3826" s="54"/>
      <c r="P3826"/>
      <c r="Q3826" s="25"/>
      <c r="R3826" s="54"/>
      <c r="W3826" s="23"/>
      <c r="X3826" s="23"/>
      <c r="Y3826" s="23"/>
      <c r="Z3826" s="43"/>
      <c r="AA3826" s="23"/>
      <c r="AB3826" s="23"/>
      <c r="AC3826" s="23"/>
      <c r="AD3826" s="23"/>
      <c r="AE3826" s="23"/>
      <c r="AF3826" s="23"/>
      <c r="AG3826" s="23"/>
      <c r="AH3826" s="23"/>
      <c r="AI3826" s="49"/>
    </row>
    <row r="3827" spans="1:35">
      <c r="A3827" s="23"/>
      <c r="B3827" s="42"/>
      <c r="C3827" s="49"/>
      <c r="E3827" s="49"/>
      <c r="G3827" s="43"/>
      <c r="H3827" s="44"/>
      <c r="L3827" s="42"/>
      <c r="M3827" s="42"/>
      <c r="N3827" s="25"/>
      <c r="O3827" s="54"/>
      <c r="P3827"/>
      <c r="Q3827" s="25"/>
      <c r="R3827" s="54"/>
      <c r="W3827" s="23"/>
      <c r="X3827" s="23"/>
      <c r="Y3827" s="23"/>
      <c r="Z3827" s="43"/>
      <c r="AA3827" s="23"/>
      <c r="AB3827" s="23"/>
      <c r="AC3827" s="23"/>
      <c r="AD3827" s="23"/>
      <c r="AE3827" s="23"/>
      <c r="AF3827" s="23"/>
      <c r="AG3827" s="23"/>
      <c r="AH3827" s="23"/>
      <c r="AI3827" s="49"/>
    </row>
    <row r="3828" spans="1:35">
      <c r="A3828" s="23"/>
      <c r="B3828" s="42"/>
      <c r="C3828" s="49"/>
      <c r="E3828" s="49"/>
      <c r="G3828" s="43"/>
      <c r="H3828" s="44"/>
      <c r="L3828" s="42"/>
      <c r="M3828" s="42"/>
      <c r="N3828" s="25"/>
      <c r="O3828" s="54"/>
      <c r="P3828"/>
      <c r="Q3828" s="25"/>
      <c r="R3828" s="54"/>
      <c r="W3828" s="23"/>
      <c r="X3828" s="23"/>
      <c r="Y3828" s="23"/>
      <c r="Z3828" s="43"/>
      <c r="AA3828" s="23"/>
      <c r="AB3828" s="23"/>
      <c r="AC3828" s="23"/>
      <c r="AD3828" s="23"/>
      <c r="AE3828" s="23"/>
      <c r="AF3828" s="23"/>
      <c r="AG3828" s="23"/>
      <c r="AH3828" s="23"/>
      <c r="AI3828" s="49"/>
    </row>
    <row r="3829" spans="1:35">
      <c r="A3829" s="23"/>
      <c r="B3829" s="42"/>
      <c r="C3829" s="49"/>
      <c r="E3829" s="49"/>
      <c r="G3829" s="43"/>
      <c r="H3829" s="44"/>
      <c r="L3829" s="42"/>
      <c r="M3829" s="42"/>
      <c r="N3829" s="25"/>
      <c r="O3829" s="54"/>
      <c r="P3829"/>
      <c r="Q3829" s="25"/>
      <c r="R3829" s="54"/>
      <c r="W3829" s="23"/>
      <c r="X3829" s="23"/>
      <c r="Y3829" s="23"/>
      <c r="Z3829" s="43"/>
      <c r="AA3829" s="23"/>
      <c r="AB3829" s="23"/>
      <c r="AC3829" s="23"/>
      <c r="AD3829" s="23"/>
      <c r="AE3829" s="23"/>
      <c r="AF3829" s="23"/>
      <c r="AG3829" s="23"/>
      <c r="AH3829" s="23"/>
      <c r="AI3829" s="49"/>
    </row>
    <row r="3830" spans="1:35">
      <c r="A3830" s="23"/>
      <c r="B3830" s="42"/>
      <c r="C3830" s="49"/>
      <c r="E3830" s="49"/>
      <c r="G3830" s="43"/>
      <c r="H3830" s="44"/>
      <c r="L3830" s="42"/>
      <c r="M3830" s="42"/>
      <c r="N3830" s="25"/>
      <c r="O3830" s="54"/>
      <c r="P3830"/>
      <c r="Q3830" s="25"/>
      <c r="R3830" s="54"/>
      <c r="W3830" s="23"/>
      <c r="X3830" s="23"/>
      <c r="Y3830" s="23"/>
      <c r="Z3830" s="43"/>
      <c r="AA3830" s="23"/>
      <c r="AB3830" s="23"/>
      <c r="AC3830" s="23"/>
      <c r="AD3830" s="23"/>
      <c r="AE3830" s="23"/>
      <c r="AF3830" s="23"/>
      <c r="AG3830" s="23"/>
      <c r="AH3830" s="23"/>
      <c r="AI3830" s="49"/>
    </row>
    <row r="3831" spans="1:35">
      <c r="A3831" s="23"/>
      <c r="B3831" s="42"/>
      <c r="C3831" s="49"/>
      <c r="E3831" s="49"/>
      <c r="G3831" s="43"/>
      <c r="H3831" s="44"/>
      <c r="L3831" s="42"/>
      <c r="M3831" s="42"/>
      <c r="N3831" s="25"/>
      <c r="O3831" s="54"/>
      <c r="P3831"/>
      <c r="Q3831" s="25"/>
      <c r="R3831" s="54"/>
      <c r="W3831" s="23"/>
      <c r="X3831" s="23"/>
      <c r="Y3831" s="23"/>
      <c r="Z3831" s="43"/>
      <c r="AA3831" s="23"/>
      <c r="AB3831" s="23"/>
      <c r="AC3831" s="23"/>
      <c r="AD3831" s="23"/>
      <c r="AE3831" s="23"/>
      <c r="AF3831" s="23"/>
      <c r="AG3831" s="23"/>
      <c r="AH3831" s="23"/>
      <c r="AI3831" s="49"/>
    </row>
    <row r="3832" spans="1:35">
      <c r="A3832" s="23"/>
      <c r="B3832" s="42"/>
      <c r="C3832" s="49"/>
      <c r="E3832" s="49"/>
      <c r="G3832" s="43"/>
      <c r="H3832" s="44"/>
      <c r="L3832" s="42"/>
      <c r="M3832" s="42"/>
      <c r="N3832" s="25"/>
      <c r="O3832" s="54"/>
      <c r="P3832"/>
      <c r="Q3832" s="25"/>
      <c r="R3832" s="54"/>
      <c r="W3832" s="23"/>
      <c r="X3832" s="23"/>
      <c r="Y3832" s="23"/>
      <c r="Z3832" s="43"/>
      <c r="AA3832" s="23"/>
      <c r="AB3832" s="23"/>
      <c r="AC3832" s="23"/>
      <c r="AD3832" s="23"/>
      <c r="AE3832" s="23"/>
      <c r="AF3832" s="23"/>
      <c r="AG3832" s="23"/>
      <c r="AH3832" s="23"/>
      <c r="AI3832" s="49"/>
    </row>
    <row r="3833" spans="1:35">
      <c r="A3833" s="23"/>
      <c r="B3833" s="42"/>
      <c r="C3833" s="49"/>
      <c r="E3833" s="49"/>
      <c r="G3833" s="43"/>
      <c r="H3833" s="44"/>
      <c r="L3833" s="42"/>
      <c r="M3833" s="42"/>
      <c r="N3833" s="25"/>
      <c r="O3833" s="54"/>
      <c r="P3833"/>
      <c r="Q3833" s="25"/>
      <c r="R3833" s="54"/>
      <c r="W3833" s="23"/>
      <c r="X3833" s="23"/>
      <c r="Y3833" s="23"/>
      <c r="Z3833" s="43"/>
      <c r="AA3833" s="23"/>
      <c r="AB3833" s="23"/>
      <c r="AC3833" s="23"/>
      <c r="AD3833" s="23"/>
      <c r="AE3833" s="23"/>
      <c r="AF3833" s="23"/>
      <c r="AG3833" s="23"/>
      <c r="AH3833" s="23"/>
      <c r="AI3833" s="49"/>
    </row>
    <row r="3834" spans="1:35">
      <c r="A3834" s="23"/>
      <c r="B3834" s="42"/>
      <c r="C3834" s="49"/>
      <c r="E3834" s="49"/>
      <c r="G3834" s="43"/>
      <c r="H3834" s="44"/>
      <c r="L3834" s="42"/>
      <c r="M3834" s="42"/>
      <c r="N3834" s="25"/>
      <c r="O3834" s="54"/>
      <c r="P3834"/>
      <c r="Q3834" s="25"/>
      <c r="R3834" s="54"/>
      <c r="W3834" s="23"/>
      <c r="X3834" s="23"/>
      <c r="Y3834" s="23"/>
      <c r="Z3834" s="43"/>
      <c r="AA3834" s="23"/>
      <c r="AB3834" s="23"/>
      <c r="AC3834" s="23"/>
      <c r="AD3834" s="23"/>
      <c r="AE3834" s="23"/>
      <c r="AF3834" s="23"/>
      <c r="AG3834" s="23"/>
      <c r="AH3834" s="23"/>
      <c r="AI3834" s="49"/>
    </row>
    <row r="3835" spans="1:35">
      <c r="A3835" s="23"/>
      <c r="B3835" s="42"/>
      <c r="C3835" s="49"/>
      <c r="E3835" s="49"/>
      <c r="G3835" s="43"/>
      <c r="H3835" s="44"/>
      <c r="L3835" s="42"/>
      <c r="M3835" s="42"/>
      <c r="N3835" s="25"/>
      <c r="O3835" s="54"/>
      <c r="P3835"/>
      <c r="Q3835" s="25"/>
      <c r="R3835" s="54"/>
      <c r="W3835" s="23"/>
      <c r="X3835" s="23"/>
      <c r="Y3835" s="23"/>
      <c r="Z3835" s="43"/>
      <c r="AA3835" s="23"/>
      <c r="AB3835" s="23"/>
      <c r="AC3835" s="23"/>
      <c r="AD3835" s="23"/>
      <c r="AE3835" s="23"/>
      <c r="AF3835" s="23"/>
      <c r="AG3835" s="23"/>
      <c r="AH3835" s="23"/>
      <c r="AI3835" s="49"/>
    </row>
    <row r="3836" spans="1:35">
      <c r="A3836" s="23"/>
      <c r="B3836" s="42"/>
      <c r="C3836" s="49"/>
      <c r="E3836" s="49"/>
      <c r="G3836" s="43"/>
      <c r="H3836" s="44"/>
      <c r="L3836" s="42"/>
      <c r="M3836" s="42"/>
      <c r="N3836" s="25"/>
      <c r="O3836" s="54"/>
      <c r="P3836"/>
      <c r="Q3836" s="25"/>
      <c r="R3836" s="54"/>
      <c r="W3836" s="23"/>
      <c r="X3836" s="23"/>
      <c r="Y3836" s="23"/>
      <c r="Z3836" s="43"/>
      <c r="AA3836" s="23"/>
      <c r="AB3836" s="23"/>
      <c r="AC3836" s="23"/>
      <c r="AD3836" s="23"/>
      <c r="AE3836" s="23"/>
      <c r="AF3836" s="23"/>
      <c r="AG3836" s="23"/>
      <c r="AH3836" s="23"/>
      <c r="AI3836" s="49"/>
    </row>
    <row r="3837" spans="1:35">
      <c r="A3837" s="23"/>
      <c r="B3837" s="42"/>
      <c r="C3837" s="49"/>
      <c r="E3837" s="49"/>
      <c r="G3837" s="43"/>
      <c r="H3837" s="44"/>
      <c r="L3837" s="42"/>
      <c r="M3837" s="42"/>
      <c r="N3837" s="25"/>
      <c r="O3837" s="54"/>
      <c r="P3837"/>
      <c r="Q3837" s="25"/>
      <c r="R3837" s="54"/>
      <c r="W3837" s="23"/>
      <c r="X3837" s="23"/>
      <c r="Y3837" s="23"/>
      <c r="Z3837" s="43"/>
      <c r="AA3837" s="23"/>
      <c r="AB3837" s="23"/>
      <c r="AC3837" s="23"/>
      <c r="AD3837" s="23"/>
      <c r="AE3837" s="23"/>
      <c r="AF3837" s="23"/>
      <c r="AG3837" s="23"/>
      <c r="AH3837" s="23"/>
      <c r="AI3837" s="49"/>
    </row>
    <row r="3838" spans="1:35">
      <c r="A3838" s="23"/>
      <c r="B3838" s="42"/>
      <c r="C3838" s="49"/>
      <c r="E3838" s="49"/>
      <c r="G3838" s="43"/>
      <c r="H3838" s="44"/>
      <c r="L3838" s="42"/>
      <c r="M3838" s="42"/>
      <c r="N3838" s="25"/>
      <c r="O3838" s="54"/>
      <c r="P3838"/>
      <c r="Q3838" s="25"/>
      <c r="R3838" s="54"/>
      <c r="W3838" s="23"/>
      <c r="X3838" s="23"/>
      <c r="Y3838" s="23"/>
      <c r="Z3838" s="43"/>
      <c r="AA3838" s="23"/>
      <c r="AB3838" s="23"/>
      <c r="AC3838" s="23"/>
      <c r="AD3838" s="23"/>
      <c r="AE3838" s="23"/>
      <c r="AF3838" s="23"/>
      <c r="AG3838" s="23"/>
      <c r="AH3838" s="23"/>
      <c r="AI3838" s="49"/>
    </row>
    <row r="3839" spans="1:35">
      <c r="A3839" s="23"/>
      <c r="B3839" s="42"/>
      <c r="C3839" s="49"/>
      <c r="E3839" s="49"/>
      <c r="G3839" s="43"/>
      <c r="H3839" s="44"/>
      <c r="L3839" s="42"/>
      <c r="M3839" s="42"/>
      <c r="N3839" s="25"/>
      <c r="O3839" s="54"/>
      <c r="P3839"/>
      <c r="Q3839" s="25"/>
      <c r="R3839" s="54"/>
      <c r="W3839" s="23"/>
      <c r="X3839" s="23"/>
      <c r="Y3839" s="23"/>
      <c r="Z3839" s="43"/>
      <c r="AA3839" s="23"/>
      <c r="AB3839" s="23"/>
      <c r="AC3839" s="23"/>
      <c r="AD3839" s="23"/>
      <c r="AE3839" s="23"/>
      <c r="AF3839" s="23"/>
      <c r="AG3839" s="23"/>
      <c r="AH3839" s="23"/>
      <c r="AI3839" s="49"/>
    </row>
    <row r="3840" spans="1:35">
      <c r="A3840" s="23"/>
      <c r="B3840" s="42"/>
      <c r="C3840" s="49"/>
      <c r="E3840" s="49"/>
      <c r="G3840" s="43"/>
      <c r="H3840" s="44"/>
      <c r="L3840" s="42"/>
      <c r="M3840" s="42"/>
      <c r="N3840" s="25"/>
      <c r="O3840" s="54"/>
      <c r="P3840"/>
      <c r="Q3840" s="25"/>
      <c r="R3840" s="54"/>
      <c r="W3840" s="23"/>
      <c r="X3840" s="23"/>
      <c r="Y3840" s="23"/>
      <c r="Z3840" s="43"/>
      <c r="AA3840" s="23"/>
      <c r="AB3840" s="23"/>
      <c r="AC3840" s="23"/>
      <c r="AD3840" s="23"/>
      <c r="AE3840" s="23"/>
      <c r="AF3840" s="23"/>
      <c r="AG3840" s="23"/>
      <c r="AH3840" s="23"/>
      <c r="AI3840" s="49"/>
    </row>
    <row r="3841" spans="1:35">
      <c r="A3841" s="23"/>
      <c r="B3841" s="42"/>
      <c r="C3841" s="49"/>
      <c r="E3841" s="49"/>
      <c r="G3841" s="43"/>
      <c r="H3841" s="44"/>
      <c r="L3841" s="42"/>
      <c r="M3841" s="42"/>
      <c r="N3841" s="25"/>
      <c r="O3841" s="54"/>
      <c r="P3841"/>
      <c r="Q3841" s="25"/>
      <c r="R3841" s="54"/>
      <c r="W3841" s="23"/>
      <c r="X3841" s="23"/>
      <c r="Y3841" s="23"/>
      <c r="Z3841" s="43"/>
      <c r="AA3841" s="23"/>
      <c r="AB3841" s="23"/>
      <c r="AC3841" s="23"/>
      <c r="AD3841" s="23"/>
      <c r="AE3841" s="23"/>
      <c r="AF3841" s="23"/>
      <c r="AG3841" s="23"/>
      <c r="AH3841" s="23"/>
      <c r="AI3841" s="49"/>
    </row>
    <row r="3842" spans="1:35">
      <c r="A3842" s="23"/>
      <c r="B3842" s="42"/>
      <c r="C3842" s="49"/>
      <c r="E3842" s="49"/>
      <c r="G3842" s="43"/>
      <c r="H3842" s="44"/>
      <c r="L3842" s="42"/>
      <c r="M3842" s="42"/>
      <c r="N3842" s="25"/>
      <c r="O3842" s="54"/>
      <c r="P3842"/>
      <c r="Q3842" s="25"/>
      <c r="R3842" s="54"/>
      <c r="W3842" s="23"/>
      <c r="X3842" s="23"/>
      <c r="Y3842" s="23"/>
      <c r="Z3842" s="43"/>
      <c r="AA3842" s="23"/>
      <c r="AB3842" s="23"/>
      <c r="AC3842" s="23"/>
      <c r="AD3842" s="23"/>
      <c r="AE3842" s="23"/>
      <c r="AF3842" s="23"/>
      <c r="AG3842" s="23"/>
      <c r="AH3842" s="23"/>
      <c r="AI3842" s="49"/>
    </row>
    <row r="3843" spans="1:35">
      <c r="A3843" s="23"/>
      <c r="B3843" s="42"/>
      <c r="C3843" s="49"/>
      <c r="E3843" s="49"/>
      <c r="G3843" s="43"/>
      <c r="H3843" s="44"/>
      <c r="L3843" s="42"/>
      <c r="M3843" s="42"/>
      <c r="N3843" s="25"/>
      <c r="O3843" s="54"/>
      <c r="P3843"/>
      <c r="Q3843" s="25"/>
      <c r="R3843" s="54"/>
      <c r="W3843" s="23"/>
      <c r="X3843" s="23"/>
      <c r="Y3843" s="23"/>
      <c r="Z3843" s="43"/>
      <c r="AA3843" s="23"/>
      <c r="AB3843" s="23"/>
      <c r="AC3843" s="23"/>
      <c r="AD3843" s="23"/>
      <c r="AE3843" s="23"/>
      <c r="AF3843" s="23"/>
      <c r="AG3843" s="23"/>
      <c r="AH3843" s="23"/>
      <c r="AI3843" s="49"/>
    </row>
    <row r="3844" spans="1:35">
      <c r="A3844" s="23"/>
      <c r="B3844" s="42"/>
      <c r="C3844" s="49"/>
      <c r="E3844" s="49"/>
      <c r="G3844" s="43"/>
      <c r="H3844" s="44"/>
      <c r="L3844" s="42"/>
      <c r="M3844" s="42"/>
      <c r="N3844" s="25"/>
      <c r="O3844" s="54"/>
      <c r="P3844"/>
      <c r="Q3844" s="25"/>
      <c r="R3844" s="54"/>
      <c r="W3844" s="23"/>
      <c r="X3844" s="23"/>
      <c r="Y3844" s="23"/>
      <c r="Z3844" s="43"/>
      <c r="AA3844" s="23"/>
      <c r="AB3844" s="23"/>
      <c r="AC3844" s="23"/>
      <c r="AD3844" s="23"/>
      <c r="AE3844" s="23"/>
      <c r="AF3844" s="23"/>
      <c r="AG3844" s="23"/>
      <c r="AH3844" s="23"/>
      <c r="AI3844" s="49"/>
    </row>
    <row r="3845" spans="1:35">
      <c r="A3845" s="23"/>
      <c r="B3845" s="42"/>
      <c r="C3845" s="49"/>
      <c r="E3845" s="49"/>
      <c r="G3845" s="43"/>
      <c r="H3845" s="44"/>
      <c r="L3845" s="42"/>
      <c r="M3845" s="42"/>
      <c r="N3845" s="25"/>
      <c r="O3845" s="54"/>
      <c r="P3845"/>
      <c r="Q3845" s="25"/>
      <c r="R3845" s="54"/>
      <c r="W3845" s="23"/>
      <c r="X3845" s="23"/>
      <c r="Y3845" s="23"/>
      <c r="Z3845" s="43"/>
      <c r="AA3845" s="23"/>
      <c r="AB3845" s="23"/>
      <c r="AC3845" s="23"/>
      <c r="AD3845" s="23"/>
      <c r="AE3845" s="23"/>
      <c r="AF3845" s="23"/>
      <c r="AG3845" s="23"/>
      <c r="AH3845" s="23"/>
      <c r="AI3845" s="49"/>
    </row>
    <row r="3846" spans="1:35">
      <c r="A3846" s="23"/>
      <c r="B3846" s="42"/>
      <c r="C3846" s="49"/>
      <c r="E3846" s="49"/>
      <c r="G3846" s="43"/>
      <c r="H3846" s="44"/>
      <c r="L3846" s="42"/>
      <c r="M3846" s="42"/>
      <c r="N3846" s="25"/>
      <c r="O3846" s="54"/>
      <c r="P3846"/>
      <c r="Q3846" s="25"/>
      <c r="R3846" s="54"/>
      <c r="W3846" s="23"/>
      <c r="X3846" s="23"/>
      <c r="Y3846" s="23"/>
      <c r="Z3846" s="43"/>
      <c r="AA3846" s="23"/>
      <c r="AB3846" s="23"/>
      <c r="AC3846" s="23"/>
      <c r="AD3846" s="23"/>
      <c r="AE3846" s="23"/>
      <c r="AF3846" s="23"/>
      <c r="AG3846" s="23"/>
      <c r="AH3846" s="23"/>
      <c r="AI3846" s="49"/>
    </row>
    <row r="3847" spans="1:35">
      <c r="A3847" s="23"/>
      <c r="B3847" s="42"/>
      <c r="C3847" s="49"/>
      <c r="E3847" s="49"/>
      <c r="G3847" s="43"/>
      <c r="H3847" s="44"/>
      <c r="L3847" s="42"/>
      <c r="M3847" s="42"/>
      <c r="N3847" s="25"/>
      <c r="O3847" s="54"/>
      <c r="P3847"/>
      <c r="Q3847" s="25"/>
      <c r="R3847" s="54"/>
      <c r="W3847" s="23"/>
      <c r="X3847" s="23"/>
      <c r="Y3847" s="23"/>
      <c r="Z3847" s="43"/>
      <c r="AA3847" s="23"/>
      <c r="AB3847" s="23"/>
      <c r="AC3847" s="23"/>
      <c r="AD3847" s="23"/>
      <c r="AE3847" s="23"/>
      <c r="AF3847" s="23"/>
      <c r="AG3847" s="23"/>
      <c r="AH3847" s="23"/>
      <c r="AI3847" s="49"/>
    </row>
    <row r="3848" spans="1:35">
      <c r="A3848" s="23"/>
      <c r="B3848" s="42"/>
      <c r="C3848" s="49"/>
      <c r="E3848" s="49"/>
      <c r="G3848" s="43"/>
      <c r="H3848" s="44"/>
      <c r="L3848" s="42"/>
      <c r="M3848" s="42"/>
      <c r="N3848" s="25"/>
      <c r="O3848" s="54"/>
      <c r="P3848"/>
      <c r="Q3848" s="25"/>
      <c r="R3848" s="54"/>
      <c r="W3848" s="23"/>
      <c r="X3848" s="23"/>
      <c r="Y3848" s="23"/>
      <c r="Z3848" s="43"/>
      <c r="AA3848" s="23"/>
      <c r="AB3848" s="23"/>
      <c r="AC3848" s="23"/>
      <c r="AD3848" s="23"/>
      <c r="AE3848" s="23"/>
      <c r="AF3848" s="23"/>
      <c r="AG3848" s="23"/>
      <c r="AH3848" s="23"/>
      <c r="AI3848" s="49"/>
    </row>
    <row r="3849" spans="1:35">
      <c r="A3849" s="23"/>
      <c r="B3849" s="42"/>
      <c r="C3849" s="49"/>
      <c r="E3849" s="49"/>
      <c r="G3849" s="43"/>
      <c r="H3849" s="44"/>
      <c r="L3849" s="42"/>
      <c r="M3849" s="42"/>
      <c r="N3849" s="25"/>
      <c r="O3849" s="54"/>
      <c r="P3849"/>
      <c r="Q3849" s="25"/>
      <c r="R3849" s="54"/>
      <c r="W3849" s="23"/>
      <c r="X3849" s="23"/>
      <c r="Y3849" s="23"/>
      <c r="Z3849" s="43"/>
      <c r="AA3849" s="23"/>
      <c r="AB3849" s="23"/>
      <c r="AC3849" s="23"/>
      <c r="AD3849" s="23"/>
      <c r="AE3849" s="23"/>
      <c r="AF3849" s="23"/>
      <c r="AG3849" s="23"/>
      <c r="AH3849" s="23"/>
      <c r="AI3849" s="49"/>
    </row>
    <row r="3850" spans="1:35">
      <c r="A3850" s="23"/>
      <c r="B3850" s="42"/>
      <c r="C3850" s="49"/>
      <c r="E3850" s="49"/>
      <c r="G3850" s="43"/>
      <c r="H3850" s="44"/>
      <c r="L3850" s="42"/>
      <c r="M3850" s="42"/>
      <c r="N3850" s="25"/>
      <c r="O3850" s="54"/>
      <c r="P3850"/>
      <c r="Q3850" s="25"/>
      <c r="R3850" s="54"/>
      <c r="W3850" s="23"/>
      <c r="X3850" s="23"/>
      <c r="Y3850" s="23"/>
      <c r="Z3850" s="43"/>
      <c r="AA3850" s="23"/>
      <c r="AB3850" s="23"/>
      <c r="AC3850" s="23"/>
      <c r="AD3850" s="23"/>
      <c r="AE3850" s="23"/>
      <c r="AF3850" s="23"/>
      <c r="AG3850" s="23"/>
      <c r="AH3850" s="23"/>
      <c r="AI3850" s="49"/>
    </row>
    <row r="3851" spans="1:35">
      <c r="A3851" s="23"/>
      <c r="B3851" s="42"/>
      <c r="C3851" s="49"/>
      <c r="E3851" s="49"/>
      <c r="G3851" s="43"/>
      <c r="H3851" s="44"/>
      <c r="L3851" s="42"/>
      <c r="M3851" s="42"/>
      <c r="N3851" s="25"/>
      <c r="O3851" s="54"/>
      <c r="P3851"/>
      <c r="Q3851" s="25"/>
      <c r="R3851" s="54"/>
      <c r="W3851" s="23"/>
      <c r="X3851" s="23"/>
      <c r="Y3851" s="23"/>
      <c r="Z3851" s="43"/>
      <c r="AA3851" s="23"/>
      <c r="AB3851" s="23"/>
      <c r="AC3851" s="23"/>
      <c r="AD3851" s="23"/>
      <c r="AE3851" s="23"/>
      <c r="AF3851" s="23"/>
      <c r="AG3851" s="23"/>
      <c r="AH3851" s="23"/>
      <c r="AI3851" s="49"/>
    </row>
    <row r="3852" spans="1:35">
      <c r="A3852" s="23"/>
      <c r="B3852" s="42"/>
      <c r="C3852" s="49"/>
      <c r="E3852" s="49"/>
      <c r="G3852" s="43"/>
      <c r="H3852" s="44"/>
      <c r="L3852" s="42"/>
      <c r="M3852" s="42"/>
      <c r="N3852" s="25"/>
      <c r="O3852" s="54"/>
      <c r="P3852"/>
      <c r="Q3852" s="25"/>
      <c r="R3852" s="54"/>
      <c r="W3852" s="23"/>
      <c r="X3852" s="23"/>
      <c r="Y3852" s="23"/>
      <c r="Z3852" s="43"/>
      <c r="AA3852" s="23"/>
      <c r="AB3852" s="23"/>
      <c r="AC3852" s="23"/>
      <c r="AD3852" s="23"/>
      <c r="AE3852" s="23"/>
      <c r="AF3852" s="23"/>
      <c r="AG3852" s="23"/>
      <c r="AH3852" s="23"/>
      <c r="AI3852" s="49"/>
    </row>
    <row r="3853" spans="1:35">
      <c r="A3853" s="23"/>
      <c r="B3853" s="42"/>
      <c r="C3853" s="49"/>
      <c r="E3853" s="49"/>
      <c r="G3853" s="43"/>
      <c r="H3853" s="44"/>
      <c r="L3853" s="42"/>
      <c r="M3853" s="42"/>
      <c r="N3853" s="25"/>
      <c r="O3853" s="54"/>
      <c r="P3853"/>
      <c r="Q3853" s="25"/>
      <c r="R3853" s="54"/>
      <c r="W3853" s="23"/>
      <c r="X3853" s="23"/>
      <c r="Y3853" s="23"/>
      <c r="Z3853" s="43"/>
      <c r="AA3853" s="23"/>
      <c r="AB3853" s="23"/>
      <c r="AC3853" s="23"/>
      <c r="AD3853" s="23"/>
      <c r="AE3853" s="23"/>
      <c r="AF3853" s="23"/>
      <c r="AG3853" s="23"/>
      <c r="AH3853" s="23"/>
      <c r="AI3853" s="49"/>
    </row>
    <row r="3854" spans="1:35">
      <c r="A3854" s="23"/>
      <c r="B3854" s="42"/>
      <c r="C3854" s="49"/>
      <c r="E3854" s="49"/>
      <c r="G3854" s="43"/>
      <c r="H3854" s="44"/>
      <c r="L3854" s="42"/>
      <c r="M3854" s="42"/>
      <c r="N3854" s="25"/>
      <c r="O3854" s="54"/>
      <c r="P3854"/>
      <c r="Q3854" s="25"/>
      <c r="R3854" s="54"/>
      <c r="W3854" s="23"/>
      <c r="X3854" s="23"/>
      <c r="Y3854" s="23"/>
      <c r="Z3854" s="43"/>
      <c r="AA3854" s="23"/>
      <c r="AB3854" s="23"/>
      <c r="AC3854" s="23"/>
      <c r="AD3854" s="23"/>
      <c r="AE3854" s="23"/>
      <c r="AF3854" s="23"/>
      <c r="AG3854" s="23"/>
      <c r="AH3854" s="23"/>
      <c r="AI3854" s="49"/>
    </row>
    <row r="3855" spans="1:35">
      <c r="A3855" s="23"/>
      <c r="B3855" s="42"/>
      <c r="C3855" s="49"/>
      <c r="E3855" s="49"/>
      <c r="G3855" s="43"/>
      <c r="H3855" s="44"/>
      <c r="L3855" s="42"/>
      <c r="M3855" s="42"/>
      <c r="N3855" s="25"/>
      <c r="O3855" s="54"/>
      <c r="P3855"/>
      <c r="Q3855" s="25"/>
      <c r="R3855" s="54"/>
      <c r="W3855" s="23"/>
      <c r="X3855" s="23"/>
      <c r="Y3855" s="23"/>
      <c r="Z3855" s="43"/>
      <c r="AA3855" s="23"/>
      <c r="AB3855" s="23"/>
      <c r="AC3855" s="23"/>
      <c r="AD3855" s="23"/>
      <c r="AE3855" s="23"/>
      <c r="AF3855" s="23"/>
      <c r="AG3855" s="23"/>
      <c r="AH3855" s="23"/>
      <c r="AI3855" s="49"/>
    </row>
    <row r="3856" spans="1:35">
      <c r="A3856" s="23"/>
      <c r="B3856" s="42"/>
      <c r="C3856" s="49"/>
      <c r="E3856" s="49"/>
      <c r="G3856" s="43"/>
      <c r="H3856" s="44"/>
      <c r="L3856" s="42"/>
      <c r="M3856" s="42"/>
      <c r="N3856" s="25"/>
      <c r="O3856" s="54"/>
      <c r="P3856"/>
      <c r="Q3856" s="25"/>
      <c r="R3856" s="54"/>
      <c r="W3856" s="23"/>
      <c r="X3856" s="23"/>
      <c r="Y3856" s="23"/>
      <c r="Z3856" s="43"/>
      <c r="AA3856" s="23"/>
      <c r="AB3856" s="23"/>
      <c r="AC3856" s="23"/>
      <c r="AD3856" s="23"/>
      <c r="AE3856" s="23"/>
      <c r="AF3856" s="23"/>
      <c r="AG3856" s="23"/>
      <c r="AH3856" s="23"/>
      <c r="AI3856" s="49"/>
    </row>
    <row r="3857" spans="1:35">
      <c r="A3857" s="23"/>
      <c r="B3857" s="42"/>
      <c r="C3857" s="49"/>
      <c r="E3857" s="49"/>
      <c r="G3857" s="43"/>
      <c r="H3857" s="44"/>
      <c r="L3857" s="42"/>
      <c r="M3857" s="42"/>
      <c r="N3857" s="25"/>
      <c r="O3857" s="54"/>
      <c r="P3857"/>
      <c r="Q3857" s="25"/>
      <c r="R3857" s="54"/>
      <c r="W3857" s="23"/>
      <c r="X3857" s="23"/>
      <c r="Y3857" s="23"/>
      <c r="Z3857" s="43"/>
      <c r="AA3857" s="23"/>
      <c r="AB3857" s="23"/>
      <c r="AC3857" s="23"/>
      <c r="AD3857" s="23"/>
      <c r="AE3857" s="23"/>
      <c r="AF3857" s="23"/>
      <c r="AG3857" s="23"/>
      <c r="AH3857" s="23"/>
      <c r="AI3857" s="49"/>
    </row>
    <row r="3858" spans="1:35">
      <c r="A3858" s="23"/>
      <c r="B3858" s="42"/>
      <c r="C3858" s="49"/>
      <c r="E3858" s="49"/>
      <c r="G3858" s="43"/>
      <c r="H3858" s="44"/>
      <c r="L3858" s="42"/>
      <c r="M3858" s="42"/>
      <c r="N3858" s="25"/>
      <c r="O3858" s="54"/>
      <c r="P3858"/>
      <c r="Q3858" s="25"/>
      <c r="R3858" s="54"/>
      <c r="W3858" s="23"/>
      <c r="X3858" s="23"/>
      <c r="Y3858" s="23"/>
      <c r="Z3858" s="43"/>
      <c r="AA3858" s="23"/>
      <c r="AB3858" s="23"/>
      <c r="AC3858" s="23"/>
      <c r="AD3858" s="23"/>
      <c r="AE3858" s="23"/>
      <c r="AF3858" s="23"/>
      <c r="AG3858" s="23"/>
      <c r="AH3858" s="23"/>
      <c r="AI3858" s="49"/>
    </row>
    <row r="3859" spans="1:35">
      <c r="A3859" s="23"/>
      <c r="B3859" s="42"/>
      <c r="C3859" s="49"/>
      <c r="E3859" s="49"/>
      <c r="G3859" s="43"/>
      <c r="H3859" s="44"/>
      <c r="L3859" s="42"/>
      <c r="M3859" s="42"/>
      <c r="N3859" s="25"/>
      <c r="O3859" s="54"/>
      <c r="P3859"/>
      <c r="Q3859" s="25"/>
      <c r="R3859" s="54"/>
      <c r="W3859" s="23"/>
      <c r="X3859" s="23"/>
      <c r="Y3859" s="23"/>
      <c r="Z3859" s="43"/>
      <c r="AA3859" s="23"/>
      <c r="AB3859" s="23"/>
      <c r="AC3859" s="23"/>
      <c r="AD3859" s="23"/>
      <c r="AE3859" s="23"/>
      <c r="AF3859" s="23"/>
      <c r="AG3859" s="23"/>
      <c r="AH3859" s="23"/>
      <c r="AI3859" s="49"/>
    </row>
    <row r="3860" spans="1:35">
      <c r="A3860" s="23"/>
      <c r="B3860" s="42"/>
      <c r="C3860" s="49"/>
      <c r="E3860" s="49"/>
      <c r="G3860" s="43"/>
      <c r="H3860" s="44"/>
      <c r="L3860" s="42"/>
      <c r="M3860" s="42"/>
      <c r="N3860" s="25"/>
      <c r="O3860" s="54"/>
      <c r="P3860"/>
      <c r="Q3860" s="25"/>
      <c r="R3860" s="54"/>
      <c r="W3860" s="23"/>
      <c r="X3860" s="23"/>
      <c r="Y3860" s="23"/>
      <c r="Z3860" s="43"/>
      <c r="AA3860" s="23"/>
      <c r="AB3860" s="23"/>
      <c r="AC3860" s="23"/>
      <c r="AD3860" s="23"/>
      <c r="AE3860" s="23"/>
      <c r="AF3860" s="23"/>
      <c r="AG3860" s="23"/>
      <c r="AH3860" s="23"/>
      <c r="AI3860" s="49"/>
    </row>
    <row r="3861" spans="1:35">
      <c r="A3861" s="23"/>
      <c r="B3861" s="42"/>
      <c r="C3861" s="49"/>
      <c r="E3861" s="49"/>
      <c r="G3861" s="43"/>
      <c r="H3861" s="44"/>
      <c r="L3861" s="42"/>
      <c r="M3861" s="42"/>
      <c r="N3861" s="25"/>
      <c r="O3861" s="54"/>
      <c r="P3861"/>
      <c r="Q3861" s="25"/>
      <c r="R3861" s="54"/>
      <c r="W3861" s="23"/>
      <c r="X3861" s="23"/>
      <c r="Y3861" s="23"/>
      <c r="Z3861" s="43"/>
      <c r="AA3861" s="23"/>
      <c r="AB3861" s="23"/>
      <c r="AC3861" s="23"/>
      <c r="AD3861" s="23"/>
      <c r="AE3861" s="23"/>
      <c r="AF3861" s="23"/>
      <c r="AG3861" s="23"/>
      <c r="AH3861" s="23"/>
      <c r="AI3861" s="49"/>
    </row>
    <row r="3862" spans="1:35">
      <c r="A3862" s="23"/>
      <c r="B3862" s="42"/>
      <c r="C3862" s="49"/>
      <c r="E3862" s="49"/>
      <c r="G3862" s="43"/>
      <c r="H3862" s="44"/>
      <c r="L3862" s="42"/>
      <c r="M3862" s="42"/>
      <c r="N3862" s="25"/>
      <c r="O3862" s="54"/>
      <c r="P3862"/>
      <c r="Q3862" s="25"/>
      <c r="R3862" s="54"/>
      <c r="W3862" s="23"/>
      <c r="X3862" s="23"/>
      <c r="Y3862" s="23"/>
      <c r="Z3862" s="43"/>
      <c r="AA3862" s="23"/>
      <c r="AB3862" s="23"/>
      <c r="AC3862" s="23"/>
      <c r="AD3862" s="23"/>
      <c r="AE3862" s="23"/>
      <c r="AF3862" s="23"/>
      <c r="AG3862" s="23"/>
      <c r="AH3862" s="23"/>
      <c r="AI3862" s="49"/>
    </row>
    <row r="3863" spans="1:35">
      <c r="A3863" s="23"/>
      <c r="B3863" s="42"/>
      <c r="C3863" s="49"/>
      <c r="E3863" s="49"/>
      <c r="G3863" s="43"/>
      <c r="H3863" s="44"/>
      <c r="L3863" s="42"/>
      <c r="M3863" s="42"/>
      <c r="N3863" s="25"/>
      <c r="O3863" s="54"/>
      <c r="P3863"/>
      <c r="Q3863" s="25"/>
      <c r="R3863" s="54"/>
      <c r="W3863" s="23"/>
      <c r="X3863" s="23"/>
      <c r="Y3863" s="23"/>
      <c r="Z3863" s="43"/>
      <c r="AA3863" s="23"/>
      <c r="AB3863" s="23"/>
      <c r="AC3863" s="23"/>
      <c r="AD3863" s="23"/>
      <c r="AE3863" s="23"/>
      <c r="AF3863" s="23"/>
      <c r="AG3863" s="23"/>
      <c r="AH3863" s="23"/>
      <c r="AI3863" s="49"/>
    </row>
    <row r="3864" spans="1:35">
      <c r="A3864" s="23"/>
      <c r="B3864" s="42"/>
      <c r="C3864" s="49"/>
      <c r="E3864" s="49"/>
      <c r="G3864" s="43"/>
      <c r="H3864" s="44"/>
      <c r="L3864" s="42"/>
      <c r="M3864" s="42"/>
      <c r="N3864" s="25"/>
      <c r="O3864" s="54"/>
      <c r="P3864"/>
      <c r="Q3864" s="25"/>
      <c r="R3864" s="54"/>
      <c r="W3864" s="23"/>
      <c r="X3864" s="23"/>
      <c r="Y3864" s="23"/>
      <c r="Z3864" s="43"/>
      <c r="AA3864" s="23"/>
      <c r="AB3864" s="23"/>
      <c r="AC3864" s="23"/>
      <c r="AD3864" s="23"/>
      <c r="AE3864" s="23"/>
      <c r="AF3864" s="23"/>
      <c r="AG3864" s="23"/>
      <c r="AH3864" s="23"/>
      <c r="AI3864" s="49"/>
    </row>
    <row r="3865" spans="1:35">
      <c r="A3865" s="23"/>
      <c r="B3865" s="42"/>
      <c r="C3865" s="49"/>
      <c r="E3865" s="49"/>
      <c r="G3865" s="43"/>
      <c r="H3865" s="44"/>
      <c r="L3865" s="42"/>
      <c r="M3865" s="42"/>
      <c r="N3865" s="25"/>
      <c r="O3865" s="54"/>
      <c r="P3865"/>
      <c r="Q3865" s="25"/>
      <c r="R3865" s="54"/>
      <c r="W3865" s="23"/>
      <c r="X3865" s="23"/>
      <c r="Y3865" s="23"/>
      <c r="Z3865" s="43"/>
      <c r="AA3865" s="23"/>
      <c r="AB3865" s="23"/>
      <c r="AC3865" s="23"/>
      <c r="AD3865" s="23"/>
      <c r="AE3865" s="23"/>
      <c r="AF3865" s="23"/>
      <c r="AG3865" s="23"/>
      <c r="AH3865" s="23"/>
      <c r="AI3865" s="49"/>
    </row>
    <row r="3866" spans="1:35">
      <c r="A3866" s="23"/>
      <c r="B3866" s="42"/>
      <c r="C3866" s="49"/>
      <c r="E3866" s="49"/>
      <c r="G3866" s="43"/>
      <c r="H3866" s="44"/>
      <c r="L3866" s="42"/>
      <c r="M3866" s="42"/>
      <c r="N3866" s="25"/>
      <c r="O3866" s="54"/>
      <c r="P3866"/>
      <c r="Q3866" s="25"/>
      <c r="R3866" s="54"/>
      <c r="W3866" s="23"/>
      <c r="X3866" s="23"/>
      <c r="Y3866" s="23"/>
      <c r="Z3866" s="43"/>
      <c r="AA3866" s="23"/>
      <c r="AB3866" s="23"/>
      <c r="AC3866" s="23"/>
      <c r="AD3866" s="23"/>
      <c r="AE3866" s="23"/>
      <c r="AF3866" s="23"/>
      <c r="AG3866" s="23"/>
      <c r="AH3866" s="23"/>
      <c r="AI3866" s="49"/>
    </row>
    <row r="3867" spans="1:35">
      <c r="A3867" s="23"/>
      <c r="B3867" s="42"/>
      <c r="C3867" s="49"/>
      <c r="E3867" s="49"/>
      <c r="G3867" s="43"/>
      <c r="H3867" s="44"/>
      <c r="L3867" s="42"/>
      <c r="M3867" s="42"/>
      <c r="N3867" s="25"/>
      <c r="O3867" s="54"/>
      <c r="P3867"/>
      <c r="Q3867" s="25"/>
      <c r="R3867" s="54"/>
      <c r="W3867" s="23"/>
      <c r="X3867" s="23"/>
      <c r="Y3867" s="23"/>
      <c r="Z3867" s="43"/>
      <c r="AA3867" s="23"/>
      <c r="AB3867" s="23"/>
      <c r="AC3867" s="23"/>
      <c r="AD3867" s="23"/>
      <c r="AE3867" s="23"/>
      <c r="AF3867" s="23"/>
      <c r="AG3867" s="23"/>
      <c r="AH3867" s="23"/>
      <c r="AI3867" s="49"/>
    </row>
    <row r="3868" spans="1:35">
      <c r="A3868" s="23"/>
      <c r="B3868" s="42"/>
      <c r="C3868" s="49"/>
      <c r="E3868" s="49"/>
      <c r="G3868" s="43"/>
      <c r="H3868" s="44"/>
      <c r="L3868" s="42"/>
      <c r="M3868" s="42"/>
      <c r="N3868" s="25"/>
      <c r="O3868" s="54"/>
      <c r="P3868"/>
      <c r="Q3868" s="25"/>
      <c r="R3868" s="54"/>
      <c r="W3868" s="23"/>
      <c r="X3868" s="23"/>
      <c r="Y3868" s="23"/>
      <c r="Z3868" s="43"/>
      <c r="AA3868" s="23"/>
      <c r="AB3868" s="23"/>
      <c r="AC3868" s="23"/>
      <c r="AD3868" s="23"/>
      <c r="AE3868" s="23"/>
      <c r="AF3868" s="23"/>
      <c r="AG3868" s="23"/>
      <c r="AH3868" s="23"/>
      <c r="AI3868" s="49"/>
    </row>
    <row r="3869" spans="1:35">
      <c r="A3869" s="23"/>
      <c r="B3869" s="42"/>
      <c r="C3869" s="49"/>
      <c r="E3869" s="49"/>
      <c r="G3869" s="43"/>
      <c r="H3869" s="44"/>
      <c r="L3869" s="42"/>
      <c r="M3869" s="42"/>
      <c r="N3869" s="25"/>
      <c r="O3869" s="54"/>
      <c r="P3869"/>
      <c r="Q3869" s="25"/>
      <c r="R3869" s="54"/>
      <c r="W3869" s="23"/>
      <c r="X3869" s="23"/>
      <c r="Y3869" s="23"/>
      <c r="Z3869" s="43"/>
      <c r="AA3869" s="23"/>
      <c r="AB3869" s="23"/>
      <c r="AC3869" s="23"/>
      <c r="AD3869" s="23"/>
      <c r="AE3869" s="23"/>
      <c r="AF3869" s="23"/>
      <c r="AG3869" s="23"/>
      <c r="AH3869" s="23"/>
      <c r="AI3869" s="49"/>
    </row>
    <row r="3870" spans="1:35">
      <c r="A3870" s="23"/>
      <c r="B3870" s="42"/>
      <c r="C3870" s="49"/>
      <c r="E3870" s="49"/>
      <c r="G3870" s="43"/>
      <c r="H3870" s="44"/>
      <c r="L3870" s="42"/>
      <c r="M3870" s="42"/>
      <c r="N3870" s="25"/>
      <c r="O3870" s="54"/>
      <c r="P3870"/>
      <c r="Q3870" s="25"/>
      <c r="R3870" s="54"/>
      <c r="W3870" s="23"/>
      <c r="X3870" s="23"/>
      <c r="Y3870" s="23"/>
      <c r="Z3870" s="43"/>
      <c r="AA3870" s="23"/>
      <c r="AB3870" s="23"/>
      <c r="AC3870" s="23"/>
      <c r="AD3870" s="23"/>
      <c r="AE3870" s="23"/>
      <c r="AF3870" s="23"/>
      <c r="AG3870" s="23"/>
      <c r="AH3870" s="23"/>
      <c r="AI3870" s="49"/>
    </row>
    <row r="3871" spans="1:35">
      <c r="A3871" s="23"/>
      <c r="B3871" s="42"/>
      <c r="C3871" s="49"/>
      <c r="E3871" s="49"/>
      <c r="G3871" s="43"/>
      <c r="H3871" s="44"/>
      <c r="L3871" s="42"/>
      <c r="M3871" s="42"/>
      <c r="N3871" s="25"/>
      <c r="O3871" s="54"/>
      <c r="P3871"/>
      <c r="Q3871" s="25"/>
      <c r="R3871" s="54"/>
      <c r="W3871" s="23"/>
      <c r="X3871" s="23"/>
      <c r="Y3871" s="23"/>
      <c r="Z3871" s="43"/>
      <c r="AA3871" s="23"/>
      <c r="AB3871" s="23"/>
      <c r="AC3871" s="23"/>
      <c r="AD3871" s="23"/>
      <c r="AE3871" s="23"/>
      <c r="AF3871" s="23"/>
      <c r="AG3871" s="23"/>
      <c r="AH3871" s="23"/>
      <c r="AI3871" s="49"/>
    </row>
    <row r="3872" spans="1:35">
      <c r="A3872" s="23"/>
      <c r="B3872" s="42"/>
      <c r="C3872" s="49"/>
      <c r="E3872" s="49"/>
      <c r="G3872" s="43"/>
      <c r="H3872" s="44"/>
      <c r="L3872" s="42"/>
      <c r="M3872" s="42"/>
      <c r="N3872" s="25"/>
      <c r="O3872" s="54"/>
      <c r="P3872"/>
      <c r="Q3872" s="25"/>
      <c r="R3872" s="54"/>
      <c r="W3872" s="23"/>
      <c r="X3872" s="23"/>
      <c r="Y3872" s="23"/>
      <c r="Z3872" s="43"/>
      <c r="AA3872" s="23"/>
      <c r="AB3872" s="23"/>
      <c r="AC3872" s="23"/>
      <c r="AD3872" s="23"/>
      <c r="AE3872" s="23"/>
      <c r="AF3872" s="23"/>
      <c r="AG3872" s="23"/>
      <c r="AH3872" s="23"/>
      <c r="AI3872" s="49"/>
    </row>
    <row r="3873" spans="1:35">
      <c r="A3873" s="23"/>
      <c r="B3873" s="42"/>
      <c r="C3873" s="49"/>
      <c r="E3873" s="49"/>
      <c r="G3873" s="43"/>
      <c r="H3873" s="44"/>
      <c r="L3873" s="42"/>
      <c r="M3873" s="42"/>
      <c r="N3873" s="25"/>
      <c r="O3873" s="54"/>
      <c r="P3873"/>
      <c r="Q3873" s="25"/>
      <c r="R3873" s="54"/>
      <c r="W3873" s="23"/>
      <c r="X3873" s="23"/>
      <c r="Y3873" s="23"/>
      <c r="Z3873" s="43"/>
      <c r="AA3873" s="23"/>
      <c r="AB3873" s="23"/>
      <c r="AC3873" s="23"/>
      <c r="AD3873" s="23"/>
      <c r="AE3873" s="23"/>
      <c r="AF3873" s="23"/>
      <c r="AG3873" s="23"/>
      <c r="AH3873" s="23"/>
      <c r="AI3873" s="49"/>
    </row>
    <row r="3874" spans="1:35">
      <c r="A3874" s="23"/>
      <c r="B3874" s="42"/>
      <c r="C3874" s="49"/>
      <c r="E3874" s="49"/>
      <c r="G3874" s="43"/>
      <c r="H3874" s="44"/>
      <c r="L3874" s="42"/>
      <c r="M3874" s="42"/>
      <c r="N3874" s="25"/>
      <c r="O3874" s="54"/>
      <c r="P3874"/>
      <c r="Q3874" s="25"/>
      <c r="R3874" s="54"/>
      <c r="W3874" s="23"/>
      <c r="X3874" s="23"/>
      <c r="Y3874" s="23"/>
      <c r="Z3874" s="43"/>
      <c r="AA3874" s="23"/>
      <c r="AB3874" s="23"/>
      <c r="AC3874" s="23"/>
      <c r="AD3874" s="23"/>
      <c r="AE3874" s="23"/>
      <c r="AF3874" s="23"/>
      <c r="AG3874" s="23"/>
      <c r="AH3874" s="23"/>
      <c r="AI3874" s="49"/>
    </row>
    <row r="3875" spans="1:35">
      <c r="A3875" s="23"/>
      <c r="B3875" s="42"/>
      <c r="C3875" s="49"/>
      <c r="E3875" s="49"/>
      <c r="G3875" s="43"/>
      <c r="H3875" s="44"/>
      <c r="L3875" s="42"/>
      <c r="M3875" s="42"/>
      <c r="N3875" s="25"/>
      <c r="O3875" s="54"/>
      <c r="P3875"/>
      <c r="Q3875" s="25"/>
      <c r="R3875" s="54"/>
      <c r="W3875" s="23"/>
      <c r="X3875" s="23"/>
      <c r="Y3875" s="23"/>
      <c r="Z3875" s="43"/>
      <c r="AA3875" s="23"/>
      <c r="AB3875" s="23"/>
      <c r="AC3875" s="23"/>
      <c r="AD3875" s="23"/>
      <c r="AE3875" s="23"/>
      <c r="AF3875" s="23"/>
      <c r="AG3875" s="23"/>
      <c r="AH3875" s="23"/>
      <c r="AI3875" s="49"/>
    </row>
    <row r="3876" spans="1:35">
      <c r="A3876" s="23"/>
      <c r="B3876" s="42"/>
      <c r="C3876" s="49"/>
      <c r="E3876" s="49"/>
      <c r="G3876" s="43"/>
      <c r="H3876" s="44"/>
      <c r="L3876" s="42"/>
      <c r="M3876" s="42"/>
      <c r="N3876" s="25"/>
      <c r="O3876" s="54"/>
      <c r="P3876"/>
      <c r="Q3876" s="25"/>
      <c r="R3876" s="54"/>
      <c r="W3876" s="23"/>
      <c r="X3876" s="23"/>
      <c r="Y3876" s="23"/>
      <c r="Z3876" s="43"/>
      <c r="AA3876" s="23"/>
      <c r="AB3876" s="23"/>
      <c r="AC3876" s="23"/>
      <c r="AD3876" s="23"/>
      <c r="AE3876" s="23"/>
      <c r="AF3876" s="23"/>
      <c r="AG3876" s="23"/>
      <c r="AH3876" s="23"/>
      <c r="AI3876" s="49"/>
    </row>
    <row r="3877" spans="1:35">
      <c r="A3877" s="23"/>
      <c r="B3877" s="42"/>
      <c r="C3877" s="49"/>
      <c r="E3877" s="49"/>
      <c r="G3877" s="43"/>
      <c r="H3877" s="44"/>
      <c r="L3877" s="42"/>
      <c r="M3877" s="42"/>
      <c r="N3877" s="25"/>
      <c r="O3877" s="54"/>
      <c r="P3877"/>
      <c r="Q3877" s="25"/>
      <c r="R3877" s="54"/>
      <c r="W3877" s="23"/>
      <c r="X3877" s="23"/>
      <c r="Y3877" s="23"/>
      <c r="Z3877" s="43"/>
      <c r="AA3877" s="23"/>
      <c r="AB3877" s="23"/>
      <c r="AC3877" s="23"/>
      <c r="AD3877" s="23"/>
      <c r="AE3877" s="23"/>
      <c r="AF3877" s="23"/>
      <c r="AG3877" s="23"/>
      <c r="AH3877" s="23"/>
      <c r="AI3877" s="49"/>
    </row>
    <row r="3878" spans="1:35">
      <c r="A3878" s="23"/>
      <c r="B3878" s="42"/>
      <c r="C3878" s="49"/>
      <c r="E3878" s="49"/>
      <c r="G3878" s="43"/>
      <c r="H3878" s="44"/>
      <c r="L3878" s="42"/>
      <c r="M3878" s="42"/>
      <c r="N3878" s="25"/>
      <c r="O3878" s="54"/>
      <c r="P3878"/>
      <c r="Q3878" s="25"/>
      <c r="R3878" s="54"/>
      <c r="W3878" s="23"/>
      <c r="X3878" s="23"/>
      <c r="Y3878" s="23"/>
      <c r="Z3878" s="43"/>
      <c r="AA3878" s="23"/>
      <c r="AB3878" s="23"/>
      <c r="AC3878" s="23"/>
      <c r="AD3878" s="23"/>
      <c r="AE3878" s="23"/>
      <c r="AF3878" s="23"/>
      <c r="AG3878" s="23"/>
      <c r="AH3878" s="23"/>
      <c r="AI3878" s="49"/>
    </row>
    <row r="3879" spans="1:35">
      <c r="A3879" s="23"/>
      <c r="B3879" s="42"/>
      <c r="C3879" s="49"/>
      <c r="E3879" s="49"/>
      <c r="G3879" s="43"/>
      <c r="H3879" s="44"/>
      <c r="L3879" s="42"/>
      <c r="M3879" s="42"/>
      <c r="N3879" s="25"/>
      <c r="O3879" s="54"/>
      <c r="P3879"/>
      <c r="Q3879" s="25"/>
      <c r="R3879" s="54"/>
      <c r="W3879" s="23"/>
      <c r="X3879" s="23"/>
      <c r="Y3879" s="23"/>
      <c r="Z3879" s="43"/>
      <c r="AA3879" s="23"/>
      <c r="AB3879" s="23"/>
      <c r="AC3879" s="23"/>
      <c r="AD3879" s="23"/>
      <c r="AE3879" s="23"/>
      <c r="AF3879" s="23"/>
      <c r="AG3879" s="23"/>
      <c r="AH3879" s="23"/>
      <c r="AI3879" s="49"/>
    </row>
    <row r="3880" spans="1:35">
      <c r="A3880" s="23"/>
      <c r="B3880" s="42"/>
      <c r="C3880" s="49"/>
      <c r="E3880" s="49"/>
      <c r="G3880" s="43"/>
      <c r="H3880" s="44"/>
      <c r="L3880" s="42"/>
      <c r="M3880" s="42"/>
      <c r="N3880" s="25"/>
      <c r="O3880" s="54"/>
      <c r="P3880"/>
      <c r="Q3880" s="25"/>
      <c r="R3880" s="54"/>
      <c r="W3880" s="23"/>
      <c r="X3880" s="23"/>
      <c r="Y3880" s="23"/>
      <c r="Z3880" s="43"/>
      <c r="AA3880" s="23"/>
      <c r="AB3880" s="23"/>
      <c r="AC3880" s="23"/>
      <c r="AD3880" s="23"/>
      <c r="AE3880" s="23"/>
      <c r="AF3880" s="23"/>
      <c r="AG3880" s="23"/>
      <c r="AH3880" s="23"/>
      <c r="AI3880" s="49"/>
    </row>
    <row r="3881" spans="1:35">
      <c r="A3881" s="23"/>
      <c r="B3881" s="42"/>
      <c r="C3881" s="49"/>
      <c r="E3881" s="49"/>
      <c r="G3881" s="43"/>
      <c r="H3881" s="44"/>
      <c r="L3881" s="42"/>
      <c r="M3881" s="42"/>
      <c r="N3881" s="25"/>
      <c r="O3881" s="54"/>
      <c r="P3881"/>
      <c r="Q3881" s="25"/>
      <c r="R3881" s="54"/>
      <c r="W3881" s="23"/>
      <c r="X3881" s="23"/>
      <c r="Y3881" s="23"/>
      <c r="Z3881" s="43"/>
      <c r="AA3881" s="23"/>
      <c r="AB3881" s="23"/>
      <c r="AC3881" s="23"/>
      <c r="AD3881" s="23"/>
      <c r="AE3881" s="23"/>
      <c r="AF3881" s="23"/>
      <c r="AG3881" s="23"/>
      <c r="AH3881" s="23"/>
      <c r="AI3881" s="49"/>
    </row>
    <row r="3882" spans="1:35">
      <c r="A3882" s="23"/>
      <c r="B3882" s="42"/>
      <c r="C3882" s="49"/>
      <c r="E3882" s="49"/>
      <c r="G3882" s="43"/>
      <c r="H3882" s="44"/>
      <c r="L3882" s="42"/>
      <c r="M3882" s="42"/>
      <c r="N3882" s="25"/>
      <c r="O3882" s="54"/>
      <c r="P3882"/>
      <c r="Q3882" s="25"/>
      <c r="R3882" s="54"/>
      <c r="W3882" s="23"/>
      <c r="X3882" s="23"/>
      <c r="Y3882" s="23"/>
      <c r="Z3882" s="43"/>
      <c r="AA3882" s="23"/>
      <c r="AB3882" s="23"/>
      <c r="AC3882" s="23"/>
      <c r="AD3882" s="23"/>
      <c r="AE3882" s="23"/>
      <c r="AF3882" s="23"/>
      <c r="AG3882" s="23"/>
      <c r="AH3882" s="23"/>
      <c r="AI3882" s="49"/>
    </row>
    <row r="3883" spans="1:35">
      <c r="A3883" s="23"/>
      <c r="B3883" s="42"/>
      <c r="C3883" s="49"/>
      <c r="E3883" s="49"/>
      <c r="G3883" s="43"/>
      <c r="H3883" s="44"/>
      <c r="L3883" s="42"/>
      <c r="M3883" s="42"/>
      <c r="N3883" s="25"/>
      <c r="O3883" s="54"/>
      <c r="P3883"/>
      <c r="Q3883" s="25"/>
      <c r="R3883" s="54"/>
      <c r="W3883" s="23"/>
      <c r="X3883" s="23"/>
      <c r="Y3883" s="23"/>
      <c r="Z3883" s="43"/>
      <c r="AA3883" s="23"/>
      <c r="AB3883" s="23"/>
      <c r="AC3883" s="23"/>
      <c r="AD3883" s="23"/>
      <c r="AE3883" s="23"/>
      <c r="AF3883" s="23"/>
      <c r="AG3883" s="23"/>
      <c r="AH3883" s="23"/>
      <c r="AI3883" s="49"/>
    </row>
    <row r="3884" spans="1:35">
      <c r="A3884" s="23"/>
      <c r="B3884" s="42"/>
      <c r="C3884" s="49"/>
      <c r="E3884" s="49"/>
      <c r="G3884" s="43"/>
      <c r="H3884" s="44"/>
      <c r="L3884" s="42"/>
      <c r="M3884" s="42"/>
      <c r="N3884" s="25"/>
      <c r="O3884" s="54"/>
      <c r="P3884"/>
      <c r="Q3884" s="25"/>
      <c r="R3884" s="54"/>
      <c r="W3884" s="23"/>
      <c r="X3884" s="23"/>
      <c r="Y3884" s="23"/>
      <c r="Z3884" s="43"/>
      <c r="AA3884" s="23"/>
      <c r="AB3884" s="23"/>
      <c r="AC3884" s="23"/>
      <c r="AD3884" s="23"/>
      <c r="AE3884" s="23"/>
      <c r="AF3884" s="23"/>
      <c r="AG3884" s="23"/>
      <c r="AH3884" s="23"/>
      <c r="AI3884" s="49"/>
    </row>
    <row r="3885" spans="1:35">
      <c r="A3885" s="23"/>
      <c r="B3885" s="42"/>
      <c r="C3885" s="49"/>
      <c r="E3885" s="49"/>
      <c r="G3885" s="43"/>
      <c r="H3885" s="44"/>
      <c r="L3885" s="42"/>
      <c r="M3885" s="42"/>
      <c r="N3885" s="25"/>
      <c r="O3885" s="54"/>
      <c r="P3885"/>
      <c r="Q3885" s="25"/>
      <c r="R3885" s="54"/>
      <c r="W3885" s="23"/>
      <c r="X3885" s="23"/>
      <c r="Y3885" s="23"/>
      <c r="Z3885" s="43"/>
      <c r="AA3885" s="23"/>
      <c r="AB3885" s="23"/>
      <c r="AC3885" s="23"/>
      <c r="AD3885" s="23"/>
      <c r="AE3885" s="23"/>
      <c r="AF3885" s="23"/>
      <c r="AG3885" s="23"/>
      <c r="AH3885" s="23"/>
      <c r="AI3885" s="49"/>
    </row>
    <row r="3886" spans="1:35">
      <c r="A3886" s="23"/>
      <c r="B3886" s="42"/>
      <c r="C3886" s="49"/>
      <c r="E3886" s="49"/>
      <c r="G3886" s="43"/>
      <c r="H3886" s="44"/>
      <c r="L3886" s="42"/>
      <c r="M3886" s="42"/>
      <c r="N3886" s="25"/>
      <c r="O3886" s="54"/>
      <c r="P3886"/>
      <c r="Q3886" s="25"/>
      <c r="R3886" s="54"/>
      <c r="W3886" s="23"/>
      <c r="X3886" s="23"/>
      <c r="Y3886" s="23"/>
      <c r="Z3886" s="43"/>
      <c r="AA3886" s="23"/>
      <c r="AB3886" s="23"/>
      <c r="AC3886" s="23"/>
      <c r="AD3886" s="23"/>
      <c r="AE3886" s="23"/>
      <c r="AF3886" s="23"/>
      <c r="AG3886" s="23"/>
      <c r="AH3886" s="23"/>
      <c r="AI3886" s="49"/>
    </row>
    <row r="3887" spans="1:35">
      <c r="A3887" s="23"/>
      <c r="B3887" s="42"/>
      <c r="C3887" s="49"/>
      <c r="E3887" s="49"/>
      <c r="G3887" s="43"/>
      <c r="H3887" s="44"/>
      <c r="L3887" s="42"/>
      <c r="M3887" s="42"/>
      <c r="N3887" s="25"/>
      <c r="O3887" s="54"/>
      <c r="P3887"/>
      <c r="Q3887" s="25"/>
      <c r="R3887" s="54"/>
      <c r="W3887" s="23"/>
      <c r="X3887" s="23"/>
      <c r="Y3887" s="23"/>
      <c r="Z3887" s="43"/>
      <c r="AA3887" s="23"/>
      <c r="AB3887" s="23"/>
      <c r="AC3887" s="23"/>
      <c r="AD3887" s="23"/>
      <c r="AE3887" s="23"/>
      <c r="AF3887" s="23"/>
      <c r="AG3887" s="23"/>
      <c r="AH3887" s="23"/>
      <c r="AI3887" s="49"/>
    </row>
    <row r="3888" spans="1:35">
      <c r="A3888" s="23"/>
      <c r="B3888" s="42"/>
      <c r="C3888" s="49"/>
      <c r="E3888" s="49"/>
      <c r="G3888" s="43"/>
      <c r="H3888" s="44"/>
      <c r="L3888" s="42"/>
      <c r="M3888" s="42"/>
      <c r="N3888" s="25"/>
      <c r="O3888" s="54"/>
      <c r="P3888"/>
      <c r="Q3888" s="25"/>
      <c r="R3888" s="54"/>
      <c r="W3888" s="23"/>
      <c r="X3888" s="23"/>
      <c r="Y3888" s="23"/>
      <c r="Z3888" s="43"/>
      <c r="AA3888" s="23"/>
      <c r="AB3888" s="23"/>
      <c r="AC3888" s="23"/>
      <c r="AD3888" s="23"/>
      <c r="AE3888" s="23"/>
      <c r="AF3888" s="23"/>
      <c r="AG3888" s="23"/>
      <c r="AH3888" s="23"/>
      <c r="AI3888" s="49"/>
    </row>
    <row r="3889" spans="1:35">
      <c r="A3889" s="23"/>
      <c r="B3889" s="42"/>
      <c r="C3889" s="49"/>
      <c r="E3889" s="49"/>
      <c r="G3889" s="43"/>
      <c r="H3889" s="44"/>
      <c r="L3889" s="42"/>
      <c r="M3889" s="42"/>
      <c r="N3889" s="25"/>
      <c r="O3889" s="54"/>
      <c r="P3889"/>
      <c r="Q3889" s="25"/>
      <c r="R3889" s="54"/>
      <c r="W3889" s="23"/>
      <c r="X3889" s="23"/>
      <c r="Y3889" s="23"/>
      <c r="Z3889" s="43"/>
      <c r="AA3889" s="23"/>
      <c r="AB3889" s="23"/>
      <c r="AC3889" s="23"/>
      <c r="AD3889" s="23"/>
      <c r="AE3889" s="23"/>
      <c r="AF3889" s="23"/>
      <c r="AG3889" s="23"/>
      <c r="AH3889" s="23"/>
      <c r="AI3889" s="49"/>
    </row>
    <row r="3890" spans="1:35">
      <c r="A3890" s="23"/>
      <c r="B3890" s="42"/>
      <c r="C3890" s="49"/>
      <c r="E3890" s="49"/>
      <c r="G3890" s="43"/>
      <c r="H3890" s="44"/>
      <c r="L3890" s="42"/>
      <c r="M3890" s="42"/>
      <c r="N3890" s="25"/>
      <c r="O3890" s="54"/>
      <c r="P3890"/>
      <c r="Q3890" s="25"/>
      <c r="R3890" s="54"/>
      <c r="W3890" s="23"/>
      <c r="X3890" s="23"/>
      <c r="Y3890" s="23"/>
      <c r="Z3890" s="43"/>
      <c r="AA3890" s="23"/>
      <c r="AB3890" s="23"/>
      <c r="AC3890" s="23"/>
      <c r="AD3890" s="23"/>
      <c r="AE3890" s="23"/>
      <c r="AF3890" s="23"/>
      <c r="AG3890" s="23"/>
      <c r="AH3890" s="23"/>
      <c r="AI3890" s="49"/>
    </row>
    <row r="3891" spans="1:35">
      <c r="A3891" s="23"/>
      <c r="B3891" s="42"/>
      <c r="C3891" s="49"/>
      <c r="E3891" s="49"/>
      <c r="G3891" s="43"/>
      <c r="H3891" s="44"/>
      <c r="L3891" s="42"/>
      <c r="M3891" s="42"/>
      <c r="N3891" s="25"/>
      <c r="O3891" s="54"/>
      <c r="P3891"/>
      <c r="Q3891" s="25"/>
      <c r="R3891" s="54"/>
      <c r="W3891" s="23"/>
      <c r="X3891" s="23"/>
      <c r="Y3891" s="23"/>
      <c r="Z3891" s="43"/>
      <c r="AA3891" s="23"/>
      <c r="AB3891" s="23"/>
      <c r="AC3891" s="23"/>
      <c r="AD3891" s="23"/>
      <c r="AE3891" s="23"/>
      <c r="AF3891" s="23"/>
      <c r="AG3891" s="23"/>
      <c r="AH3891" s="23"/>
      <c r="AI3891" s="49"/>
    </row>
    <row r="3892" spans="1:35">
      <c r="A3892" s="23"/>
      <c r="B3892" s="42"/>
      <c r="C3892" s="49"/>
      <c r="E3892" s="49"/>
      <c r="G3892" s="43"/>
      <c r="H3892" s="44"/>
      <c r="L3892" s="42"/>
      <c r="M3892" s="42"/>
      <c r="N3892" s="25"/>
      <c r="O3892" s="54"/>
      <c r="P3892"/>
      <c r="Q3892" s="25"/>
      <c r="R3892" s="54"/>
      <c r="W3892" s="23"/>
      <c r="X3892" s="23"/>
      <c r="Y3892" s="23"/>
      <c r="Z3892" s="43"/>
      <c r="AA3892" s="23"/>
      <c r="AB3892" s="23"/>
      <c r="AC3892" s="23"/>
      <c r="AD3892" s="23"/>
      <c r="AE3892" s="23"/>
      <c r="AF3892" s="23"/>
      <c r="AG3892" s="23"/>
      <c r="AH3892" s="23"/>
      <c r="AI3892" s="49"/>
    </row>
    <row r="3893" spans="1:35">
      <c r="A3893" s="23"/>
      <c r="B3893" s="42"/>
      <c r="C3893" s="49"/>
      <c r="E3893" s="49"/>
      <c r="G3893" s="43"/>
      <c r="H3893" s="44"/>
      <c r="L3893" s="42"/>
      <c r="M3893" s="42"/>
      <c r="N3893" s="25"/>
      <c r="O3893" s="54"/>
      <c r="P3893"/>
      <c r="Q3893" s="25"/>
      <c r="R3893" s="54"/>
      <c r="W3893" s="23"/>
      <c r="X3893" s="23"/>
      <c r="Y3893" s="23"/>
      <c r="Z3893" s="43"/>
      <c r="AA3893" s="23"/>
      <c r="AB3893" s="23"/>
      <c r="AC3893" s="23"/>
      <c r="AD3893" s="23"/>
      <c r="AE3893" s="23"/>
      <c r="AF3893" s="23"/>
      <c r="AG3893" s="23"/>
      <c r="AH3893" s="23"/>
      <c r="AI3893" s="49"/>
    </row>
    <row r="3894" spans="1:35">
      <c r="A3894" s="23"/>
      <c r="B3894" s="42"/>
      <c r="C3894" s="49"/>
      <c r="E3894" s="49"/>
      <c r="G3894" s="43"/>
      <c r="H3894" s="44"/>
      <c r="L3894" s="42"/>
      <c r="M3894" s="42"/>
      <c r="N3894" s="25"/>
      <c r="O3894" s="54"/>
      <c r="P3894"/>
      <c r="Q3894" s="25"/>
      <c r="R3894" s="54"/>
      <c r="W3894" s="23"/>
      <c r="X3894" s="23"/>
      <c r="Y3894" s="23"/>
      <c r="Z3894" s="43"/>
      <c r="AA3894" s="23"/>
      <c r="AB3894" s="23"/>
      <c r="AC3894" s="23"/>
      <c r="AD3894" s="23"/>
      <c r="AE3894" s="23"/>
      <c r="AF3894" s="23"/>
      <c r="AG3894" s="23"/>
      <c r="AH3894" s="23"/>
      <c r="AI3894" s="49"/>
    </row>
    <row r="3895" spans="1:35">
      <c r="A3895" s="23"/>
      <c r="B3895" s="42"/>
      <c r="C3895" s="49"/>
      <c r="E3895" s="49"/>
      <c r="G3895" s="43"/>
      <c r="H3895" s="44"/>
      <c r="L3895" s="42"/>
      <c r="M3895" s="42"/>
      <c r="N3895" s="25"/>
      <c r="O3895" s="54"/>
      <c r="P3895"/>
      <c r="Q3895" s="25"/>
      <c r="R3895" s="54"/>
      <c r="W3895" s="23"/>
      <c r="X3895" s="23"/>
      <c r="Y3895" s="23"/>
      <c r="Z3895" s="43"/>
      <c r="AA3895" s="23"/>
      <c r="AB3895" s="23"/>
      <c r="AC3895" s="23"/>
      <c r="AD3895" s="23"/>
      <c r="AE3895" s="23"/>
      <c r="AF3895" s="23"/>
      <c r="AG3895" s="23"/>
      <c r="AH3895" s="23"/>
      <c r="AI3895" s="49"/>
    </row>
    <row r="3896" spans="1:35">
      <c r="B3896" s="42"/>
      <c r="G3896" s="43"/>
      <c r="H3896" s="44"/>
      <c r="L3896" s="42"/>
      <c r="M3896" s="42"/>
      <c r="N3896" s="25"/>
      <c r="O3896" s="54"/>
      <c r="P3896"/>
      <c r="Q3896" s="25"/>
      <c r="R3896" s="54"/>
      <c r="W3896" s="23"/>
      <c r="X3896" s="23"/>
      <c r="Y3896" s="23"/>
      <c r="Z3896" s="43"/>
      <c r="AA3896" s="23"/>
      <c r="AB3896" s="23"/>
      <c r="AC3896" s="23"/>
      <c r="AD3896" s="23"/>
      <c r="AE3896" s="23"/>
      <c r="AF3896" s="23"/>
      <c r="AG3896" s="23"/>
      <c r="AH3896" s="23"/>
      <c r="AI3896" s="48"/>
    </row>
    <row r="3897" spans="1:35">
      <c r="B3897" s="42"/>
      <c r="G3897" s="43"/>
      <c r="H3897" s="44"/>
      <c r="L3897" s="42"/>
      <c r="M3897" s="42"/>
      <c r="N3897" s="25"/>
      <c r="O3897" s="54"/>
      <c r="P3897"/>
      <c r="Q3897" s="25"/>
      <c r="R3897" s="54"/>
      <c r="W3897" s="23"/>
      <c r="X3897" s="23"/>
      <c r="Y3897" s="23"/>
      <c r="Z3897" s="43"/>
      <c r="AA3897" s="23"/>
      <c r="AB3897" s="23"/>
      <c r="AC3897" s="23"/>
      <c r="AD3897" s="23"/>
      <c r="AE3897" s="23"/>
      <c r="AF3897" s="23"/>
      <c r="AG3897" s="23"/>
      <c r="AH3897" s="23"/>
      <c r="AI3897" s="48"/>
    </row>
    <row r="3898" spans="1:35">
      <c r="A3898" s="23"/>
      <c r="B3898" s="42"/>
      <c r="C3898" s="49"/>
      <c r="E3898" s="49"/>
      <c r="G3898" s="43"/>
      <c r="H3898" s="44"/>
      <c r="L3898" s="42"/>
      <c r="M3898" s="42"/>
      <c r="N3898" s="25"/>
      <c r="O3898" s="54"/>
      <c r="P3898"/>
      <c r="Q3898" s="25"/>
      <c r="R3898" s="54"/>
      <c r="W3898" s="23"/>
      <c r="X3898" s="23"/>
      <c r="Y3898" s="23"/>
      <c r="Z3898" s="43"/>
      <c r="AA3898" s="23"/>
      <c r="AB3898" s="23"/>
      <c r="AC3898" s="23"/>
      <c r="AD3898" s="23"/>
      <c r="AE3898" s="23"/>
      <c r="AF3898" s="23"/>
      <c r="AG3898" s="23"/>
      <c r="AH3898" s="23"/>
      <c r="AI3898" s="49"/>
    </row>
    <row r="3899" spans="1:35">
      <c r="A3899" s="23"/>
      <c r="B3899" s="42"/>
      <c r="C3899" s="49"/>
      <c r="E3899" s="49"/>
      <c r="G3899" s="43"/>
      <c r="H3899" s="44"/>
      <c r="L3899" s="42"/>
      <c r="M3899" s="42"/>
      <c r="N3899" s="25"/>
      <c r="O3899" s="54"/>
      <c r="P3899"/>
      <c r="Q3899" s="25"/>
      <c r="R3899" s="54"/>
      <c r="W3899" s="23"/>
      <c r="X3899" s="23"/>
      <c r="Y3899" s="23"/>
      <c r="Z3899" s="43"/>
      <c r="AA3899" s="23"/>
      <c r="AB3899" s="23"/>
      <c r="AC3899" s="23"/>
      <c r="AD3899" s="23"/>
      <c r="AE3899" s="23"/>
      <c r="AF3899" s="23"/>
      <c r="AG3899" s="23"/>
      <c r="AH3899" s="23"/>
      <c r="AI3899" s="49"/>
    </row>
    <row r="3900" spans="1:35">
      <c r="A3900" s="23"/>
      <c r="B3900" s="42"/>
      <c r="C3900" s="49"/>
      <c r="E3900" s="49"/>
      <c r="G3900" s="43"/>
      <c r="H3900" s="44"/>
      <c r="L3900" s="42"/>
      <c r="M3900" s="42"/>
      <c r="N3900" s="25"/>
      <c r="O3900" s="54"/>
      <c r="P3900"/>
      <c r="Q3900" s="25"/>
      <c r="R3900" s="54"/>
      <c r="W3900" s="23"/>
      <c r="X3900" s="23"/>
      <c r="Y3900" s="23"/>
      <c r="Z3900" s="43"/>
      <c r="AA3900" s="23"/>
      <c r="AB3900" s="23"/>
      <c r="AC3900" s="23"/>
      <c r="AD3900" s="23"/>
      <c r="AE3900" s="23"/>
      <c r="AF3900" s="23"/>
      <c r="AG3900" s="23"/>
      <c r="AH3900" s="23"/>
      <c r="AI3900" s="49"/>
    </row>
    <row r="3901" spans="1:35">
      <c r="A3901" s="23"/>
      <c r="B3901" s="42"/>
      <c r="C3901" s="49"/>
      <c r="E3901" s="49"/>
      <c r="G3901" s="43"/>
      <c r="H3901" s="44"/>
      <c r="L3901" s="42"/>
      <c r="M3901" s="42"/>
      <c r="N3901" s="25"/>
      <c r="O3901" s="54"/>
      <c r="P3901"/>
      <c r="Q3901" s="25"/>
      <c r="R3901" s="54"/>
      <c r="W3901" s="23"/>
      <c r="X3901" s="23"/>
      <c r="Y3901" s="23"/>
      <c r="Z3901" s="43"/>
      <c r="AA3901" s="23"/>
      <c r="AB3901" s="23"/>
      <c r="AC3901" s="23"/>
      <c r="AD3901" s="23"/>
      <c r="AE3901" s="23"/>
      <c r="AF3901" s="23"/>
      <c r="AG3901" s="23"/>
      <c r="AH3901" s="23"/>
      <c r="AI3901" s="49"/>
    </row>
    <row r="3902" spans="1:35">
      <c r="A3902" s="23"/>
      <c r="B3902" s="42"/>
      <c r="C3902" s="49"/>
      <c r="E3902" s="49"/>
      <c r="G3902" s="43"/>
      <c r="H3902" s="44"/>
      <c r="L3902" s="42"/>
      <c r="M3902" s="42"/>
      <c r="N3902" s="25"/>
      <c r="O3902" s="54"/>
      <c r="P3902"/>
      <c r="Q3902" s="25"/>
      <c r="R3902" s="54"/>
      <c r="W3902" s="23"/>
      <c r="X3902" s="23"/>
      <c r="Y3902" s="23"/>
      <c r="Z3902" s="43"/>
      <c r="AA3902" s="23"/>
      <c r="AB3902" s="23"/>
      <c r="AC3902" s="23"/>
      <c r="AD3902" s="23"/>
      <c r="AE3902" s="23"/>
      <c r="AF3902" s="23"/>
      <c r="AG3902" s="23"/>
      <c r="AH3902" s="23"/>
      <c r="AI3902" s="49"/>
    </row>
    <row r="3903" spans="1:35">
      <c r="A3903" s="23"/>
      <c r="B3903" s="42"/>
      <c r="C3903" s="49"/>
      <c r="E3903" s="49"/>
      <c r="G3903" s="43"/>
      <c r="H3903" s="44"/>
      <c r="L3903" s="42"/>
      <c r="M3903" s="42"/>
      <c r="N3903" s="25"/>
      <c r="O3903" s="54"/>
      <c r="P3903"/>
      <c r="Q3903" s="25"/>
      <c r="R3903" s="54"/>
      <c r="W3903" s="23"/>
      <c r="X3903" s="23"/>
      <c r="Y3903" s="23"/>
      <c r="Z3903" s="43"/>
      <c r="AA3903" s="23"/>
      <c r="AB3903" s="23"/>
      <c r="AC3903" s="23"/>
      <c r="AD3903" s="23"/>
      <c r="AE3903" s="23"/>
      <c r="AF3903" s="23"/>
      <c r="AG3903" s="23"/>
      <c r="AH3903" s="23"/>
      <c r="AI3903" s="49"/>
    </row>
    <row r="3904" spans="1:35">
      <c r="A3904" s="23"/>
      <c r="B3904" s="42"/>
      <c r="C3904" s="49"/>
      <c r="E3904" s="49"/>
      <c r="G3904" s="43"/>
      <c r="H3904" s="44"/>
      <c r="L3904" s="42"/>
      <c r="M3904" s="42"/>
      <c r="N3904" s="25"/>
      <c r="O3904" s="54"/>
      <c r="P3904"/>
      <c r="Q3904" s="25"/>
      <c r="R3904" s="54"/>
      <c r="W3904" s="23"/>
      <c r="X3904" s="23"/>
      <c r="Y3904" s="23"/>
      <c r="Z3904" s="43"/>
      <c r="AA3904" s="23"/>
      <c r="AB3904" s="23"/>
      <c r="AC3904" s="23"/>
      <c r="AD3904" s="23"/>
      <c r="AE3904" s="23"/>
      <c r="AF3904" s="23"/>
      <c r="AG3904" s="23"/>
      <c r="AH3904" s="23"/>
      <c r="AI3904" s="49"/>
    </row>
    <row r="3905" spans="1:35">
      <c r="A3905" s="23"/>
      <c r="B3905" s="42"/>
      <c r="C3905" s="49"/>
      <c r="E3905" s="49"/>
      <c r="G3905" s="43"/>
      <c r="H3905" s="44"/>
      <c r="L3905" s="42"/>
      <c r="M3905" s="42"/>
      <c r="N3905" s="25"/>
      <c r="O3905" s="54"/>
      <c r="P3905"/>
      <c r="Q3905" s="25"/>
      <c r="R3905" s="54"/>
      <c r="W3905" s="23"/>
      <c r="X3905" s="23"/>
      <c r="Y3905" s="23"/>
      <c r="Z3905" s="43"/>
      <c r="AA3905" s="23"/>
      <c r="AB3905" s="23"/>
      <c r="AC3905" s="23"/>
      <c r="AD3905" s="23"/>
      <c r="AE3905" s="23"/>
      <c r="AF3905" s="23"/>
      <c r="AG3905" s="23"/>
      <c r="AH3905" s="23"/>
      <c r="AI3905" s="49"/>
    </row>
    <row r="3906" spans="1:35">
      <c r="A3906" s="23"/>
      <c r="B3906" s="42"/>
      <c r="C3906" s="49"/>
      <c r="E3906" s="49"/>
      <c r="G3906" s="43"/>
      <c r="H3906" s="44"/>
      <c r="L3906" s="42"/>
      <c r="M3906" s="42"/>
      <c r="N3906" s="25"/>
      <c r="O3906" s="54"/>
      <c r="P3906"/>
      <c r="Q3906" s="25"/>
      <c r="R3906" s="54"/>
      <c r="W3906" s="23"/>
      <c r="X3906" s="23"/>
      <c r="Y3906" s="23"/>
      <c r="Z3906" s="43"/>
      <c r="AA3906" s="23"/>
      <c r="AB3906" s="23"/>
      <c r="AC3906" s="23"/>
      <c r="AD3906" s="23"/>
      <c r="AE3906" s="23"/>
      <c r="AF3906" s="23"/>
      <c r="AG3906" s="23"/>
      <c r="AH3906" s="23"/>
      <c r="AI3906" s="49"/>
    </row>
    <row r="3907" spans="1:35">
      <c r="A3907" s="23"/>
      <c r="B3907" s="42"/>
      <c r="C3907" s="49"/>
      <c r="E3907" s="49"/>
      <c r="G3907" s="43"/>
      <c r="H3907" s="44"/>
      <c r="L3907" s="42"/>
      <c r="M3907" s="42"/>
      <c r="N3907" s="25"/>
      <c r="O3907" s="54"/>
      <c r="P3907"/>
      <c r="Q3907" s="25"/>
      <c r="R3907" s="54"/>
      <c r="W3907" s="23"/>
      <c r="X3907" s="23"/>
      <c r="Y3907" s="23"/>
      <c r="Z3907" s="43"/>
      <c r="AA3907" s="23"/>
      <c r="AB3907" s="23"/>
      <c r="AC3907" s="23"/>
      <c r="AD3907" s="23"/>
      <c r="AE3907" s="23"/>
      <c r="AF3907" s="23"/>
      <c r="AG3907" s="23"/>
      <c r="AH3907" s="23"/>
      <c r="AI3907" s="49"/>
    </row>
    <row r="3908" spans="1:35">
      <c r="B3908" s="42"/>
      <c r="C3908" s="49"/>
      <c r="E3908" s="49"/>
      <c r="G3908" s="43"/>
      <c r="H3908" s="44"/>
      <c r="L3908" s="42"/>
      <c r="M3908" s="42"/>
      <c r="N3908" s="25"/>
      <c r="O3908" s="54"/>
      <c r="P3908"/>
      <c r="Q3908" s="25"/>
      <c r="R3908" s="54"/>
      <c r="W3908" s="23"/>
      <c r="X3908" s="23"/>
      <c r="Y3908" s="23"/>
      <c r="Z3908" s="43"/>
      <c r="AA3908" s="23"/>
      <c r="AB3908" s="23"/>
      <c r="AC3908" s="23"/>
      <c r="AD3908" s="23"/>
      <c r="AE3908" s="23"/>
      <c r="AF3908" s="23"/>
      <c r="AG3908" s="23"/>
      <c r="AH3908" s="23"/>
      <c r="AI3908" s="23"/>
    </row>
    <row r="3909" spans="1:35">
      <c r="B3909" s="42"/>
      <c r="C3909" s="49"/>
      <c r="E3909" s="49"/>
      <c r="G3909" s="43"/>
      <c r="H3909" s="44"/>
      <c r="L3909" s="42"/>
      <c r="M3909" s="42"/>
      <c r="N3909" s="25"/>
      <c r="O3909" s="54"/>
      <c r="P3909"/>
      <c r="Q3909" s="25"/>
      <c r="R3909" s="54"/>
      <c r="W3909" s="23"/>
      <c r="X3909" s="23"/>
      <c r="Y3909" s="23"/>
      <c r="Z3909" s="43"/>
      <c r="AA3909" s="23"/>
      <c r="AB3909" s="23"/>
      <c r="AC3909" s="23"/>
      <c r="AD3909" s="23"/>
      <c r="AE3909" s="23"/>
      <c r="AF3909" s="23"/>
      <c r="AG3909" s="23"/>
      <c r="AH3909" s="23"/>
      <c r="AI3909" s="23"/>
    </row>
    <row r="3910" spans="1:35">
      <c r="A3910" s="23"/>
      <c r="B3910" s="42"/>
      <c r="C3910" s="49"/>
      <c r="E3910" s="49"/>
      <c r="G3910" s="43"/>
      <c r="H3910" s="44"/>
      <c r="L3910" s="42"/>
      <c r="M3910" s="42"/>
      <c r="N3910" s="25"/>
      <c r="O3910" s="54"/>
      <c r="P3910"/>
      <c r="Q3910" s="25"/>
      <c r="R3910" s="54"/>
      <c r="W3910" s="23"/>
      <c r="X3910" s="23"/>
      <c r="Y3910" s="23"/>
      <c r="Z3910" s="43"/>
      <c r="AA3910" s="23"/>
      <c r="AB3910" s="23"/>
      <c r="AC3910" s="23"/>
      <c r="AD3910" s="23"/>
      <c r="AE3910" s="23"/>
      <c r="AF3910" s="23"/>
      <c r="AG3910" s="23"/>
      <c r="AH3910" s="23"/>
      <c r="AI3910" s="49"/>
    </row>
    <row r="3911" spans="1:35">
      <c r="A3911" s="23"/>
      <c r="B3911" s="42"/>
      <c r="C3911" s="49"/>
      <c r="E3911" s="49"/>
      <c r="G3911" s="43"/>
      <c r="H3911" s="44"/>
      <c r="L3911" s="42"/>
      <c r="M3911" s="42"/>
      <c r="N3911" s="25"/>
      <c r="O3911" s="54"/>
      <c r="P3911"/>
      <c r="Q3911" s="25"/>
      <c r="R3911" s="54"/>
      <c r="W3911" s="23"/>
      <c r="X3911" s="23"/>
      <c r="Y3911" s="23"/>
      <c r="Z3911" s="43"/>
      <c r="AA3911" s="23"/>
      <c r="AB3911" s="23"/>
      <c r="AC3911" s="23"/>
      <c r="AD3911" s="23"/>
      <c r="AE3911" s="23"/>
      <c r="AF3911" s="23"/>
      <c r="AG3911" s="23"/>
      <c r="AH3911" s="23"/>
      <c r="AI3911" s="49"/>
    </row>
    <row r="3912" spans="1:35">
      <c r="A3912" s="23"/>
      <c r="B3912" s="42"/>
      <c r="C3912" s="49"/>
      <c r="E3912" s="49"/>
      <c r="G3912" s="43"/>
      <c r="H3912" s="44"/>
      <c r="L3912" s="42"/>
      <c r="M3912" s="42"/>
      <c r="N3912" s="25"/>
      <c r="O3912" s="54"/>
      <c r="P3912"/>
      <c r="Q3912" s="25"/>
      <c r="R3912" s="54"/>
      <c r="W3912" s="23"/>
      <c r="X3912" s="23"/>
      <c r="Y3912" s="23"/>
      <c r="Z3912" s="43"/>
      <c r="AA3912" s="23"/>
      <c r="AB3912" s="23"/>
      <c r="AC3912" s="23"/>
      <c r="AD3912" s="23"/>
      <c r="AE3912" s="23"/>
      <c r="AF3912" s="23"/>
      <c r="AG3912" s="23"/>
      <c r="AH3912" s="23"/>
      <c r="AI3912" s="49"/>
    </row>
    <row r="3913" spans="1:35">
      <c r="A3913" s="23"/>
      <c r="B3913" s="42"/>
      <c r="C3913" s="49"/>
      <c r="E3913" s="49"/>
      <c r="G3913" s="43"/>
      <c r="H3913" s="44"/>
      <c r="L3913" s="42"/>
      <c r="M3913" s="42"/>
      <c r="N3913" s="25"/>
      <c r="O3913" s="54"/>
      <c r="P3913"/>
      <c r="Q3913" s="25"/>
      <c r="R3913" s="54"/>
      <c r="W3913" s="23"/>
      <c r="X3913" s="23"/>
      <c r="Y3913" s="23"/>
      <c r="Z3913" s="43"/>
      <c r="AA3913" s="23"/>
      <c r="AB3913" s="23"/>
      <c r="AC3913" s="23"/>
      <c r="AD3913" s="23"/>
      <c r="AE3913" s="23"/>
      <c r="AF3913" s="23"/>
      <c r="AG3913" s="23"/>
      <c r="AH3913" s="23"/>
      <c r="AI3913" s="49"/>
    </row>
    <row r="3914" spans="1:35">
      <c r="A3914" s="23"/>
      <c r="B3914" s="42"/>
      <c r="C3914" s="49"/>
      <c r="E3914" s="49"/>
      <c r="G3914" s="43"/>
      <c r="H3914" s="44"/>
      <c r="L3914" s="42"/>
      <c r="M3914" s="42"/>
      <c r="N3914" s="25"/>
      <c r="O3914" s="54"/>
      <c r="P3914"/>
      <c r="Q3914" s="25"/>
      <c r="R3914" s="54"/>
      <c r="W3914" s="23"/>
      <c r="X3914" s="23"/>
      <c r="Y3914" s="23"/>
      <c r="Z3914" s="43"/>
      <c r="AA3914" s="23"/>
      <c r="AB3914" s="23"/>
      <c r="AC3914" s="23"/>
      <c r="AD3914" s="23"/>
      <c r="AE3914" s="23"/>
      <c r="AF3914" s="23"/>
      <c r="AG3914" s="23"/>
      <c r="AH3914" s="23"/>
      <c r="AI3914" s="49"/>
    </row>
    <row r="3915" spans="1:35">
      <c r="A3915" s="23"/>
      <c r="B3915" s="42"/>
      <c r="C3915" s="49"/>
      <c r="E3915" s="49"/>
      <c r="G3915" s="43"/>
      <c r="H3915" s="44"/>
      <c r="L3915" s="42"/>
      <c r="M3915" s="42"/>
      <c r="N3915" s="25"/>
      <c r="O3915" s="54"/>
      <c r="P3915"/>
      <c r="Q3915" s="25"/>
      <c r="R3915" s="54"/>
      <c r="W3915" s="23"/>
      <c r="X3915" s="23"/>
      <c r="Y3915" s="23"/>
      <c r="Z3915" s="43"/>
      <c r="AA3915" s="23"/>
      <c r="AB3915" s="23"/>
      <c r="AC3915" s="23"/>
      <c r="AD3915" s="23"/>
      <c r="AE3915" s="23"/>
      <c r="AF3915" s="23"/>
      <c r="AG3915" s="23"/>
      <c r="AH3915" s="23"/>
      <c r="AI3915" s="49"/>
    </row>
    <row r="3916" spans="1:35">
      <c r="A3916" s="23"/>
      <c r="B3916" s="42"/>
      <c r="C3916" s="49"/>
      <c r="E3916" s="49"/>
      <c r="G3916" s="43"/>
      <c r="H3916" s="44"/>
      <c r="L3916" s="42"/>
      <c r="M3916" s="42"/>
      <c r="N3916" s="25"/>
      <c r="O3916" s="54"/>
      <c r="P3916"/>
      <c r="Q3916" s="25"/>
      <c r="R3916" s="54"/>
      <c r="W3916" s="23"/>
      <c r="X3916" s="23"/>
      <c r="Y3916" s="23"/>
      <c r="Z3916" s="43"/>
      <c r="AA3916" s="23"/>
      <c r="AB3916" s="23"/>
      <c r="AC3916" s="23"/>
      <c r="AD3916" s="23"/>
      <c r="AE3916" s="23"/>
      <c r="AF3916" s="23"/>
      <c r="AG3916" s="23"/>
      <c r="AH3916" s="23"/>
      <c r="AI3916" s="49"/>
    </row>
    <row r="3917" spans="1:35">
      <c r="A3917" s="23"/>
      <c r="B3917" s="42"/>
      <c r="C3917" s="49"/>
      <c r="E3917" s="49"/>
      <c r="G3917" s="43"/>
      <c r="H3917" s="44"/>
      <c r="L3917" s="42"/>
      <c r="M3917" s="42"/>
      <c r="N3917" s="25"/>
      <c r="O3917" s="54"/>
      <c r="P3917"/>
      <c r="Q3917" s="25"/>
      <c r="R3917" s="54"/>
      <c r="W3917" s="23"/>
      <c r="X3917" s="23"/>
      <c r="Y3917" s="23"/>
      <c r="Z3917" s="43"/>
      <c r="AA3917" s="23"/>
      <c r="AB3917" s="23"/>
      <c r="AC3917" s="23"/>
      <c r="AD3917" s="23"/>
      <c r="AE3917" s="23"/>
      <c r="AF3917" s="23"/>
      <c r="AG3917" s="23"/>
      <c r="AH3917" s="23"/>
      <c r="AI3917" s="49"/>
    </row>
    <row r="3918" spans="1:35">
      <c r="A3918" s="23"/>
      <c r="B3918" s="42"/>
      <c r="C3918" s="49"/>
      <c r="E3918" s="49"/>
      <c r="G3918" s="43"/>
      <c r="H3918" s="44"/>
      <c r="L3918" s="42"/>
      <c r="M3918" s="42"/>
      <c r="N3918" s="25"/>
      <c r="O3918" s="54"/>
      <c r="P3918"/>
      <c r="Q3918" s="25"/>
      <c r="R3918" s="54"/>
      <c r="W3918" s="23"/>
      <c r="X3918" s="23"/>
      <c r="Y3918" s="23"/>
      <c r="Z3918" s="43"/>
      <c r="AA3918" s="23"/>
      <c r="AB3918" s="23"/>
      <c r="AC3918" s="23"/>
      <c r="AD3918" s="23"/>
      <c r="AE3918" s="23"/>
      <c r="AF3918" s="23"/>
      <c r="AG3918" s="23"/>
      <c r="AH3918" s="23"/>
      <c r="AI3918" s="49"/>
    </row>
    <row r="3919" spans="1:35">
      <c r="A3919" s="23"/>
      <c r="B3919" s="42"/>
      <c r="C3919" s="49"/>
      <c r="E3919" s="49"/>
      <c r="G3919" s="43"/>
      <c r="H3919" s="44"/>
      <c r="L3919" s="42"/>
      <c r="M3919" s="42"/>
      <c r="N3919" s="25"/>
      <c r="O3919" s="54"/>
      <c r="P3919"/>
      <c r="Q3919" s="25"/>
      <c r="R3919" s="54"/>
      <c r="W3919" s="23"/>
      <c r="X3919" s="23"/>
      <c r="Y3919" s="23"/>
      <c r="Z3919" s="43"/>
      <c r="AA3919" s="23"/>
      <c r="AB3919" s="23"/>
      <c r="AC3919" s="23"/>
      <c r="AD3919" s="23"/>
      <c r="AE3919" s="23"/>
      <c r="AF3919" s="23"/>
      <c r="AG3919" s="23"/>
      <c r="AH3919" s="23"/>
      <c r="AI3919" s="49"/>
    </row>
    <row r="3920" spans="1:35">
      <c r="A3920" s="23"/>
      <c r="B3920" s="42"/>
      <c r="C3920" s="49"/>
      <c r="E3920" s="49"/>
      <c r="G3920" s="43"/>
      <c r="H3920" s="44"/>
      <c r="L3920" s="42"/>
      <c r="M3920" s="42"/>
      <c r="N3920" s="25"/>
      <c r="O3920" s="54"/>
      <c r="P3920"/>
      <c r="Q3920" s="25"/>
      <c r="R3920" s="54"/>
      <c r="W3920" s="23"/>
      <c r="X3920" s="23"/>
      <c r="Y3920" s="23"/>
      <c r="Z3920" s="43"/>
      <c r="AA3920" s="23"/>
      <c r="AB3920" s="23"/>
      <c r="AC3920" s="23"/>
      <c r="AD3920" s="23"/>
      <c r="AE3920" s="23"/>
      <c r="AF3920" s="23"/>
      <c r="AG3920" s="23"/>
      <c r="AH3920" s="23"/>
      <c r="AI3920" s="49"/>
    </row>
    <row r="3921" spans="1:35">
      <c r="A3921" s="23"/>
      <c r="B3921" s="42"/>
      <c r="C3921" s="49"/>
      <c r="E3921" s="49"/>
      <c r="G3921" s="43"/>
      <c r="H3921" s="44"/>
      <c r="L3921" s="42"/>
      <c r="M3921" s="42"/>
      <c r="N3921" s="25"/>
      <c r="O3921" s="54"/>
      <c r="P3921"/>
      <c r="Q3921" s="25"/>
      <c r="R3921" s="54"/>
      <c r="W3921" s="23"/>
      <c r="X3921" s="23"/>
      <c r="Y3921" s="23"/>
      <c r="Z3921" s="43"/>
      <c r="AA3921" s="23"/>
      <c r="AB3921" s="23"/>
      <c r="AC3921" s="23"/>
      <c r="AD3921" s="23"/>
      <c r="AE3921" s="23"/>
      <c r="AF3921" s="23"/>
      <c r="AG3921" s="23"/>
      <c r="AH3921" s="23"/>
      <c r="AI3921" s="49"/>
    </row>
    <row r="3922" spans="1:35">
      <c r="A3922" s="23"/>
      <c r="B3922" s="42"/>
      <c r="C3922" s="49"/>
      <c r="E3922" s="49"/>
      <c r="G3922" s="43"/>
      <c r="H3922" s="44"/>
      <c r="L3922" s="42"/>
      <c r="M3922" s="42"/>
      <c r="N3922" s="25"/>
      <c r="O3922" s="54"/>
      <c r="P3922"/>
      <c r="Q3922" s="25"/>
      <c r="R3922" s="54"/>
      <c r="W3922" s="23"/>
      <c r="X3922" s="23"/>
      <c r="Y3922" s="23"/>
      <c r="Z3922" s="43"/>
      <c r="AA3922" s="23"/>
      <c r="AB3922" s="23"/>
      <c r="AC3922" s="23"/>
      <c r="AD3922" s="23"/>
      <c r="AE3922" s="23"/>
      <c r="AF3922" s="23"/>
      <c r="AG3922" s="23"/>
      <c r="AH3922" s="23"/>
      <c r="AI3922" s="49"/>
    </row>
    <row r="3923" spans="1:35">
      <c r="A3923" s="23"/>
      <c r="B3923" s="42"/>
      <c r="C3923" s="49"/>
      <c r="E3923" s="49"/>
      <c r="G3923" s="43"/>
      <c r="H3923" s="44"/>
      <c r="L3923" s="42"/>
      <c r="M3923" s="42"/>
      <c r="N3923" s="25"/>
      <c r="O3923" s="54"/>
      <c r="P3923"/>
      <c r="Q3923" s="25"/>
      <c r="R3923" s="54"/>
      <c r="W3923" s="23"/>
      <c r="X3923" s="23"/>
      <c r="Y3923" s="23"/>
      <c r="Z3923" s="43"/>
      <c r="AA3923" s="23"/>
      <c r="AB3923" s="23"/>
      <c r="AC3923" s="23"/>
      <c r="AD3923" s="23"/>
      <c r="AE3923" s="23"/>
      <c r="AF3923" s="23"/>
      <c r="AG3923" s="23"/>
      <c r="AH3923" s="23"/>
      <c r="AI3923" s="49"/>
    </row>
    <row r="3924" spans="1:35">
      <c r="A3924" s="23"/>
      <c r="B3924" s="42"/>
      <c r="C3924" s="49"/>
      <c r="E3924" s="49"/>
      <c r="G3924" s="43"/>
      <c r="H3924" s="44"/>
      <c r="L3924" s="42"/>
      <c r="M3924" s="42"/>
      <c r="N3924" s="25"/>
      <c r="O3924" s="54"/>
      <c r="P3924"/>
      <c r="Q3924" s="25"/>
      <c r="R3924" s="54"/>
      <c r="W3924" s="23"/>
      <c r="X3924" s="23"/>
      <c r="Y3924" s="23"/>
      <c r="Z3924" s="43"/>
      <c r="AA3924" s="23"/>
      <c r="AB3924" s="23"/>
      <c r="AC3924" s="23"/>
      <c r="AD3924" s="23"/>
      <c r="AE3924" s="23"/>
      <c r="AF3924" s="23"/>
      <c r="AG3924" s="23"/>
      <c r="AH3924" s="23"/>
      <c r="AI3924" s="49"/>
    </row>
    <row r="3925" spans="1:35">
      <c r="A3925" s="23"/>
      <c r="B3925" s="42"/>
      <c r="C3925" s="49"/>
      <c r="E3925" s="49"/>
      <c r="G3925" s="43"/>
      <c r="H3925" s="44"/>
      <c r="L3925" s="42"/>
      <c r="M3925" s="42"/>
      <c r="N3925" s="25"/>
      <c r="O3925" s="54"/>
      <c r="P3925"/>
      <c r="Q3925" s="25"/>
      <c r="R3925" s="54"/>
      <c r="W3925" s="23"/>
      <c r="X3925" s="23"/>
      <c r="Y3925" s="23"/>
      <c r="Z3925" s="43"/>
      <c r="AA3925" s="23"/>
      <c r="AB3925" s="23"/>
      <c r="AC3925" s="23"/>
      <c r="AD3925" s="23"/>
      <c r="AE3925" s="23"/>
      <c r="AF3925" s="23"/>
      <c r="AG3925" s="23"/>
      <c r="AH3925" s="23"/>
      <c r="AI3925" s="49"/>
    </row>
    <row r="3926" spans="1:35">
      <c r="A3926" s="23"/>
      <c r="B3926" s="42"/>
      <c r="C3926" s="49"/>
      <c r="E3926" s="49"/>
      <c r="G3926" s="43"/>
      <c r="H3926" s="44"/>
      <c r="L3926" s="42"/>
      <c r="M3926" s="42"/>
      <c r="N3926" s="25"/>
      <c r="O3926" s="54"/>
      <c r="P3926"/>
      <c r="Q3926" s="25"/>
      <c r="R3926" s="54"/>
      <c r="W3926" s="23"/>
      <c r="X3926" s="23"/>
      <c r="Y3926" s="23"/>
      <c r="Z3926" s="43"/>
      <c r="AA3926" s="23"/>
      <c r="AB3926" s="23"/>
      <c r="AC3926" s="23"/>
      <c r="AD3926" s="23"/>
      <c r="AE3926" s="23"/>
      <c r="AF3926" s="23"/>
      <c r="AG3926" s="23"/>
      <c r="AH3926" s="23"/>
      <c r="AI3926" s="49"/>
    </row>
    <row r="3927" spans="1:35">
      <c r="A3927" s="23"/>
      <c r="B3927" s="42"/>
      <c r="C3927" s="49"/>
      <c r="E3927" s="49"/>
      <c r="G3927" s="43"/>
      <c r="H3927" s="44"/>
      <c r="L3927" s="42"/>
      <c r="M3927" s="42"/>
      <c r="N3927" s="25"/>
      <c r="O3927" s="54"/>
      <c r="P3927"/>
      <c r="Q3927" s="25"/>
      <c r="R3927" s="54"/>
      <c r="W3927" s="23"/>
      <c r="X3927" s="23"/>
      <c r="Y3927" s="23"/>
      <c r="Z3927" s="43"/>
      <c r="AA3927" s="23"/>
      <c r="AB3927" s="23"/>
      <c r="AC3927" s="23"/>
      <c r="AD3927" s="23"/>
      <c r="AE3927" s="23"/>
      <c r="AF3927" s="23"/>
      <c r="AG3927" s="23"/>
      <c r="AH3927" s="23"/>
      <c r="AI3927" s="49"/>
    </row>
    <row r="3928" spans="1:35">
      <c r="A3928" s="23"/>
      <c r="B3928" s="42"/>
      <c r="C3928" s="49"/>
      <c r="E3928" s="49"/>
      <c r="G3928" s="43"/>
      <c r="H3928" s="44"/>
      <c r="L3928" s="42"/>
      <c r="M3928" s="42"/>
      <c r="N3928" s="25"/>
      <c r="O3928" s="54"/>
      <c r="P3928"/>
      <c r="Q3928" s="25"/>
      <c r="R3928" s="54"/>
      <c r="W3928" s="23"/>
      <c r="X3928" s="23"/>
      <c r="Y3928" s="23"/>
      <c r="Z3928" s="43"/>
      <c r="AA3928" s="23"/>
      <c r="AB3928" s="23"/>
      <c r="AC3928" s="23"/>
      <c r="AD3928" s="23"/>
      <c r="AE3928" s="23"/>
      <c r="AF3928" s="23"/>
      <c r="AG3928" s="23"/>
      <c r="AH3928" s="23"/>
      <c r="AI3928" s="49"/>
    </row>
    <row r="3929" spans="1:35">
      <c r="A3929" s="23"/>
      <c r="B3929" s="42"/>
      <c r="C3929" s="49"/>
      <c r="E3929" s="49"/>
      <c r="G3929" s="43"/>
      <c r="H3929" s="44"/>
      <c r="L3929" s="42"/>
      <c r="M3929" s="42"/>
      <c r="N3929" s="25"/>
      <c r="O3929" s="54"/>
      <c r="P3929"/>
      <c r="Q3929" s="25"/>
      <c r="R3929" s="54"/>
      <c r="W3929" s="23"/>
      <c r="X3929" s="23"/>
      <c r="Y3929" s="23"/>
      <c r="Z3929" s="43"/>
      <c r="AA3929" s="23"/>
      <c r="AB3929" s="23"/>
      <c r="AC3929" s="23"/>
      <c r="AD3929" s="23"/>
      <c r="AE3929" s="23"/>
      <c r="AF3929" s="23"/>
      <c r="AG3929" s="23"/>
      <c r="AH3929" s="23"/>
      <c r="AI3929" s="49"/>
    </row>
    <row r="3930" spans="1:35">
      <c r="A3930" s="23"/>
      <c r="B3930" s="42"/>
      <c r="C3930" s="49"/>
      <c r="E3930" s="49"/>
      <c r="G3930" s="43"/>
      <c r="H3930" s="44"/>
      <c r="L3930" s="42"/>
      <c r="M3930" s="42"/>
      <c r="N3930" s="25"/>
      <c r="O3930" s="54"/>
      <c r="P3930"/>
      <c r="Q3930" s="25"/>
      <c r="R3930" s="54"/>
      <c r="W3930" s="23"/>
      <c r="X3930" s="23"/>
      <c r="Y3930" s="23"/>
      <c r="Z3930" s="43"/>
      <c r="AA3930" s="23"/>
      <c r="AB3930" s="23"/>
      <c r="AC3930" s="23"/>
      <c r="AD3930" s="23"/>
      <c r="AE3930" s="23"/>
      <c r="AF3930" s="23"/>
      <c r="AG3930" s="23"/>
      <c r="AH3930" s="23"/>
      <c r="AI3930" s="49"/>
    </row>
    <row r="3931" spans="1:35">
      <c r="A3931" s="23"/>
      <c r="B3931" s="42"/>
      <c r="C3931" s="49"/>
      <c r="E3931" s="49"/>
      <c r="G3931" s="43"/>
      <c r="H3931" s="44"/>
      <c r="L3931" s="42"/>
      <c r="M3931" s="42"/>
      <c r="N3931" s="25"/>
      <c r="O3931" s="54"/>
      <c r="P3931"/>
      <c r="Q3931" s="25"/>
      <c r="R3931" s="54"/>
      <c r="W3931" s="23"/>
      <c r="X3931" s="23"/>
      <c r="Y3931" s="23"/>
      <c r="Z3931" s="43"/>
      <c r="AA3931" s="23"/>
      <c r="AB3931" s="23"/>
      <c r="AC3931" s="23"/>
      <c r="AD3931" s="23"/>
      <c r="AE3931" s="23"/>
      <c r="AF3931" s="23"/>
      <c r="AG3931" s="23"/>
      <c r="AH3931" s="23"/>
      <c r="AI3931" s="49"/>
    </row>
    <row r="3932" spans="1:35">
      <c r="A3932" s="23"/>
      <c r="B3932" s="42"/>
      <c r="C3932" s="49"/>
      <c r="E3932" s="49"/>
      <c r="G3932" s="43"/>
      <c r="H3932" s="44"/>
      <c r="L3932" s="42"/>
      <c r="M3932" s="42"/>
      <c r="N3932" s="25"/>
      <c r="O3932" s="54"/>
      <c r="P3932"/>
      <c r="Q3932" s="25"/>
      <c r="R3932" s="54"/>
      <c r="W3932" s="23"/>
      <c r="X3932" s="23"/>
      <c r="Y3932" s="23"/>
      <c r="Z3932" s="43"/>
      <c r="AA3932" s="23"/>
      <c r="AB3932" s="23"/>
      <c r="AC3932" s="23"/>
      <c r="AD3932" s="23"/>
      <c r="AE3932" s="23"/>
      <c r="AF3932" s="23"/>
      <c r="AG3932" s="23"/>
      <c r="AH3932" s="23"/>
      <c r="AI3932" s="49"/>
    </row>
    <row r="3933" spans="1:35">
      <c r="A3933" s="23"/>
      <c r="B3933" s="42"/>
      <c r="C3933" s="49"/>
      <c r="E3933" s="49"/>
      <c r="G3933" s="43"/>
      <c r="H3933" s="44"/>
      <c r="L3933" s="42"/>
      <c r="M3933" s="42"/>
      <c r="N3933" s="25"/>
      <c r="O3933" s="54"/>
      <c r="P3933"/>
      <c r="Q3933" s="25"/>
      <c r="R3933" s="54"/>
      <c r="W3933" s="23"/>
      <c r="X3933" s="23"/>
      <c r="Y3933" s="23"/>
      <c r="Z3933" s="43"/>
      <c r="AA3933" s="23"/>
      <c r="AB3933" s="23"/>
      <c r="AC3933" s="23"/>
      <c r="AD3933" s="23"/>
      <c r="AE3933" s="23"/>
      <c r="AF3933" s="23"/>
      <c r="AG3933" s="23"/>
      <c r="AH3933" s="23"/>
      <c r="AI3933" s="49"/>
    </row>
    <row r="3934" spans="1:35">
      <c r="A3934" s="23"/>
      <c r="B3934" s="42"/>
      <c r="C3934" s="49"/>
      <c r="E3934" s="49"/>
      <c r="G3934" s="43"/>
      <c r="H3934" s="44"/>
      <c r="L3934" s="42"/>
      <c r="M3934" s="42"/>
      <c r="N3934" s="25"/>
      <c r="O3934" s="54"/>
      <c r="P3934"/>
      <c r="Q3934" s="25"/>
      <c r="R3934" s="54"/>
      <c r="W3934" s="23"/>
      <c r="X3934" s="23"/>
      <c r="Y3934" s="23"/>
      <c r="Z3934" s="43"/>
      <c r="AA3934" s="23"/>
      <c r="AB3934" s="23"/>
      <c r="AC3934" s="23"/>
      <c r="AD3934" s="23"/>
      <c r="AE3934" s="23"/>
      <c r="AF3934" s="23"/>
      <c r="AG3934" s="23"/>
      <c r="AH3934" s="23"/>
      <c r="AI3934" s="49"/>
    </row>
    <row r="3935" spans="1:35">
      <c r="A3935" s="23"/>
      <c r="B3935" s="42"/>
      <c r="C3935" s="49"/>
      <c r="E3935" s="49"/>
      <c r="G3935" s="43"/>
      <c r="H3935" s="44"/>
      <c r="L3935" s="42"/>
      <c r="M3935" s="42"/>
      <c r="N3935" s="25"/>
      <c r="O3935" s="54"/>
      <c r="P3935"/>
      <c r="Q3935" s="25"/>
      <c r="R3935" s="54"/>
      <c r="W3935" s="23"/>
      <c r="X3935" s="23"/>
      <c r="Y3935" s="23"/>
      <c r="Z3935" s="43"/>
      <c r="AA3935" s="23"/>
      <c r="AB3935" s="23"/>
      <c r="AC3935" s="23"/>
      <c r="AD3935" s="23"/>
      <c r="AE3935" s="23"/>
      <c r="AF3935" s="23"/>
      <c r="AG3935" s="23"/>
      <c r="AH3935" s="23"/>
      <c r="AI3935" s="49"/>
    </row>
    <row r="3936" spans="1:35">
      <c r="A3936" s="23"/>
      <c r="B3936" s="42"/>
      <c r="C3936" s="49"/>
      <c r="E3936" s="49"/>
      <c r="G3936" s="43"/>
      <c r="H3936" s="44"/>
      <c r="L3936" s="42"/>
      <c r="M3936" s="42"/>
      <c r="N3936" s="25"/>
      <c r="O3936" s="54"/>
      <c r="P3936"/>
      <c r="Q3936" s="25"/>
      <c r="R3936" s="54"/>
      <c r="W3936" s="23"/>
      <c r="X3936" s="23"/>
      <c r="Y3936" s="23"/>
      <c r="Z3936" s="43"/>
      <c r="AA3936" s="23"/>
      <c r="AB3936" s="23"/>
      <c r="AC3936" s="23"/>
      <c r="AD3936" s="23"/>
      <c r="AE3936" s="23"/>
      <c r="AF3936" s="23"/>
      <c r="AG3936" s="23"/>
      <c r="AH3936" s="23"/>
      <c r="AI3936" s="49"/>
    </row>
    <row r="3937" spans="1:35">
      <c r="A3937" s="23"/>
      <c r="B3937" s="42"/>
      <c r="C3937" s="49"/>
      <c r="E3937" s="49"/>
      <c r="G3937" s="43"/>
      <c r="H3937" s="44"/>
      <c r="L3937" s="42"/>
      <c r="M3937" s="42"/>
      <c r="N3937" s="25"/>
      <c r="O3937" s="54"/>
      <c r="P3937"/>
      <c r="Q3937" s="25"/>
      <c r="R3937" s="54"/>
      <c r="W3937" s="23"/>
      <c r="X3937" s="23"/>
      <c r="Y3937" s="23"/>
      <c r="Z3937" s="43"/>
      <c r="AA3937" s="23"/>
      <c r="AB3937" s="23"/>
      <c r="AC3937" s="23"/>
      <c r="AD3937" s="23"/>
      <c r="AE3937" s="23"/>
      <c r="AF3937" s="23"/>
      <c r="AG3937" s="23"/>
      <c r="AH3937" s="23"/>
      <c r="AI3937" s="49"/>
    </row>
    <row r="3938" spans="1:35">
      <c r="A3938" s="23"/>
      <c r="B3938" s="42"/>
      <c r="C3938" s="49"/>
      <c r="E3938" s="49"/>
      <c r="G3938" s="43"/>
      <c r="H3938" s="44"/>
      <c r="L3938" s="42"/>
      <c r="M3938" s="42"/>
      <c r="N3938" s="25"/>
      <c r="O3938" s="54"/>
      <c r="P3938"/>
      <c r="Q3938" s="25"/>
      <c r="R3938" s="54"/>
      <c r="W3938" s="23"/>
      <c r="X3938" s="23"/>
      <c r="Y3938" s="23"/>
      <c r="Z3938" s="43"/>
      <c r="AA3938" s="23"/>
      <c r="AB3938" s="23"/>
      <c r="AC3938" s="23"/>
      <c r="AD3938" s="23"/>
      <c r="AE3938" s="23"/>
      <c r="AF3938" s="23"/>
      <c r="AG3938" s="23"/>
      <c r="AH3938" s="23"/>
      <c r="AI3938" s="49"/>
    </row>
    <row r="3939" spans="1:35">
      <c r="A3939" s="23"/>
      <c r="B3939" s="42"/>
      <c r="C3939" s="49"/>
      <c r="E3939" s="49"/>
      <c r="G3939" s="43"/>
      <c r="H3939" s="44"/>
      <c r="L3939" s="42"/>
      <c r="M3939" s="42"/>
      <c r="N3939" s="25"/>
      <c r="O3939" s="54"/>
      <c r="P3939"/>
      <c r="Q3939" s="25"/>
      <c r="R3939" s="54"/>
      <c r="W3939" s="23"/>
      <c r="X3939" s="23"/>
      <c r="Y3939" s="23"/>
      <c r="Z3939" s="43"/>
      <c r="AA3939" s="23"/>
      <c r="AB3939" s="23"/>
      <c r="AC3939" s="23"/>
      <c r="AD3939" s="23"/>
      <c r="AE3939" s="23"/>
      <c r="AF3939" s="23"/>
      <c r="AG3939" s="23"/>
      <c r="AH3939" s="23"/>
      <c r="AI3939" s="49"/>
    </row>
    <row r="3940" spans="1:35">
      <c r="A3940" s="23"/>
      <c r="B3940" s="42"/>
      <c r="C3940" s="49"/>
      <c r="E3940" s="49"/>
      <c r="G3940" s="43"/>
      <c r="H3940" s="44"/>
      <c r="L3940" s="42"/>
      <c r="M3940" s="42"/>
      <c r="N3940" s="25"/>
      <c r="O3940" s="54"/>
      <c r="P3940"/>
      <c r="Q3940" s="25"/>
      <c r="R3940" s="54"/>
      <c r="W3940" s="23"/>
      <c r="X3940" s="23"/>
      <c r="Y3940" s="23"/>
      <c r="Z3940" s="43"/>
      <c r="AA3940" s="23"/>
      <c r="AB3940" s="23"/>
      <c r="AC3940" s="23"/>
      <c r="AD3940" s="23"/>
      <c r="AE3940" s="23"/>
      <c r="AF3940" s="23"/>
      <c r="AG3940" s="23"/>
      <c r="AH3940" s="23"/>
      <c r="AI3940" s="49"/>
    </row>
    <row r="3941" spans="1:35">
      <c r="A3941" s="23"/>
      <c r="B3941" s="42"/>
      <c r="C3941" s="49"/>
      <c r="E3941" s="49"/>
      <c r="G3941" s="43"/>
      <c r="H3941" s="44"/>
      <c r="L3941" s="42"/>
      <c r="M3941" s="42"/>
      <c r="N3941" s="25"/>
      <c r="O3941" s="54"/>
      <c r="P3941"/>
      <c r="Q3941" s="25"/>
      <c r="R3941" s="54"/>
      <c r="W3941" s="23"/>
      <c r="X3941" s="23"/>
      <c r="Y3941" s="23"/>
      <c r="Z3941" s="43"/>
      <c r="AA3941" s="23"/>
      <c r="AB3941" s="23"/>
      <c r="AC3941" s="23"/>
      <c r="AD3941" s="23"/>
      <c r="AE3941" s="23"/>
      <c r="AF3941" s="23"/>
      <c r="AG3941" s="23"/>
      <c r="AH3941" s="23"/>
      <c r="AI3941" s="49"/>
    </row>
    <row r="3942" spans="1:35">
      <c r="A3942" s="23"/>
      <c r="B3942" s="42"/>
      <c r="C3942" s="49"/>
      <c r="E3942" s="49"/>
      <c r="G3942" s="43"/>
      <c r="H3942" s="44"/>
      <c r="L3942" s="42"/>
      <c r="M3942" s="42"/>
      <c r="N3942" s="25"/>
      <c r="O3942" s="54"/>
      <c r="P3942"/>
      <c r="Q3942" s="25"/>
      <c r="R3942" s="54"/>
      <c r="W3942" s="23"/>
      <c r="X3942" s="23"/>
      <c r="Y3942" s="23"/>
      <c r="Z3942" s="43"/>
      <c r="AA3942" s="23"/>
      <c r="AB3942" s="23"/>
      <c r="AC3942" s="23"/>
      <c r="AD3942" s="23"/>
      <c r="AE3942" s="23"/>
      <c r="AF3942" s="23"/>
      <c r="AG3942" s="23"/>
      <c r="AH3942" s="23"/>
      <c r="AI3942" s="49"/>
    </row>
    <row r="3943" spans="1:35">
      <c r="A3943" s="23"/>
      <c r="B3943" s="42"/>
      <c r="C3943" s="49"/>
      <c r="E3943" s="49"/>
      <c r="G3943" s="43"/>
      <c r="H3943" s="44"/>
      <c r="L3943" s="42"/>
      <c r="M3943" s="42"/>
      <c r="N3943" s="25"/>
      <c r="O3943" s="54"/>
      <c r="P3943"/>
      <c r="Q3943" s="25"/>
      <c r="R3943" s="54"/>
      <c r="W3943" s="23"/>
      <c r="X3943" s="23"/>
      <c r="Y3943" s="23"/>
      <c r="Z3943" s="43"/>
      <c r="AA3943" s="23"/>
      <c r="AB3943" s="23"/>
      <c r="AC3943" s="23"/>
      <c r="AD3943" s="23"/>
      <c r="AE3943" s="23"/>
      <c r="AF3943" s="23"/>
      <c r="AG3943" s="23"/>
      <c r="AH3943" s="23"/>
      <c r="AI3943" s="49"/>
    </row>
    <row r="3944" spans="1:35">
      <c r="A3944" s="23"/>
      <c r="B3944" s="42"/>
      <c r="C3944" s="49"/>
      <c r="E3944" s="49"/>
      <c r="G3944" s="43"/>
      <c r="H3944" s="44"/>
      <c r="L3944" s="42"/>
      <c r="M3944" s="42"/>
      <c r="N3944" s="25"/>
      <c r="O3944" s="54"/>
      <c r="P3944"/>
      <c r="Q3944" s="25"/>
      <c r="R3944" s="54"/>
      <c r="W3944" s="23"/>
      <c r="X3944" s="23"/>
      <c r="Y3944" s="23"/>
      <c r="Z3944" s="43"/>
      <c r="AA3944" s="23"/>
      <c r="AB3944" s="23"/>
      <c r="AC3944" s="23"/>
      <c r="AD3944" s="23"/>
      <c r="AE3944" s="23"/>
      <c r="AF3944" s="23"/>
      <c r="AG3944" s="23"/>
      <c r="AH3944" s="23"/>
      <c r="AI3944" s="49"/>
    </row>
    <row r="3945" spans="1:35">
      <c r="A3945" s="23"/>
      <c r="B3945" s="42"/>
      <c r="C3945" s="49"/>
      <c r="E3945" s="49"/>
      <c r="G3945" s="43"/>
      <c r="H3945" s="44"/>
      <c r="L3945" s="42"/>
      <c r="M3945" s="42"/>
      <c r="N3945" s="25"/>
      <c r="O3945" s="54"/>
      <c r="P3945"/>
      <c r="Q3945" s="25"/>
      <c r="R3945" s="54"/>
      <c r="W3945" s="23"/>
      <c r="X3945" s="23"/>
      <c r="Y3945" s="23"/>
      <c r="Z3945" s="43"/>
      <c r="AA3945" s="23"/>
      <c r="AB3945" s="23"/>
      <c r="AC3945" s="23"/>
      <c r="AD3945" s="23"/>
      <c r="AE3945" s="23"/>
      <c r="AF3945" s="23"/>
      <c r="AG3945" s="23"/>
      <c r="AH3945" s="23"/>
      <c r="AI3945" s="49"/>
    </row>
    <row r="3946" spans="1:35">
      <c r="A3946" s="23"/>
      <c r="B3946" s="42"/>
      <c r="C3946" s="49"/>
      <c r="E3946" s="49"/>
      <c r="G3946" s="43"/>
      <c r="H3946" s="44"/>
      <c r="L3946" s="42"/>
      <c r="M3946" s="42"/>
      <c r="N3946" s="25"/>
      <c r="O3946" s="54"/>
      <c r="P3946"/>
      <c r="Q3946" s="25"/>
      <c r="R3946" s="54"/>
      <c r="W3946" s="23"/>
      <c r="X3946" s="23"/>
      <c r="Y3946" s="23"/>
      <c r="Z3946" s="43"/>
      <c r="AA3946" s="23"/>
      <c r="AB3946" s="23"/>
      <c r="AC3946" s="23"/>
      <c r="AD3946" s="23"/>
      <c r="AE3946" s="23"/>
      <c r="AF3946" s="23"/>
      <c r="AG3946" s="23"/>
      <c r="AH3946" s="23"/>
      <c r="AI3946" s="49"/>
    </row>
    <row r="3947" spans="1:35">
      <c r="A3947" s="23"/>
      <c r="B3947" s="42"/>
      <c r="C3947" s="49"/>
      <c r="E3947" s="49"/>
      <c r="G3947" s="43"/>
      <c r="H3947" s="44"/>
      <c r="L3947" s="42"/>
      <c r="M3947" s="42"/>
      <c r="N3947" s="25"/>
      <c r="O3947" s="54"/>
      <c r="P3947"/>
      <c r="Q3947" s="25"/>
      <c r="R3947" s="54"/>
      <c r="W3947" s="23"/>
      <c r="X3947" s="23"/>
      <c r="Y3947" s="23"/>
      <c r="Z3947" s="43"/>
      <c r="AA3947" s="23"/>
      <c r="AB3947" s="23"/>
      <c r="AC3947" s="23"/>
      <c r="AD3947" s="23"/>
      <c r="AE3947" s="23"/>
      <c r="AF3947" s="23"/>
      <c r="AG3947" s="23"/>
      <c r="AH3947" s="23"/>
      <c r="AI3947" s="49"/>
    </row>
    <row r="3948" spans="1:35">
      <c r="A3948" s="23"/>
      <c r="B3948" s="42"/>
      <c r="C3948" s="49"/>
      <c r="E3948" s="49"/>
      <c r="G3948" s="43"/>
      <c r="H3948" s="44"/>
      <c r="L3948" s="42"/>
      <c r="M3948" s="42"/>
      <c r="N3948" s="25"/>
      <c r="O3948" s="54"/>
      <c r="P3948"/>
      <c r="Q3948" s="25"/>
      <c r="R3948" s="54"/>
      <c r="W3948" s="23"/>
      <c r="X3948" s="23"/>
      <c r="Y3948" s="23"/>
      <c r="Z3948" s="43"/>
      <c r="AA3948" s="23"/>
      <c r="AB3948" s="23"/>
      <c r="AC3948" s="23"/>
      <c r="AD3948" s="23"/>
      <c r="AE3948" s="23"/>
      <c r="AF3948" s="23"/>
      <c r="AG3948" s="23"/>
      <c r="AH3948" s="23"/>
      <c r="AI3948" s="49"/>
    </row>
    <row r="3949" spans="1:35">
      <c r="A3949" s="23"/>
      <c r="B3949" s="42"/>
      <c r="C3949" s="49"/>
      <c r="E3949" s="49"/>
      <c r="G3949" s="43"/>
      <c r="H3949" s="44"/>
      <c r="L3949" s="42"/>
      <c r="M3949" s="42"/>
      <c r="N3949" s="25"/>
      <c r="O3949" s="54"/>
      <c r="P3949"/>
      <c r="Q3949" s="25"/>
      <c r="R3949" s="54"/>
      <c r="W3949" s="23"/>
      <c r="X3949" s="23"/>
      <c r="Y3949" s="23"/>
      <c r="Z3949" s="43"/>
      <c r="AA3949" s="23"/>
      <c r="AB3949" s="23"/>
      <c r="AC3949" s="23"/>
      <c r="AD3949" s="23"/>
      <c r="AE3949" s="23"/>
      <c r="AF3949" s="23"/>
      <c r="AG3949" s="23"/>
      <c r="AH3949" s="23"/>
      <c r="AI3949" s="49"/>
    </row>
    <row r="3950" spans="1:35">
      <c r="A3950" s="23"/>
      <c r="B3950" s="42"/>
      <c r="C3950" s="49"/>
      <c r="E3950" s="49"/>
      <c r="G3950" s="43"/>
      <c r="H3950" s="44"/>
      <c r="L3950" s="42"/>
      <c r="M3950" s="42"/>
      <c r="N3950" s="25"/>
      <c r="O3950" s="54"/>
      <c r="P3950"/>
      <c r="Q3950" s="25"/>
      <c r="R3950" s="54"/>
      <c r="W3950" s="23"/>
      <c r="X3950" s="23"/>
      <c r="Y3950" s="23"/>
      <c r="Z3950" s="43"/>
      <c r="AA3950" s="23"/>
      <c r="AB3950" s="23"/>
      <c r="AC3950" s="23"/>
      <c r="AD3950" s="23"/>
      <c r="AE3950" s="23"/>
      <c r="AF3950" s="23"/>
      <c r="AG3950" s="23"/>
      <c r="AH3950" s="23"/>
      <c r="AI3950" s="49"/>
    </row>
    <row r="3951" spans="1:35">
      <c r="A3951" s="23"/>
      <c r="B3951" s="42"/>
      <c r="C3951" s="49"/>
      <c r="E3951" s="49"/>
      <c r="G3951" s="43"/>
      <c r="H3951" s="44"/>
      <c r="L3951" s="42"/>
      <c r="M3951" s="42"/>
      <c r="N3951" s="25"/>
      <c r="O3951" s="54"/>
      <c r="P3951"/>
      <c r="Q3951" s="25"/>
      <c r="R3951" s="54"/>
      <c r="W3951" s="23"/>
      <c r="X3951" s="23"/>
      <c r="Y3951" s="23"/>
      <c r="Z3951" s="43"/>
      <c r="AA3951" s="23"/>
      <c r="AB3951" s="23"/>
      <c r="AC3951" s="23"/>
      <c r="AD3951" s="23"/>
      <c r="AE3951" s="23"/>
      <c r="AF3951" s="23"/>
      <c r="AG3951" s="23"/>
      <c r="AH3951" s="23"/>
      <c r="AI3951" s="49"/>
    </row>
    <row r="3952" spans="1:35">
      <c r="A3952" s="23"/>
      <c r="B3952" s="42"/>
      <c r="C3952" s="49"/>
      <c r="E3952" s="49"/>
      <c r="G3952" s="43"/>
      <c r="H3952" s="44"/>
      <c r="L3952" s="42"/>
      <c r="M3952" s="42"/>
      <c r="N3952" s="25"/>
      <c r="O3952" s="54"/>
      <c r="P3952"/>
      <c r="Q3952" s="25"/>
      <c r="R3952" s="54"/>
      <c r="W3952" s="23"/>
      <c r="X3952" s="23"/>
      <c r="Y3952" s="23"/>
      <c r="Z3952" s="43"/>
      <c r="AA3952" s="23"/>
      <c r="AB3952" s="23"/>
      <c r="AC3952" s="23"/>
      <c r="AD3952" s="23"/>
      <c r="AE3952" s="23"/>
      <c r="AF3952" s="23"/>
      <c r="AG3952" s="23"/>
      <c r="AH3952" s="23"/>
      <c r="AI3952" s="49"/>
    </row>
    <row r="3953" spans="1:35">
      <c r="A3953" s="23"/>
      <c r="B3953" s="42"/>
      <c r="C3953" s="49"/>
      <c r="E3953" s="49"/>
      <c r="G3953" s="43"/>
      <c r="H3953" s="44"/>
      <c r="L3953" s="42"/>
      <c r="M3953" s="42"/>
      <c r="N3953" s="25"/>
      <c r="O3953" s="54"/>
      <c r="P3953"/>
      <c r="Q3953" s="25"/>
      <c r="R3953" s="54"/>
      <c r="W3953" s="23"/>
      <c r="X3953" s="23"/>
      <c r="Y3953" s="23"/>
      <c r="Z3953" s="43"/>
      <c r="AA3953" s="23"/>
      <c r="AB3953" s="23"/>
      <c r="AC3953" s="23"/>
      <c r="AD3953" s="23"/>
      <c r="AE3953" s="23"/>
      <c r="AF3953" s="23"/>
      <c r="AG3953" s="23"/>
      <c r="AH3953" s="23"/>
      <c r="AI3953" s="49"/>
    </row>
    <row r="3954" spans="1:35">
      <c r="A3954" s="23"/>
      <c r="B3954" s="42"/>
      <c r="C3954" s="49"/>
      <c r="E3954" s="49"/>
      <c r="G3954" s="43"/>
      <c r="H3954" s="44"/>
      <c r="L3954" s="42"/>
      <c r="M3954" s="42"/>
      <c r="N3954" s="25"/>
      <c r="O3954" s="54"/>
      <c r="P3954"/>
      <c r="Q3954" s="25"/>
      <c r="R3954" s="54"/>
      <c r="W3954" s="23"/>
      <c r="X3954" s="23"/>
      <c r="Y3954" s="23"/>
      <c r="Z3954" s="43"/>
      <c r="AA3954" s="23"/>
      <c r="AB3954" s="23"/>
      <c r="AC3954" s="23"/>
      <c r="AD3954" s="23"/>
      <c r="AE3954" s="23"/>
      <c r="AF3954" s="23"/>
      <c r="AG3954" s="23"/>
      <c r="AH3954" s="23"/>
      <c r="AI3954" s="49"/>
    </row>
    <row r="3955" spans="1:35">
      <c r="A3955" s="23"/>
      <c r="B3955" s="42"/>
      <c r="C3955" s="49"/>
      <c r="E3955" s="49"/>
      <c r="G3955" s="43"/>
      <c r="H3955" s="44"/>
      <c r="L3955" s="42"/>
      <c r="M3955" s="42"/>
      <c r="N3955" s="25"/>
      <c r="O3955" s="54"/>
      <c r="P3955"/>
      <c r="Q3955" s="25"/>
      <c r="R3955" s="54"/>
      <c r="W3955" s="23"/>
      <c r="X3955" s="23"/>
      <c r="Y3955" s="23"/>
      <c r="Z3955" s="43"/>
      <c r="AA3955" s="23"/>
      <c r="AB3955" s="23"/>
      <c r="AC3955" s="23"/>
      <c r="AD3955" s="23"/>
      <c r="AE3955" s="23"/>
      <c r="AF3955" s="23"/>
      <c r="AG3955" s="23"/>
      <c r="AH3955" s="23"/>
      <c r="AI3955" s="49"/>
    </row>
    <row r="3956" spans="1:35">
      <c r="A3956" s="23"/>
      <c r="B3956" s="42"/>
      <c r="C3956" s="49"/>
      <c r="E3956" s="49"/>
      <c r="G3956" s="43"/>
      <c r="H3956" s="44"/>
      <c r="L3956" s="42"/>
      <c r="M3956" s="42"/>
      <c r="N3956" s="25"/>
      <c r="O3956" s="54"/>
      <c r="P3956"/>
      <c r="Q3956" s="25"/>
      <c r="R3956" s="54"/>
      <c r="W3956" s="23"/>
      <c r="X3956" s="23"/>
      <c r="Y3956" s="23"/>
      <c r="Z3956" s="43"/>
      <c r="AA3956" s="23"/>
      <c r="AB3956" s="23"/>
      <c r="AC3956" s="23"/>
      <c r="AD3956" s="23"/>
      <c r="AE3956" s="23"/>
      <c r="AF3956" s="23"/>
      <c r="AG3956" s="23"/>
      <c r="AH3956" s="23"/>
      <c r="AI3956" s="49"/>
    </row>
    <row r="3957" spans="1:35">
      <c r="A3957" s="23"/>
      <c r="B3957" s="42"/>
      <c r="C3957" s="49"/>
      <c r="E3957" s="49"/>
      <c r="G3957" s="43"/>
      <c r="H3957" s="44"/>
      <c r="L3957" s="42"/>
      <c r="M3957" s="42"/>
      <c r="N3957" s="25"/>
      <c r="O3957" s="54"/>
      <c r="P3957"/>
      <c r="Q3957" s="25"/>
      <c r="R3957" s="54"/>
      <c r="W3957" s="23"/>
      <c r="X3957" s="23"/>
      <c r="Y3957" s="23"/>
      <c r="Z3957" s="43"/>
      <c r="AA3957" s="23"/>
      <c r="AB3957" s="23"/>
      <c r="AC3957" s="23"/>
      <c r="AD3957" s="23"/>
      <c r="AE3957" s="23"/>
      <c r="AF3957" s="23"/>
      <c r="AG3957" s="23"/>
      <c r="AH3957" s="23"/>
      <c r="AI3957" s="49"/>
    </row>
    <row r="3958" spans="1:35">
      <c r="A3958" s="23"/>
      <c r="B3958" s="42"/>
      <c r="C3958" s="49"/>
      <c r="E3958" s="49"/>
      <c r="G3958" s="43"/>
      <c r="H3958" s="44"/>
      <c r="L3958" s="42"/>
      <c r="M3958" s="42"/>
      <c r="N3958" s="25"/>
      <c r="O3958" s="54"/>
      <c r="P3958"/>
      <c r="Q3958" s="25"/>
      <c r="R3958" s="54"/>
      <c r="W3958" s="23"/>
      <c r="X3958" s="23"/>
      <c r="Y3958" s="23"/>
      <c r="Z3958" s="43"/>
      <c r="AA3958" s="23"/>
      <c r="AB3958" s="23"/>
      <c r="AC3958" s="23"/>
      <c r="AD3958" s="23"/>
      <c r="AE3958" s="23"/>
      <c r="AF3958" s="23"/>
      <c r="AG3958" s="23"/>
      <c r="AH3958" s="23"/>
      <c r="AI3958" s="49"/>
    </row>
    <row r="3959" spans="1:35">
      <c r="A3959" s="23"/>
      <c r="B3959" s="42"/>
      <c r="C3959" s="49"/>
      <c r="E3959" s="49"/>
      <c r="G3959" s="43"/>
      <c r="H3959" s="44"/>
      <c r="L3959" s="42"/>
      <c r="M3959" s="42"/>
      <c r="N3959" s="25"/>
      <c r="O3959" s="54"/>
      <c r="P3959"/>
      <c r="Q3959" s="25"/>
      <c r="R3959" s="54"/>
      <c r="W3959" s="23"/>
      <c r="X3959" s="23"/>
      <c r="Y3959" s="23"/>
      <c r="Z3959" s="43"/>
      <c r="AA3959" s="23"/>
      <c r="AB3959" s="23"/>
      <c r="AC3959" s="23"/>
      <c r="AD3959" s="23"/>
      <c r="AE3959" s="23"/>
      <c r="AF3959" s="23"/>
      <c r="AG3959" s="23"/>
      <c r="AH3959" s="23"/>
      <c r="AI3959" s="49"/>
    </row>
    <row r="3960" spans="1:35">
      <c r="A3960" s="23"/>
      <c r="B3960" s="42"/>
      <c r="C3960" s="49"/>
      <c r="E3960" s="49"/>
      <c r="G3960" s="43"/>
      <c r="H3960" s="44"/>
      <c r="L3960" s="42"/>
      <c r="M3960" s="42"/>
      <c r="N3960" s="25"/>
      <c r="O3960" s="54"/>
      <c r="P3960"/>
      <c r="Q3960" s="25"/>
      <c r="R3960" s="54"/>
      <c r="W3960" s="23"/>
      <c r="X3960" s="23"/>
      <c r="Y3960" s="23"/>
      <c r="Z3960" s="43"/>
      <c r="AA3960" s="23"/>
      <c r="AB3960" s="23"/>
      <c r="AC3960" s="23"/>
      <c r="AD3960" s="23"/>
      <c r="AE3960" s="23"/>
      <c r="AF3960" s="23"/>
      <c r="AG3960" s="23"/>
      <c r="AH3960" s="23"/>
      <c r="AI3960" s="49"/>
    </row>
    <row r="3961" spans="1:35">
      <c r="A3961" s="23"/>
      <c r="B3961" s="42"/>
      <c r="C3961" s="49"/>
      <c r="E3961" s="49"/>
      <c r="G3961" s="43"/>
      <c r="H3961" s="44"/>
      <c r="L3961" s="42"/>
      <c r="M3961" s="42"/>
      <c r="N3961" s="25"/>
      <c r="O3961" s="54"/>
      <c r="P3961"/>
      <c r="Q3961" s="25"/>
      <c r="R3961" s="54"/>
      <c r="W3961" s="23"/>
      <c r="X3961" s="23"/>
      <c r="Y3961" s="23"/>
      <c r="Z3961" s="43"/>
      <c r="AA3961" s="23"/>
      <c r="AB3961" s="23"/>
      <c r="AC3961" s="23"/>
      <c r="AD3961" s="23"/>
      <c r="AE3961" s="23"/>
      <c r="AF3961" s="23"/>
      <c r="AG3961" s="23"/>
      <c r="AH3961" s="23"/>
      <c r="AI3961" s="49"/>
    </row>
    <row r="3962" spans="1:35">
      <c r="A3962" s="23"/>
      <c r="B3962" s="42"/>
      <c r="C3962" s="49"/>
      <c r="E3962" s="49"/>
      <c r="G3962" s="43"/>
      <c r="H3962" s="44"/>
      <c r="L3962" s="42"/>
      <c r="M3962" s="42"/>
      <c r="N3962" s="25"/>
      <c r="O3962" s="54"/>
      <c r="P3962"/>
      <c r="Q3962" s="25"/>
      <c r="R3962" s="54"/>
      <c r="W3962" s="23"/>
      <c r="X3962" s="23"/>
      <c r="Y3962" s="23"/>
      <c r="Z3962" s="43"/>
      <c r="AA3962" s="23"/>
      <c r="AB3962" s="23"/>
      <c r="AC3962" s="23"/>
      <c r="AD3962" s="23"/>
      <c r="AE3962" s="23"/>
      <c r="AF3962" s="23"/>
      <c r="AG3962" s="23"/>
      <c r="AH3962" s="23"/>
      <c r="AI3962" s="49"/>
    </row>
    <row r="3963" spans="1:35">
      <c r="A3963" s="23"/>
      <c r="B3963" s="42"/>
      <c r="C3963" s="49"/>
      <c r="E3963" s="49"/>
      <c r="G3963" s="43"/>
      <c r="H3963" s="44"/>
      <c r="L3963" s="42"/>
      <c r="M3963" s="42"/>
      <c r="N3963" s="25"/>
      <c r="O3963" s="54"/>
      <c r="P3963"/>
      <c r="Q3963" s="25"/>
      <c r="R3963" s="54"/>
      <c r="W3963" s="23"/>
      <c r="X3963" s="23"/>
      <c r="Y3963" s="23"/>
      <c r="Z3963" s="43"/>
      <c r="AA3963" s="23"/>
      <c r="AB3963" s="23"/>
      <c r="AC3963" s="23"/>
      <c r="AD3963" s="23"/>
      <c r="AE3963" s="23"/>
      <c r="AF3963" s="23"/>
      <c r="AG3963" s="23"/>
      <c r="AH3963" s="23"/>
      <c r="AI3963" s="49"/>
    </row>
    <row r="3964" spans="1:35">
      <c r="A3964" s="23"/>
      <c r="B3964" s="42"/>
      <c r="C3964" s="49"/>
      <c r="E3964" s="49"/>
      <c r="G3964" s="43"/>
      <c r="H3964" s="44"/>
      <c r="L3964" s="42"/>
      <c r="M3964" s="42"/>
      <c r="N3964" s="25"/>
      <c r="O3964" s="54"/>
      <c r="P3964"/>
      <c r="Q3964" s="25"/>
      <c r="R3964" s="54"/>
      <c r="W3964" s="23"/>
      <c r="X3964" s="23"/>
      <c r="Y3964" s="23"/>
      <c r="Z3964" s="43"/>
      <c r="AA3964" s="23"/>
      <c r="AB3964" s="23"/>
      <c r="AC3964" s="23"/>
      <c r="AD3964" s="23"/>
      <c r="AE3964" s="23"/>
      <c r="AF3964" s="23"/>
      <c r="AG3964" s="23"/>
      <c r="AH3964" s="23"/>
      <c r="AI3964" s="49"/>
    </row>
    <row r="3965" spans="1:35">
      <c r="A3965" s="23"/>
      <c r="B3965" s="42"/>
      <c r="C3965" s="49"/>
      <c r="E3965" s="49"/>
      <c r="G3965" s="43"/>
      <c r="H3965" s="44"/>
      <c r="L3965" s="42"/>
      <c r="M3965" s="42"/>
      <c r="N3965" s="25"/>
      <c r="O3965" s="54"/>
      <c r="P3965"/>
      <c r="Q3965" s="25"/>
      <c r="R3965" s="54"/>
      <c r="W3965" s="23"/>
      <c r="X3965" s="23"/>
      <c r="Y3965" s="23"/>
      <c r="Z3965" s="43"/>
      <c r="AA3965" s="23"/>
      <c r="AB3965" s="23"/>
      <c r="AC3965" s="23"/>
      <c r="AD3965" s="23"/>
      <c r="AE3965" s="23"/>
      <c r="AF3965" s="23"/>
      <c r="AG3965" s="23"/>
      <c r="AH3965" s="23"/>
      <c r="AI3965" s="49"/>
    </row>
    <row r="3966" spans="1:35">
      <c r="A3966" s="23"/>
      <c r="B3966" s="42"/>
      <c r="C3966" s="49"/>
      <c r="E3966" s="49"/>
      <c r="G3966" s="43"/>
      <c r="H3966" s="44"/>
      <c r="L3966" s="42"/>
      <c r="M3966" s="42"/>
      <c r="N3966" s="25"/>
      <c r="O3966" s="54"/>
      <c r="P3966"/>
      <c r="Q3966" s="25"/>
      <c r="R3966" s="54"/>
      <c r="W3966" s="23"/>
      <c r="X3966" s="23"/>
      <c r="Y3966" s="23"/>
      <c r="Z3966" s="43"/>
      <c r="AA3966" s="23"/>
      <c r="AB3966" s="23"/>
      <c r="AC3966" s="23"/>
      <c r="AD3966" s="23"/>
      <c r="AE3966" s="23"/>
      <c r="AF3966" s="23"/>
      <c r="AG3966" s="23"/>
      <c r="AH3966" s="23"/>
      <c r="AI3966" s="49"/>
    </row>
    <row r="3967" spans="1:35">
      <c r="A3967" s="23"/>
      <c r="B3967" s="42"/>
      <c r="C3967" s="49"/>
      <c r="E3967" s="49"/>
      <c r="G3967" s="43"/>
      <c r="H3967" s="44"/>
      <c r="L3967" s="42"/>
      <c r="M3967" s="42"/>
      <c r="N3967" s="25"/>
      <c r="O3967" s="54"/>
      <c r="P3967"/>
      <c r="Q3967" s="25"/>
      <c r="R3967" s="54"/>
      <c r="W3967" s="23"/>
      <c r="X3967" s="23"/>
      <c r="Y3967" s="23"/>
      <c r="Z3967" s="43"/>
      <c r="AA3967" s="23"/>
      <c r="AB3967" s="23"/>
      <c r="AC3967" s="23"/>
      <c r="AD3967" s="23"/>
      <c r="AE3967" s="23"/>
      <c r="AF3967" s="23"/>
      <c r="AG3967" s="23"/>
      <c r="AH3967" s="23"/>
      <c r="AI3967" s="49"/>
    </row>
    <row r="3968" spans="1:35">
      <c r="A3968" s="23"/>
      <c r="B3968" s="42"/>
      <c r="C3968" s="49"/>
      <c r="E3968" s="49"/>
      <c r="G3968" s="43"/>
      <c r="H3968" s="44"/>
      <c r="L3968" s="42"/>
      <c r="M3968" s="42"/>
      <c r="N3968" s="25"/>
      <c r="O3968" s="54"/>
      <c r="P3968"/>
      <c r="Q3968" s="25"/>
      <c r="R3968" s="54"/>
      <c r="W3968" s="23"/>
      <c r="X3968" s="23"/>
      <c r="Y3968" s="23"/>
      <c r="Z3968" s="43"/>
      <c r="AA3968" s="23"/>
      <c r="AB3968" s="23"/>
      <c r="AC3968" s="23"/>
      <c r="AD3968" s="23"/>
      <c r="AE3968" s="23"/>
      <c r="AF3968" s="23"/>
      <c r="AG3968" s="23"/>
      <c r="AH3968" s="23"/>
      <c r="AI3968" s="49"/>
    </row>
    <row r="3969" spans="1:35">
      <c r="A3969" s="23"/>
      <c r="B3969" s="42"/>
      <c r="C3969" s="49"/>
      <c r="E3969" s="49"/>
      <c r="G3969" s="43"/>
      <c r="H3969" s="44"/>
      <c r="L3969" s="42"/>
      <c r="M3969" s="42"/>
      <c r="N3969" s="25"/>
      <c r="O3969" s="54"/>
      <c r="P3969"/>
      <c r="Q3969" s="25"/>
      <c r="R3969" s="54"/>
      <c r="W3969" s="23"/>
      <c r="X3969" s="23"/>
      <c r="Y3969" s="23"/>
      <c r="Z3969" s="43"/>
      <c r="AA3969" s="23"/>
      <c r="AB3969" s="23"/>
      <c r="AC3969" s="23"/>
      <c r="AD3969" s="23"/>
      <c r="AE3969" s="23"/>
      <c r="AF3969" s="23"/>
      <c r="AG3969" s="23"/>
      <c r="AH3969" s="23"/>
      <c r="AI3969" s="49"/>
    </row>
    <row r="3970" spans="1:35">
      <c r="A3970" s="23"/>
      <c r="B3970" s="42"/>
      <c r="C3970" s="49"/>
      <c r="E3970" s="49"/>
      <c r="G3970" s="43"/>
      <c r="H3970" s="44"/>
      <c r="L3970" s="42"/>
      <c r="M3970" s="42"/>
      <c r="N3970" s="25"/>
      <c r="O3970" s="54"/>
      <c r="P3970"/>
      <c r="Q3970" s="25"/>
      <c r="R3970" s="54"/>
      <c r="W3970" s="23"/>
      <c r="X3970" s="23"/>
      <c r="Y3970" s="23"/>
      <c r="Z3970" s="43"/>
      <c r="AA3970" s="23"/>
      <c r="AB3970" s="23"/>
      <c r="AC3970" s="23"/>
      <c r="AD3970" s="23"/>
      <c r="AE3970" s="23"/>
      <c r="AF3970" s="23"/>
      <c r="AG3970" s="23"/>
      <c r="AH3970" s="23"/>
      <c r="AI3970" s="49"/>
    </row>
    <row r="3971" spans="1:35">
      <c r="A3971" s="23"/>
      <c r="B3971" s="42"/>
      <c r="C3971" s="49"/>
      <c r="E3971" s="49"/>
      <c r="G3971" s="43"/>
      <c r="H3971" s="44"/>
      <c r="L3971" s="42"/>
      <c r="M3971" s="42"/>
      <c r="N3971" s="25"/>
      <c r="O3971" s="54"/>
      <c r="P3971"/>
      <c r="Q3971" s="25"/>
      <c r="R3971" s="54"/>
      <c r="W3971" s="23"/>
      <c r="X3971" s="23"/>
      <c r="Y3971" s="23"/>
      <c r="Z3971" s="43"/>
      <c r="AA3971" s="23"/>
      <c r="AB3971" s="23"/>
      <c r="AC3971" s="23"/>
      <c r="AD3971" s="23"/>
      <c r="AE3971" s="23"/>
      <c r="AF3971" s="23"/>
      <c r="AG3971" s="23"/>
      <c r="AH3971" s="23"/>
      <c r="AI3971" s="49"/>
    </row>
    <row r="3972" spans="1:35">
      <c r="A3972" s="23"/>
      <c r="B3972" s="42"/>
      <c r="C3972" s="49"/>
      <c r="E3972" s="49"/>
      <c r="G3972" s="43"/>
      <c r="H3972" s="44"/>
      <c r="L3972" s="42"/>
      <c r="M3972" s="42"/>
      <c r="N3972" s="25"/>
      <c r="O3972" s="54"/>
      <c r="P3972"/>
      <c r="Q3972" s="25"/>
      <c r="R3972" s="54"/>
      <c r="W3972" s="23"/>
      <c r="X3972" s="23"/>
      <c r="Y3972" s="23"/>
      <c r="Z3972" s="43"/>
      <c r="AA3972" s="23"/>
      <c r="AB3972" s="23"/>
      <c r="AC3972" s="23"/>
      <c r="AD3972" s="23"/>
      <c r="AE3972" s="23"/>
      <c r="AF3972" s="23"/>
      <c r="AG3972" s="23"/>
      <c r="AH3972" s="23"/>
      <c r="AI3972" s="49"/>
    </row>
    <row r="3973" spans="1:35">
      <c r="A3973" s="23"/>
      <c r="B3973" s="42"/>
      <c r="C3973" s="49"/>
      <c r="E3973" s="49"/>
      <c r="G3973" s="43"/>
      <c r="H3973" s="44"/>
      <c r="L3973" s="42"/>
      <c r="M3973" s="42"/>
      <c r="N3973" s="25"/>
      <c r="O3973" s="54"/>
      <c r="P3973"/>
      <c r="Q3973" s="25"/>
      <c r="R3973" s="54"/>
      <c r="W3973" s="23"/>
      <c r="X3973" s="23"/>
      <c r="Y3973" s="23"/>
      <c r="Z3973" s="43"/>
      <c r="AA3973" s="23"/>
      <c r="AB3973" s="23"/>
      <c r="AC3973" s="23"/>
      <c r="AD3973" s="23"/>
      <c r="AE3973" s="23"/>
      <c r="AF3973" s="23"/>
      <c r="AG3973" s="23"/>
      <c r="AH3973" s="23"/>
      <c r="AI3973" s="49"/>
    </row>
    <row r="3974" spans="1:35">
      <c r="A3974" s="23"/>
      <c r="B3974" s="42"/>
      <c r="C3974" s="49"/>
      <c r="E3974" s="49"/>
      <c r="G3974" s="43"/>
      <c r="H3974" s="44"/>
      <c r="L3974" s="42"/>
      <c r="M3974" s="42"/>
      <c r="N3974" s="25"/>
      <c r="O3974" s="54"/>
      <c r="P3974"/>
      <c r="Q3974" s="25"/>
      <c r="R3974" s="54"/>
      <c r="W3974" s="23"/>
      <c r="X3974" s="23"/>
      <c r="Y3974" s="23"/>
      <c r="Z3974" s="43"/>
      <c r="AA3974" s="23"/>
      <c r="AB3974" s="23"/>
      <c r="AC3974" s="23"/>
      <c r="AD3974" s="23"/>
      <c r="AE3974" s="23"/>
      <c r="AF3974" s="23"/>
      <c r="AG3974" s="23"/>
      <c r="AH3974" s="23"/>
      <c r="AI3974" s="49"/>
    </row>
    <row r="3975" spans="1:35">
      <c r="A3975" s="23"/>
      <c r="B3975" s="42"/>
      <c r="C3975" s="49"/>
      <c r="E3975" s="49"/>
      <c r="G3975" s="43"/>
      <c r="H3975" s="44"/>
      <c r="L3975" s="42"/>
      <c r="M3975" s="42"/>
      <c r="N3975" s="25"/>
      <c r="O3975" s="54"/>
      <c r="P3975"/>
      <c r="Q3975" s="25"/>
      <c r="R3975" s="54"/>
      <c r="W3975" s="23"/>
      <c r="X3975" s="23"/>
      <c r="Y3975" s="23"/>
      <c r="Z3975" s="43"/>
      <c r="AA3975" s="23"/>
      <c r="AB3975" s="23"/>
      <c r="AC3975" s="23"/>
      <c r="AD3975" s="23"/>
      <c r="AE3975" s="23"/>
      <c r="AF3975" s="23"/>
      <c r="AG3975" s="23"/>
      <c r="AH3975" s="23"/>
      <c r="AI3975" s="49"/>
    </row>
    <row r="3976" spans="1:35">
      <c r="A3976" s="23"/>
      <c r="B3976" s="42"/>
      <c r="C3976" s="49"/>
      <c r="E3976" s="49"/>
      <c r="G3976" s="43"/>
      <c r="H3976" s="44"/>
      <c r="L3976" s="42"/>
      <c r="M3976" s="42"/>
      <c r="N3976" s="25"/>
      <c r="O3976" s="54"/>
      <c r="P3976"/>
      <c r="Q3976" s="25"/>
      <c r="R3976" s="54"/>
      <c r="W3976" s="23"/>
      <c r="X3976" s="23"/>
      <c r="Y3976" s="23"/>
      <c r="Z3976" s="43"/>
      <c r="AA3976" s="23"/>
      <c r="AB3976" s="23"/>
      <c r="AC3976" s="23"/>
      <c r="AD3976" s="23"/>
      <c r="AE3976" s="23"/>
      <c r="AF3976" s="23"/>
      <c r="AG3976" s="23"/>
      <c r="AH3976" s="23"/>
      <c r="AI3976" s="49"/>
    </row>
    <row r="3977" spans="1:35">
      <c r="A3977" s="23"/>
      <c r="B3977" s="42"/>
      <c r="C3977" s="49"/>
      <c r="E3977" s="49"/>
      <c r="G3977" s="43"/>
      <c r="H3977" s="44"/>
      <c r="L3977" s="42"/>
      <c r="M3977" s="42"/>
      <c r="N3977" s="25"/>
      <c r="O3977" s="54"/>
      <c r="P3977"/>
      <c r="Q3977" s="25"/>
      <c r="R3977" s="54"/>
      <c r="W3977" s="23"/>
      <c r="X3977" s="23"/>
      <c r="Y3977" s="23"/>
      <c r="Z3977" s="43"/>
      <c r="AA3977" s="23"/>
      <c r="AB3977" s="23"/>
      <c r="AC3977" s="23"/>
      <c r="AD3977" s="23"/>
      <c r="AE3977" s="23"/>
      <c r="AF3977" s="23"/>
      <c r="AG3977" s="23"/>
      <c r="AH3977" s="23"/>
      <c r="AI3977" s="49"/>
    </row>
    <row r="3978" spans="1:35">
      <c r="B3978" s="42"/>
      <c r="G3978" s="43"/>
      <c r="H3978" s="44"/>
      <c r="L3978" s="42"/>
      <c r="M3978" s="42"/>
      <c r="N3978" s="25"/>
      <c r="O3978" s="54"/>
      <c r="P3978"/>
      <c r="Q3978" s="25"/>
      <c r="R3978" s="54"/>
      <c r="W3978" s="23"/>
      <c r="X3978" s="23"/>
      <c r="Y3978" s="23"/>
      <c r="Z3978" s="43"/>
      <c r="AA3978" s="23"/>
      <c r="AB3978" s="23"/>
      <c r="AC3978" s="23"/>
      <c r="AD3978" s="23"/>
      <c r="AE3978" s="23"/>
      <c r="AF3978" s="23"/>
      <c r="AG3978" s="23"/>
      <c r="AH3978" s="23"/>
      <c r="AI3978" s="48"/>
    </row>
    <row r="3979" spans="1:35">
      <c r="B3979" s="42"/>
      <c r="G3979" s="43"/>
      <c r="H3979" s="44"/>
      <c r="L3979" s="42"/>
      <c r="M3979" s="42"/>
      <c r="N3979" s="25"/>
      <c r="O3979" s="54"/>
      <c r="P3979"/>
      <c r="Q3979" s="25"/>
      <c r="R3979" s="54"/>
      <c r="W3979" s="23"/>
      <c r="X3979" s="23"/>
      <c r="Y3979" s="23"/>
      <c r="Z3979" s="43"/>
      <c r="AA3979" s="23"/>
      <c r="AB3979" s="23"/>
      <c r="AC3979" s="23"/>
      <c r="AD3979" s="23"/>
      <c r="AE3979" s="23"/>
      <c r="AF3979" s="23"/>
      <c r="AG3979" s="23"/>
      <c r="AH3979" s="23"/>
      <c r="AI3979" s="48"/>
    </row>
    <row r="3980" spans="1:35">
      <c r="B3980" s="42"/>
      <c r="G3980" s="43"/>
      <c r="H3980" s="44"/>
      <c r="L3980" s="42"/>
      <c r="M3980" s="42"/>
      <c r="N3980" s="25"/>
      <c r="O3980" s="54"/>
      <c r="P3980"/>
      <c r="Q3980" s="25"/>
      <c r="R3980" s="54"/>
      <c r="W3980" s="23"/>
      <c r="X3980" s="23"/>
      <c r="Y3980" s="23"/>
      <c r="Z3980" s="43"/>
      <c r="AA3980" s="23"/>
      <c r="AB3980" s="23"/>
      <c r="AC3980" s="23"/>
      <c r="AD3980" s="23"/>
      <c r="AE3980" s="23"/>
      <c r="AF3980" s="23"/>
      <c r="AG3980" s="23"/>
      <c r="AH3980" s="23"/>
      <c r="AI3980" s="48"/>
    </row>
    <row r="3981" spans="1:35">
      <c r="B3981" s="42"/>
      <c r="G3981" s="43"/>
      <c r="H3981" s="44"/>
      <c r="L3981" s="42"/>
      <c r="M3981" s="42"/>
      <c r="N3981" s="25"/>
      <c r="O3981" s="54"/>
      <c r="P3981"/>
      <c r="Q3981" s="25"/>
      <c r="R3981" s="54"/>
      <c r="W3981" s="23"/>
      <c r="X3981" s="23"/>
      <c r="Y3981" s="23"/>
      <c r="Z3981" s="43"/>
      <c r="AA3981" s="23"/>
      <c r="AB3981" s="23"/>
      <c r="AC3981" s="23"/>
      <c r="AD3981" s="23"/>
      <c r="AE3981" s="23"/>
      <c r="AF3981" s="23"/>
      <c r="AG3981" s="23"/>
      <c r="AH3981" s="23"/>
      <c r="AI3981" s="48"/>
    </row>
    <row r="3982" spans="1:35">
      <c r="B3982" s="42"/>
      <c r="G3982" s="43"/>
      <c r="H3982" s="44"/>
      <c r="L3982" s="42"/>
      <c r="M3982" s="42"/>
      <c r="N3982" s="25"/>
      <c r="O3982" s="54"/>
      <c r="P3982"/>
      <c r="Q3982" s="25"/>
      <c r="R3982" s="54"/>
      <c r="W3982" s="23"/>
      <c r="X3982" s="23"/>
      <c r="Y3982" s="23"/>
      <c r="Z3982" s="43"/>
      <c r="AA3982" s="23"/>
      <c r="AB3982" s="23"/>
      <c r="AC3982" s="23"/>
      <c r="AD3982" s="23"/>
      <c r="AE3982" s="23"/>
      <c r="AF3982" s="23"/>
      <c r="AG3982" s="23"/>
      <c r="AH3982" s="23"/>
      <c r="AI3982" s="48"/>
    </row>
    <row r="3983" spans="1:35">
      <c r="B3983" s="42"/>
      <c r="G3983" s="43"/>
      <c r="H3983" s="44"/>
      <c r="L3983" s="42"/>
      <c r="M3983" s="42"/>
      <c r="N3983" s="25"/>
      <c r="O3983" s="54"/>
      <c r="P3983"/>
      <c r="Q3983" s="25"/>
      <c r="R3983" s="54"/>
      <c r="W3983" s="23"/>
      <c r="X3983" s="23"/>
      <c r="Y3983" s="23"/>
      <c r="Z3983" s="43"/>
      <c r="AA3983" s="23"/>
      <c r="AB3983" s="23"/>
      <c r="AC3983" s="23"/>
      <c r="AD3983" s="23"/>
      <c r="AE3983" s="23"/>
      <c r="AF3983" s="23"/>
      <c r="AG3983" s="23"/>
      <c r="AH3983" s="23"/>
      <c r="AI3983" s="48"/>
    </row>
    <row r="3984" spans="1:35">
      <c r="B3984" s="42"/>
      <c r="G3984" s="43"/>
      <c r="H3984" s="44"/>
      <c r="L3984" s="42"/>
      <c r="M3984" s="42"/>
      <c r="N3984" s="25"/>
      <c r="O3984" s="54"/>
      <c r="P3984"/>
      <c r="Q3984" s="25"/>
      <c r="R3984" s="54"/>
      <c r="W3984" s="23"/>
      <c r="X3984" s="23"/>
      <c r="Y3984" s="23"/>
      <c r="Z3984" s="43"/>
      <c r="AA3984" s="23"/>
      <c r="AB3984" s="23"/>
      <c r="AC3984" s="23"/>
      <c r="AD3984" s="23"/>
      <c r="AE3984" s="23"/>
      <c r="AF3984" s="23"/>
      <c r="AG3984" s="23"/>
      <c r="AH3984" s="23"/>
      <c r="AI3984" s="48"/>
    </row>
    <row r="3985" spans="1:35">
      <c r="B3985" s="42"/>
      <c r="G3985" s="43"/>
      <c r="H3985" s="44"/>
      <c r="L3985" s="42"/>
      <c r="M3985" s="42"/>
      <c r="N3985" s="25"/>
      <c r="O3985" s="54"/>
      <c r="P3985"/>
      <c r="Q3985" s="25"/>
      <c r="R3985" s="54"/>
      <c r="W3985" s="23"/>
      <c r="X3985" s="23"/>
      <c r="Y3985" s="23"/>
      <c r="Z3985" s="43"/>
      <c r="AA3985" s="23"/>
      <c r="AB3985" s="23"/>
      <c r="AC3985" s="23"/>
      <c r="AD3985" s="23"/>
      <c r="AE3985" s="23"/>
      <c r="AF3985" s="23"/>
      <c r="AG3985" s="23"/>
      <c r="AH3985" s="23"/>
      <c r="AI3985" s="48"/>
    </row>
    <row r="3986" spans="1:35">
      <c r="B3986" s="42"/>
      <c r="G3986" s="43"/>
      <c r="H3986" s="44"/>
      <c r="L3986" s="42"/>
      <c r="M3986" s="42"/>
      <c r="N3986" s="25"/>
      <c r="O3986" s="54"/>
      <c r="P3986"/>
      <c r="Q3986" s="25"/>
      <c r="R3986" s="54"/>
      <c r="W3986" s="23"/>
      <c r="X3986" s="23"/>
      <c r="Y3986" s="23"/>
      <c r="Z3986" s="43"/>
      <c r="AA3986" s="23"/>
      <c r="AB3986" s="23"/>
      <c r="AC3986" s="23"/>
      <c r="AD3986" s="23"/>
      <c r="AE3986" s="23"/>
      <c r="AF3986" s="23"/>
      <c r="AG3986" s="23"/>
      <c r="AH3986" s="23"/>
      <c r="AI3986" s="48"/>
    </row>
    <row r="3987" spans="1:35">
      <c r="A3987" s="23"/>
      <c r="B3987" s="42"/>
      <c r="C3987" s="49"/>
      <c r="E3987" s="49"/>
      <c r="G3987" s="43"/>
      <c r="H3987" s="44"/>
      <c r="L3987" s="42"/>
      <c r="M3987" s="42"/>
      <c r="N3987" s="25"/>
      <c r="O3987" s="54"/>
      <c r="P3987"/>
      <c r="Q3987" s="25"/>
      <c r="R3987" s="54"/>
      <c r="W3987" s="23"/>
      <c r="X3987" s="23"/>
      <c r="Y3987" s="23"/>
      <c r="Z3987" s="43"/>
      <c r="AA3987" s="23"/>
      <c r="AB3987" s="23"/>
      <c r="AC3987" s="23"/>
      <c r="AD3987" s="23"/>
      <c r="AE3987" s="23"/>
      <c r="AF3987" s="23"/>
      <c r="AG3987" s="23"/>
      <c r="AH3987" s="23"/>
      <c r="AI3987" s="49"/>
    </row>
    <row r="3988" spans="1:35">
      <c r="A3988" s="23"/>
      <c r="B3988" s="42"/>
      <c r="C3988" s="49"/>
      <c r="E3988" s="49"/>
      <c r="G3988" s="43"/>
      <c r="H3988" s="44"/>
      <c r="L3988" s="42"/>
      <c r="M3988" s="42"/>
      <c r="N3988" s="25"/>
      <c r="O3988" s="54"/>
      <c r="P3988"/>
      <c r="Q3988" s="25"/>
      <c r="R3988" s="54"/>
      <c r="W3988" s="23"/>
      <c r="X3988" s="23"/>
      <c r="Y3988" s="23"/>
      <c r="Z3988" s="43"/>
      <c r="AA3988" s="23"/>
      <c r="AB3988" s="23"/>
      <c r="AC3988" s="23"/>
      <c r="AD3988" s="23"/>
      <c r="AE3988" s="23"/>
      <c r="AF3988" s="23"/>
      <c r="AG3988" s="23"/>
      <c r="AH3988" s="23"/>
      <c r="AI3988" s="49"/>
    </row>
    <row r="3989" spans="1:35">
      <c r="A3989" s="23"/>
      <c r="B3989" s="42"/>
      <c r="C3989" s="49"/>
      <c r="E3989" s="49"/>
      <c r="G3989" s="43"/>
      <c r="H3989" s="44"/>
      <c r="L3989" s="42"/>
      <c r="M3989" s="42"/>
      <c r="N3989" s="25"/>
      <c r="O3989" s="54"/>
      <c r="P3989"/>
      <c r="Q3989" s="25"/>
      <c r="R3989" s="54"/>
      <c r="W3989" s="23"/>
      <c r="X3989" s="23"/>
      <c r="Y3989" s="23"/>
      <c r="Z3989" s="43"/>
      <c r="AA3989" s="23"/>
      <c r="AB3989" s="23"/>
      <c r="AC3989" s="23"/>
      <c r="AD3989" s="23"/>
      <c r="AE3989" s="23"/>
      <c r="AF3989" s="23"/>
      <c r="AG3989" s="23"/>
      <c r="AH3989" s="23"/>
      <c r="AI3989" s="49"/>
    </row>
    <row r="3990" spans="1:35">
      <c r="A3990" s="23"/>
      <c r="B3990" s="42"/>
      <c r="C3990" s="49"/>
      <c r="E3990" s="49"/>
      <c r="G3990" s="43"/>
      <c r="H3990" s="44"/>
      <c r="L3990" s="42"/>
      <c r="M3990" s="42"/>
      <c r="N3990" s="25"/>
      <c r="O3990" s="54"/>
      <c r="P3990"/>
      <c r="Q3990" s="25"/>
      <c r="R3990" s="54"/>
      <c r="W3990" s="23"/>
      <c r="X3990" s="23"/>
      <c r="Y3990" s="23"/>
      <c r="Z3990" s="43"/>
      <c r="AA3990" s="23"/>
      <c r="AB3990" s="23"/>
      <c r="AC3990" s="23"/>
      <c r="AD3990" s="23"/>
      <c r="AE3990" s="23"/>
      <c r="AF3990" s="23"/>
      <c r="AG3990" s="23"/>
      <c r="AH3990" s="23"/>
      <c r="AI3990" s="49"/>
    </row>
    <row r="3991" spans="1:35">
      <c r="A3991" s="23"/>
      <c r="B3991" s="42"/>
      <c r="C3991" s="49"/>
      <c r="E3991" s="49"/>
      <c r="G3991" s="43"/>
      <c r="H3991" s="44"/>
      <c r="L3991" s="42"/>
      <c r="M3991" s="42"/>
      <c r="N3991" s="25"/>
      <c r="O3991" s="54"/>
      <c r="P3991"/>
      <c r="Q3991" s="25"/>
      <c r="R3991" s="54"/>
      <c r="W3991" s="23"/>
      <c r="X3991" s="23"/>
      <c r="Y3991" s="23"/>
      <c r="Z3991" s="43"/>
      <c r="AA3991" s="23"/>
      <c r="AB3991" s="23"/>
      <c r="AC3991" s="23"/>
      <c r="AD3991" s="23"/>
      <c r="AE3991" s="23"/>
      <c r="AF3991" s="23"/>
      <c r="AG3991" s="23"/>
      <c r="AH3991" s="23"/>
      <c r="AI3991" s="49"/>
    </row>
    <row r="3992" spans="1:35">
      <c r="B3992" s="42"/>
      <c r="C3992" s="49"/>
      <c r="E3992" s="49"/>
      <c r="G3992" s="43"/>
      <c r="H3992" s="44"/>
      <c r="L3992" s="42"/>
      <c r="M3992" s="42"/>
      <c r="N3992" s="25"/>
      <c r="O3992" s="54"/>
      <c r="P3992"/>
      <c r="Q3992" s="25"/>
      <c r="R3992" s="54"/>
      <c r="W3992" s="23"/>
      <c r="X3992" s="23"/>
      <c r="Y3992" s="23"/>
      <c r="Z3992" s="43"/>
      <c r="AA3992" s="23"/>
      <c r="AB3992" s="23"/>
      <c r="AC3992" s="23"/>
      <c r="AD3992" s="23"/>
      <c r="AE3992" s="23"/>
      <c r="AF3992" s="23"/>
      <c r="AG3992" s="23"/>
      <c r="AH3992" s="23"/>
      <c r="AI3992" s="23"/>
    </row>
    <row r="3993" spans="1:35">
      <c r="B3993" s="42"/>
      <c r="C3993" s="49"/>
      <c r="E3993" s="49"/>
      <c r="G3993" s="43"/>
      <c r="H3993" s="44"/>
      <c r="L3993" s="42"/>
      <c r="M3993" s="42"/>
      <c r="N3993" s="25"/>
      <c r="O3993" s="54"/>
      <c r="P3993"/>
      <c r="Q3993" s="25"/>
      <c r="R3993" s="54"/>
      <c r="W3993" s="23"/>
      <c r="X3993" s="23"/>
      <c r="Y3993" s="23"/>
      <c r="Z3993" s="43"/>
      <c r="AA3993" s="23"/>
      <c r="AB3993" s="23"/>
      <c r="AC3993" s="23"/>
      <c r="AD3993" s="23"/>
      <c r="AE3993" s="23"/>
      <c r="AF3993" s="23"/>
      <c r="AG3993" s="23"/>
      <c r="AH3993" s="23"/>
      <c r="AI3993" s="23"/>
    </row>
    <row r="3994" spans="1:35">
      <c r="B3994" s="42"/>
      <c r="C3994" s="49"/>
      <c r="E3994" s="49"/>
      <c r="G3994" s="43"/>
      <c r="H3994" s="44"/>
      <c r="L3994" s="42"/>
      <c r="M3994" s="42"/>
      <c r="N3994" s="25"/>
      <c r="O3994" s="54"/>
      <c r="P3994"/>
      <c r="Q3994" s="25"/>
      <c r="R3994" s="54"/>
      <c r="W3994" s="23"/>
      <c r="X3994" s="23"/>
      <c r="Y3994" s="23"/>
      <c r="Z3994" s="43"/>
      <c r="AA3994" s="23"/>
      <c r="AB3994" s="23"/>
      <c r="AC3994" s="23"/>
      <c r="AD3994" s="23"/>
      <c r="AE3994" s="23"/>
      <c r="AF3994" s="23"/>
      <c r="AG3994" s="23"/>
      <c r="AH3994" s="23"/>
      <c r="AI3994" s="23"/>
    </row>
    <row r="3995" spans="1:35">
      <c r="A3995" s="23"/>
      <c r="B3995" s="42"/>
      <c r="C3995" s="49"/>
      <c r="E3995" s="49"/>
      <c r="G3995" s="43"/>
      <c r="H3995" s="44"/>
      <c r="L3995" s="42"/>
      <c r="M3995" s="42"/>
      <c r="N3995" s="25"/>
      <c r="O3995" s="54"/>
      <c r="P3995"/>
      <c r="Q3995" s="25"/>
      <c r="R3995" s="54"/>
      <c r="W3995" s="23"/>
      <c r="X3995" s="23"/>
      <c r="Y3995" s="23"/>
      <c r="Z3995" s="43"/>
      <c r="AA3995" s="23"/>
      <c r="AB3995" s="23"/>
      <c r="AC3995" s="23"/>
      <c r="AD3995" s="23"/>
      <c r="AE3995" s="23"/>
      <c r="AF3995" s="23"/>
      <c r="AG3995" s="23"/>
      <c r="AH3995" s="23"/>
      <c r="AI3995" s="49"/>
    </row>
    <row r="3996" spans="1:35">
      <c r="A3996" s="23"/>
      <c r="B3996" s="42"/>
      <c r="C3996" s="49"/>
      <c r="E3996" s="49"/>
      <c r="G3996" s="43"/>
      <c r="H3996" s="44"/>
      <c r="L3996" s="42"/>
      <c r="M3996" s="42"/>
      <c r="N3996" s="25"/>
      <c r="O3996" s="54"/>
      <c r="P3996"/>
      <c r="Q3996" s="25"/>
      <c r="R3996" s="54"/>
      <c r="W3996" s="23"/>
      <c r="X3996" s="23"/>
      <c r="Y3996" s="23"/>
      <c r="Z3996" s="43"/>
      <c r="AA3996" s="23"/>
      <c r="AB3996" s="23"/>
      <c r="AC3996" s="23"/>
      <c r="AD3996" s="23"/>
      <c r="AE3996" s="23"/>
      <c r="AF3996" s="23"/>
      <c r="AG3996" s="23"/>
      <c r="AH3996" s="23"/>
      <c r="AI3996" s="49"/>
    </row>
    <row r="3997" spans="1:35">
      <c r="A3997" s="23"/>
      <c r="B3997" s="42"/>
      <c r="C3997" s="49"/>
      <c r="E3997" s="49"/>
      <c r="G3997" s="43"/>
      <c r="H3997" s="44"/>
      <c r="L3997" s="42"/>
      <c r="M3997" s="42"/>
      <c r="N3997" s="25"/>
      <c r="O3997" s="54"/>
      <c r="P3997"/>
      <c r="Q3997" s="25"/>
      <c r="R3997" s="54"/>
      <c r="W3997" s="23"/>
      <c r="X3997" s="23"/>
      <c r="Y3997" s="23"/>
      <c r="Z3997" s="43"/>
      <c r="AA3997" s="23"/>
      <c r="AB3997" s="23"/>
      <c r="AC3997" s="23"/>
      <c r="AD3997" s="23"/>
      <c r="AE3997" s="23"/>
      <c r="AF3997" s="23"/>
      <c r="AG3997" s="23"/>
      <c r="AH3997" s="23"/>
      <c r="AI3997" s="49"/>
    </row>
    <row r="3998" spans="1:35">
      <c r="A3998" s="23"/>
      <c r="B3998" s="42"/>
      <c r="C3998" s="49"/>
      <c r="E3998" s="49"/>
      <c r="G3998" s="43"/>
      <c r="H3998" s="44"/>
      <c r="L3998" s="42"/>
      <c r="M3998" s="42"/>
      <c r="N3998" s="25"/>
      <c r="O3998" s="54"/>
      <c r="P3998"/>
      <c r="Q3998" s="25"/>
      <c r="R3998" s="54"/>
      <c r="W3998" s="23"/>
      <c r="X3998" s="23"/>
      <c r="Y3998" s="23"/>
      <c r="Z3998" s="43"/>
      <c r="AA3998" s="23"/>
      <c r="AB3998" s="23"/>
      <c r="AC3998" s="23"/>
      <c r="AD3998" s="23"/>
      <c r="AE3998" s="23"/>
      <c r="AF3998" s="23"/>
      <c r="AG3998" s="23"/>
      <c r="AH3998" s="23"/>
      <c r="AI3998" s="49"/>
    </row>
    <row r="3999" spans="1:35">
      <c r="A3999" s="23"/>
      <c r="B3999" s="42"/>
      <c r="C3999" s="49"/>
      <c r="E3999" s="49"/>
      <c r="G3999" s="43"/>
      <c r="H3999" s="44"/>
      <c r="L3999" s="42"/>
      <c r="M3999" s="42"/>
      <c r="N3999" s="25"/>
      <c r="O3999" s="54"/>
      <c r="P3999"/>
      <c r="Q3999" s="25"/>
      <c r="R3999" s="54"/>
      <c r="W3999" s="23"/>
      <c r="X3999" s="23"/>
      <c r="Y3999" s="23"/>
      <c r="Z3999" s="43"/>
      <c r="AA3999" s="23"/>
      <c r="AB3999" s="23"/>
      <c r="AC3999" s="23"/>
      <c r="AD3999" s="23"/>
      <c r="AE3999" s="23"/>
      <c r="AF3999" s="23"/>
      <c r="AG3999" s="23"/>
      <c r="AH3999" s="23"/>
      <c r="AI3999" s="49"/>
    </row>
    <row r="4000" spans="1:35">
      <c r="A4000" s="23"/>
      <c r="B4000" s="42"/>
      <c r="C4000" s="49"/>
      <c r="E4000" s="49"/>
      <c r="G4000" s="43"/>
      <c r="H4000" s="44"/>
      <c r="L4000" s="42"/>
      <c r="M4000" s="42"/>
      <c r="N4000" s="25"/>
      <c r="O4000" s="54"/>
      <c r="P4000"/>
      <c r="Q4000" s="25"/>
      <c r="R4000" s="54"/>
      <c r="W4000" s="23"/>
      <c r="X4000" s="23"/>
      <c r="Y4000" s="23"/>
      <c r="Z4000" s="43"/>
      <c r="AA4000" s="23"/>
      <c r="AB4000" s="23"/>
      <c r="AC4000" s="23"/>
      <c r="AD4000" s="23"/>
      <c r="AE4000" s="23"/>
      <c r="AF4000" s="23"/>
      <c r="AG4000" s="23"/>
      <c r="AH4000" s="23"/>
      <c r="AI4000" s="49"/>
    </row>
    <row r="4001" spans="1:35">
      <c r="A4001" s="23"/>
      <c r="B4001" s="42"/>
      <c r="C4001" s="49"/>
      <c r="E4001" s="49"/>
      <c r="G4001" s="43"/>
      <c r="H4001" s="44"/>
      <c r="L4001" s="42"/>
      <c r="M4001" s="42"/>
      <c r="N4001" s="25"/>
      <c r="O4001" s="54"/>
      <c r="P4001"/>
      <c r="Q4001" s="25"/>
      <c r="R4001" s="54"/>
      <c r="W4001" s="23"/>
      <c r="X4001" s="23"/>
      <c r="Y4001" s="23"/>
      <c r="Z4001" s="43"/>
      <c r="AA4001" s="23"/>
      <c r="AB4001" s="23"/>
      <c r="AC4001" s="23"/>
      <c r="AD4001" s="23"/>
      <c r="AE4001" s="23"/>
      <c r="AF4001" s="23"/>
      <c r="AG4001" s="23"/>
      <c r="AH4001" s="23"/>
      <c r="AI4001" s="49"/>
    </row>
    <row r="4002" spans="1:35">
      <c r="A4002" s="23"/>
      <c r="B4002" s="42"/>
      <c r="C4002" s="49"/>
      <c r="E4002" s="49"/>
      <c r="G4002" s="43"/>
      <c r="H4002" s="44"/>
      <c r="L4002" s="42"/>
      <c r="M4002" s="42"/>
      <c r="N4002" s="25"/>
      <c r="O4002" s="54"/>
      <c r="P4002"/>
      <c r="Q4002" s="25"/>
      <c r="R4002" s="54"/>
      <c r="W4002" s="23"/>
      <c r="X4002" s="23"/>
      <c r="Y4002" s="23"/>
      <c r="Z4002" s="43"/>
      <c r="AA4002" s="23"/>
      <c r="AB4002" s="23"/>
      <c r="AC4002" s="23"/>
      <c r="AD4002" s="23"/>
      <c r="AE4002" s="23"/>
      <c r="AF4002" s="23"/>
      <c r="AG4002" s="23"/>
      <c r="AH4002" s="23"/>
      <c r="AI4002" s="49"/>
    </row>
    <row r="4003" spans="1:35">
      <c r="A4003" s="23"/>
      <c r="B4003" s="42"/>
      <c r="C4003" s="49"/>
      <c r="E4003" s="49"/>
      <c r="G4003" s="43"/>
      <c r="H4003" s="44"/>
      <c r="L4003" s="42"/>
      <c r="M4003" s="42"/>
      <c r="N4003" s="25"/>
      <c r="O4003" s="54"/>
      <c r="P4003"/>
      <c r="Q4003" s="25"/>
      <c r="R4003" s="54"/>
      <c r="W4003" s="23"/>
      <c r="X4003" s="23"/>
      <c r="Y4003" s="23"/>
      <c r="Z4003" s="43"/>
      <c r="AA4003" s="23"/>
      <c r="AB4003" s="23"/>
      <c r="AC4003" s="23"/>
      <c r="AD4003" s="23"/>
      <c r="AE4003" s="23"/>
      <c r="AF4003" s="23"/>
      <c r="AG4003" s="23"/>
      <c r="AH4003" s="23"/>
      <c r="AI4003" s="49"/>
    </row>
    <row r="4004" spans="1:35">
      <c r="A4004" s="23"/>
      <c r="B4004" s="42"/>
      <c r="C4004" s="49"/>
      <c r="E4004" s="49"/>
      <c r="G4004" s="43"/>
      <c r="H4004" s="44"/>
      <c r="L4004" s="42"/>
      <c r="M4004" s="42"/>
      <c r="N4004" s="25"/>
      <c r="O4004" s="54"/>
      <c r="P4004"/>
      <c r="Q4004" s="25"/>
      <c r="R4004" s="54"/>
      <c r="W4004" s="23"/>
      <c r="X4004" s="23"/>
      <c r="Y4004" s="23"/>
      <c r="Z4004" s="43"/>
      <c r="AA4004" s="23"/>
      <c r="AB4004" s="23"/>
      <c r="AC4004" s="23"/>
      <c r="AD4004" s="23"/>
      <c r="AE4004" s="23"/>
      <c r="AF4004" s="23"/>
      <c r="AG4004" s="23"/>
      <c r="AH4004" s="23"/>
      <c r="AI4004" s="49"/>
    </row>
    <row r="4005" spans="1:35">
      <c r="A4005" s="23"/>
      <c r="B4005" s="42"/>
      <c r="C4005" s="49"/>
      <c r="E4005" s="49"/>
      <c r="G4005" s="43"/>
      <c r="H4005" s="44"/>
      <c r="L4005" s="42"/>
      <c r="M4005" s="42"/>
      <c r="N4005" s="25"/>
      <c r="O4005" s="54"/>
      <c r="P4005"/>
      <c r="Q4005" s="25"/>
      <c r="R4005" s="54"/>
      <c r="W4005" s="23"/>
      <c r="X4005" s="23"/>
      <c r="Y4005" s="23"/>
      <c r="Z4005" s="43"/>
      <c r="AA4005" s="23"/>
      <c r="AB4005" s="23"/>
      <c r="AC4005" s="23"/>
      <c r="AD4005" s="23"/>
      <c r="AE4005" s="23"/>
      <c r="AF4005" s="23"/>
      <c r="AG4005" s="23"/>
      <c r="AH4005" s="23"/>
      <c r="AI4005" s="49"/>
    </row>
    <row r="4006" spans="1:35">
      <c r="A4006" s="23"/>
      <c r="B4006" s="42"/>
      <c r="C4006" s="49"/>
      <c r="E4006" s="49"/>
      <c r="G4006" s="43"/>
      <c r="H4006" s="44"/>
      <c r="L4006" s="42"/>
      <c r="M4006" s="42"/>
      <c r="N4006" s="25"/>
      <c r="O4006" s="54"/>
      <c r="P4006"/>
      <c r="Q4006" s="25"/>
      <c r="R4006" s="54"/>
      <c r="W4006" s="23"/>
      <c r="X4006" s="23"/>
      <c r="Y4006" s="23"/>
      <c r="Z4006" s="43"/>
      <c r="AA4006" s="23"/>
      <c r="AB4006" s="23"/>
      <c r="AC4006" s="23"/>
      <c r="AD4006" s="23"/>
      <c r="AE4006" s="23"/>
      <c r="AF4006" s="23"/>
      <c r="AG4006" s="23"/>
      <c r="AH4006" s="23"/>
      <c r="AI4006" s="49"/>
    </row>
    <row r="4007" spans="1:35">
      <c r="A4007" s="23"/>
      <c r="B4007" s="42"/>
      <c r="C4007" s="49"/>
      <c r="E4007" s="49"/>
      <c r="G4007" s="43"/>
      <c r="H4007" s="44"/>
      <c r="L4007" s="42"/>
      <c r="M4007" s="42"/>
      <c r="N4007" s="25"/>
      <c r="O4007" s="54"/>
      <c r="P4007"/>
      <c r="Q4007" s="25"/>
      <c r="R4007" s="54"/>
      <c r="W4007" s="23"/>
      <c r="X4007" s="23"/>
      <c r="Y4007" s="23"/>
      <c r="Z4007" s="43"/>
      <c r="AA4007" s="23"/>
      <c r="AB4007" s="23"/>
      <c r="AC4007" s="23"/>
      <c r="AD4007" s="23"/>
      <c r="AE4007" s="23"/>
      <c r="AF4007" s="23"/>
      <c r="AG4007" s="23"/>
      <c r="AH4007" s="23"/>
      <c r="AI4007" s="49"/>
    </row>
    <row r="4008" spans="1:35">
      <c r="A4008" s="23"/>
      <c r="B4008" s="42"/>
      <c r="C4008" s="49"/>
      <c r="E4008" s="49"/>
      <c r="G4008" s="43"/>
      <c r="H4008" s="44"/>
      <c r="L4008" s="42"/>
      <c r="M4008" s="42"/>
      <c r="N4008" s="25"/>
      <c r="O4008" s="54"/>
      <c r="P4008"/>
      <c r="Q4008" s="25"/>
      <c r="R4008" s="54"/>
      <c r="W4008" s="23"/>
      <c r="X4008" s="23"/>
      <c r="Y4008" s="23"/>
      <c r="Z4008" s="43"/>
      <c r="AA4008" s="23"/>
      <c r="AB4008" s="23"/>
      <c r="AC4008" s="23"/>
      <c r="AD4008" s="23"/>
      <c r="AE4008" s="23"/>
      <c r="AF4008" s="23"/>
      <c r="AG4008" s="23"/>
      <c r="AH4008" s="23"/>
      <c r="AI4008" s="49"/>
    </row>
    <row r="4009" spans="1:35">
      <c r="A4009" s="23"/>
      <c r="B4009" s="42"/>
      <c r="C4009" s="49"/>
      <c r="E4009" s="49"/>
      <c r="G4009" s="43"/>
      <c r="H4009" s="44"/>
      <c r="L4009" s="42"/>
      <c r="M4009" s="42"/>
      <c r="N4009" s="25"/>
      <c r="O4009" s="54"/>
      <c r="P4009"/>
      <c r="Q4009" s="25"/>
      <c r="R4009" s="54"/>
      <c r="W4009" s="23"/>
      <c r="X4009" s="23"/>
      <c r="Y4009" s="23"/>
      <c r="Z4009" s="43"/>
      <c r="AA4009" s="23"/>
      <c r="AB4009" s="23"/>
      <c r="AC4009" s="23"/>
      <c r="AD4009" s="23"/>
      <c r="AE4009" s="23"/>
      <c r="AF4009" s="23"/>
      <c r="AG4009" s="23"/>
      <c r="AH4009" s="23"/>
      <c r="AI4009" s="49"/>
    </row>
    <row r="4010" spans="1:35">
      <c r="A4010" s="23"/>
      <c r="B4010" s="42"/>
      <c r="C4010" s="49"/>
      <c r="E4010" s="49"/>
      <c r="G4010" s="43"/>
      <c r="H4010" s="44"/>
      <c r="L4010" s="42"/>
      <c r="M4010" s="42"/>
      <c r="N4010" s="25"/>
      <c r="O4010" s="54"/>
      <c r="P4010"/>
      <c r="Q4010" s="25"/>
      <c r="R4010" s="54"/>
      <c r="W4010" s="23"/>
      <c r="X4010" s="23"/>
      <c r="Y4010" s="23"/>
      <c r="Z4010" s="43"/>
      <c r="AA4010" s="23"/>
      <c r="AB4010" s="23"/>
      <c r="AC4010" s="23"/>
      <c r="AD4010" s="23"/>
      <c r="AE4010" s="23"/>
      <c r="AF4010" s="23"/>
      <c r="AG4010" s="23"/>
      <c r="AH4010" s="23"/>
      <c r="AI4010" s="49"/>
    </row>
    <row r="4011" spans="1:35">
      <c r="A4011" s="23"/>
      <c r="B4011" s="42"/>
      <c r="C4011" s="49"/>
      <c r="E4011" s="49"/>
      <c r="G4011" s="43"/>
      <c r="H4011" s="44"/>
      <c r="L4011" s="42"/>
      <c r="M4011" s="42"/>
      <c r="N4011" s="25"/>
      <c r="O4011" s="54"/>
      <c r="P4011"/>
      <c r="Q4011" s="25"/>
      <c r="R4011" s="54"/>
      <c r="W4011" s="23"/>
      <c r="X4011" s="23"/>
      <c r="Y4011" s="23"/>
      <c r="Z4011" s="43"/>
      <c r="AA4011" s="23"/>
      <c r="AB4011" s="23"/>
      <c r="AC4011" s="23"/>
      <c r="AD4011" s="23"/>
      <c r="AE4011" s="23"/>
      <c r="AF4011" s="23"/>
      <c r="AG4011" s="23"/>
      <c r="AH4011" s="23"/>
      <c r="AI4011" s="49"/>
    </row>
    <row r="4012" spans="1:35">
      <c r="A4012" s="23"/>
      <c r="B4012" s="42"/>
      <c r="C4012" s="49"/>
      <c r="E4012" s="49"/>
      <c r="G4012" s="43"/>
      <c r="H4012" s="44"/>
      <c r="L4012" s="42"/>
      <c r="M4012" s="42"/>
      <c r="N4012" s="25"/>
      <c r="O4012" s="54"/>
      <c r="P4012"/>
      <c r="Q4012" s="25"/>
      <c r="R4012" s="54"/>
      <c r="W4012" s="23"/>
      <c r="X4012" s="23"/>
      <c r="Y4012" s="23"/>
      <c r="Z4012" s="43"/>
      <c r="AA4012" s="23"/>
      <c r="AB4012" s="23"/>
      <c r="AC4012" s="23"/>
      <c r="AD4012" s="23"/>
      <c r="AE4012" s="23"/>
      <c r="AF4012" s="23"/>
      <c r="AG4012" s="23"/>
      <c r="AH4012" s="23"/>
      <c r="AI4012" s="49"/>
    </row>
    <row r="4013" spans="1:35">
      <c r="A4013" s="23"/>
      <c r="B4013" s="42"/>
      <c r="C4013" s="49"/>
      <c r="E4013" s="49"/>
      <c r="G4013" s="43"/>
      <c r="H4013" s="44"/>
      <c r="L4013" s="42"/>
      <c r="M4013" s="42"/>
      <c r="N4013" s="25"/>
      <c r="O4013" s="54"/>
      <c r="P4013"/>
      <c r="Q4013" s="25"/>
      <c r="R4013" s="54"/>
      <c r="W4013" s="23"/>
      <c r="X4013" s="23"/>
      <c r="Y4013" s="23"/>
      <c r="Z4013" s="43"/>
      <c r="AA4013" s="23"/>
      <c r="AB4013" s="23"/>
      <c r="AC4013" s="23"/>
      <c r="AD4013" s="23"/>
      <c r="AE4013" s="23"/>
      <c r="AF4013" s="23"/>
      <c r="AG4013" s="23"/>
      <c r="AH4013" s="23"/>
      <c r="AI4013" s="49"/>
    </row>
    <row r="4014" spans="1:35">
      <c r="A4014" s="23"/>
      <c r="B4014" s="42"/>
      <c r="C4014" s="49"/>
      <c r="E4014" s="49"/>
      <c r="G4014" s="43"/>
      <c r="H4014" s="44"/>
      <c r="L4014" s="42"/>
      <c r="M4014" s="42"/>
      <c r="N4014" s="25"/>
      <c r="O4014" s="54"/>
      <c r="P4014"/>
      <c r="Q4014" s="25"/>
      <c r="R4014" s="54"/>
      <c r="W4014" s="23"/>
      <c r="X4014" s="23"/>
      <c r="Y4014" s="23"/>
      <c r="Z4014" s="43"/>
      <c r="AA4014" s="23"/>
      <c r="AB4014" s="23"/>
      <c r="AC4014" s="23"/>
      <c r="AD4014" s="23"/>
      <c r="AE4014" s="23"/>
      <c r="AF4014" s="23"/>
      <c r="AG4014" s="23"/>
      <c r="AH4014" s="23"/>
      <c r="AI4014" s="49"/>
    </row>
    <row r="4015" spans="1:35">
      <c r="A4015" s="23"/>
      <c r="B4015" s="42"/>
      <c r="C4015" s="49"/>
      <c r="E4015" s="49"/>
      <c r="G4015" s="43"/>
      <c r="H4015" s="44"/>
      <c r="L4015" s="42"/>
      <c r="M4015" s="42"/>
      <c r="N4015" s="25"/>
      <c r="O4015" s="54"/>
      <c r="P4015"/>
      <c r="Q4015" s="25"/>
      <c r="R4015" s="54"/>
      <c r="W4015" s="23"/>
      <c r="X4015" s="23"/>
      <c r="Y4015" s="23"/>
      <c r="Z4015" s="43"/>
      <c r="AA4015" s="23"/>
      <c r="AB4015" s="23"/>
      <c r="AC4015" s="23"/>
      <c r="AD4015" s="23"/>
      <c r="AE4015" s="23"/>
      <c r="AF4015" s="23"/>
      <c r="AG4015" s="23"/>
      <c r="AH4015" s="23"/>
      <c r="AI4015" s="49"/>
    </row>
    <row r="4016" spans="1:35">
      <c r="A4016" s="23"/>
      <c r="B4016" s="42"/>
      <c r="C4016" s="49"/>
      <c r="E4016" s="49"/>
      <c r="G4016" s="43"/>
      <c r="H4016" s="44"/>
      <c r="L4016" s="42"/>
      <c r="M4016" s="42"/>
      <c r="N4016" s="25"/>
      <c r="O4016" s="54"/>
      <c r="P4016"/>
      <c r="Q4016" s="25"/>
      <c r="R4016" s="54"/>
      <c r="W4016" s="23"/>
      <c r="X4016" s="23"/>
      <c r="Y4016" s="23"/>
      <c r="Z4016" s="43"/>
      <c r="AA4016" s="23"/>
      <c r="AB4016" s="23"/>
      <c r="AC4016" s="23"/>
      <c r="AD4016" s="23"/>
      <c r="AE4016" s="23"/>
      <c r="AF4016" s="23"/>
      <c r="AG4016" s="23"/>
      <c r="AH4016" s="23"/>
      <c r="AI4016" s="49"/>
    </row>
    <row r="4017" spans="1:35">
      <c r="A4017" s="23"/>
      <c r="B4017" s="42"/>
      <c r="C4017" s="49"/>
      <c r="E4017" s="49"/>
      <c r="G4017" s="43"/>
      <c r="H4017" s="44"/>
      <c r="L4017" s="42"/>
      <c r="M4017" s="42"/>
      <c r="N4017" s="25"/>
      <c r="O4017" s="54"/>
      <c r="P4017"/>
      <c r="Q4017" s="25"/>
      <c r="R4017" s="54"/>
      <c r="W4017" s="23"/>
      <c r="X4017" s="23"/>
      <c r="Y4017" s="23"/>
      <c r="Z4017" s="43"/>
      <c r="AA4017" s="23"/>
      <c r="AB4017" s="23"/>
      <c r="AC4017" s="23"/>
      <c r="AD4017" s="23"/>
      <c r="AE4017" s="23"/>
      <c r="AF4017" s="23"/>
      <c r="AG4017" s="23"/>
      <c r="AH4017" s="23"/>
      <c r="AI4017" s="49"/>
    </row>
    <row r="4018" spans="1:35">
      <c r="A4018" s="23"/>
      <c r="B4018" s="42"/>
      <c r="C4018" s="49"/>
      <c r="E4018" s="49"/>
      <c r="G4018" s="43"/>
      <c r="H4018" s="44"/>
      <c r="L4018" s="42"/>
      <c r="M4018" s="42"/>
      <c r="N4018" s="25"/>
      <c r="O4018" s="54"/>
      <c r="P4018"/>
      <c r="Q4018" s="25"/>
      <c r="R4018" s="54"/>
      <c r="W4018" s="23"/>
      <c r="X4018" s="23"/>
      <c r="Y4018" s="23"/>
      <c r="Z4018" s="43"/>
      <c r="AA4018" s="23"/>
      <c r="AB4018" s="23"/>
      <c r="AC4018" s="23"/>
      <c r="AD4018" s="23"/>
      <c r="AE4018" s="23"/>
      <c r="AF4018" s="23"/>
      <c r="AG4018" s="23"/>
      <c r="AH4018" s="23"/>
      <c r="AI4018" s="49"/>
    </row>
    <row r="4019" spans="1:35">
      <c r="A4019" s="23"/>
      <c r="B4019" s="42"/>
      <c r="C4019" s="49"/>
      <c r="E4019" s="49"/>
      <c r="G4019" s="43"/>
      <c r="H4019" s="44"/>
      <c r="L4019" s="42"/>
      <c r="M4019" s="42"/>
      <c r="N4019" s="25"/>
      <c r="O4019" s="54"/>
      <c r="P4019"/>
      <c r="Q4019" s="25"/>
      <c r="R4019" s="54"/>
      <c r="W4019" s="23"/>
      <c r="X4019" s="23"/>
      <c r="Y4019" s="23"/>
      <c r="Z4019" s="43"/>
      <c r="AA4019" s="23"/>
      <c r="AB4019" s="23"/>
      <c r="AC4019" s="23"/>
      <c r="AD4019" s="23"/>
      <c r="AE4019" s="23"/>
      <c r="AF4019" s="23"/>
      <c r="AG4019" s="23"/>
      <c r="AH4019" s="23"/>
      <c r="AI4019" s="49"/>
    </row>
    <row r="4020" spans="1:35">
      <c r="A4020" s="23"/>
      <c r="B4020" s="42"/>
      <c r="C4020" s="49"/>
      <c r="E4020" s="49"/>
      <c r="G4020" s="43"/>
      <c r="H4020" s="44"/>
      <c r="L4020" s="42"/>
      <c r="M4020" s="42"/>
      <c r="N4020" s="25"/>
      <c r="O4020" s="54"/>
      <c r="P4020"/>
      <c r="Q4020" s="25"/>
      <c r="R4020" s="54"/>
      <c r="W4020" s="23"/>
      <c r="X4020" s="23"/>
      <c r="Y4020" s="23"/>
      <c r="Z4020" s="43"/>
      <c r="AA4020" s="23"/>
      <c r="AB4020" s="23"/>
      <c r="AC4020" s="23"/>
      <c r="AD4020" s="23"/>
      <c r="AE4020" s="23"/>
      <c r="AF4020" s="23"/>
      <c r="AG4020" s="23"/>
      <c r="AH4020" s="23"/>
      <c r="AI4020" s="49"/>
    </row>
    <row r="4021" spans="1:35">
      <c r="A4021" s="23"/>
      <c r="B4021" s="42"/>
      <c r="C4021" s="49"/>
      <c r="E4021" s="49"/>
      <c r="G4021" s="43"/>
      <c r="H4021" s="44"/>
      <c r="L4021" s="42"/>
      <c r="M4021" s="42"/>
      <c r="N4021" s="25"/>
      <c r="O4021" s="54"/>
      <c r="P4021"/>
      <c r="Q4021" s="25"/>
      <c r="R4021" s="54"/>
      <c r="W4021" s="23"/>
      <c r="X4021" s="23"/>
      <c r="Y4021" s="23"/>
      <c r="Z4021" s="43"/>
      <c r="AA4021" s="23"/>
      <c r="AB4021" s="23"/>
      <c r="AC4021" s="23"/>
      <c r="AD4021" s="23"/>
      <c r="AE4021" s="23"/>
      <c r="AF4021" s="23"/>
      <c r="AG4021" s="23"/>
      <c r="AH4021" s="23"/>
      <c r="AI4021" s="49"/>
    </row>
    <row r="4022" spans="1:35">
      <c r="A4022" s="23"/>
      <c r="B4022" s="42"/>
      <c r="C4022" s="49"/>
      <c r="E4022" s="49"/>
      <c r="G4022" s="43"/>
      <c r="H4022" s="44"/>
      <c r="L4022" s="42"/>
      <c r="M4022" s="42"/>
      <c r="N4022" s="25"/>
      <c r="O4022" s="54"/>
      <c r="P4022"/>
      <c r="Q4022" s="25"/>
      <c r="R4022" s="54"/>
      <c r="W4022" s="23"/>
      <c r="X4022" s="23"/>
      <c r="Y4022" s="23"/>
      <c r="Z4022" s="43"/>
      <c r="AA4022" s="23"/>
      <c r="AB4022" s="23"/>
      <c r="AC4022" s="23"/>
      <c r="AD4022" s="23"/>
      <c r="AE4022" s="23"/>
      <c r="AF4022" s="23"/>
      <c r="AG4022" s="23"/>
      <c r="AH4022" s="23"/>
      <c r="AI4022" s="49"/>
    </row>
    <row r="4023" spans="1:35">
      <c r="A4023" s="23"/>
      <c r="B4023" s="42"/>
      <c r="C4023" s="49"/>
      <c r="E4023" s="49"/>
      <c r="G4023" s="43"/>
      <c r="H4023" s="44"/>
      <c r="L4023" s="42"/>
      <c r="M4023" s="42"/>
      <c r="N4023" s="25"/>
      <c r="O4023" s="54"/>
      <c r="P4023"/>
      <c r="Q4023" s="25"/>
      <c r="R4023" s="54"/>
      <c r="W4023" s="23"/>
      <c r="X4023" s="23"/>
      <c r="Y4023" s="23"/>
      <c r="Z4023" s="43"/>
      <c r="AA4023" s="23"/>
      <c r="AB4023" s="23"/>
      <c r="AC4023" s="23"/>
      <c r="AD4023" s="23"/>
      <c r="AE4023" s="23"/>
      <c r="AF4023" s="23"/>
      <c r="AG4023" s="23"/>
      <c r="AH4023" s="23"/>
      <c r="AI4023" s="49"/>
    </row>
    <row r="4024" spans="1:35">
      <c r="A4024" s="23"/>
      <c r="B4024" s="42"/>
      <c r="C4024" s="49"/>
      <c r="E4024" s="49"/>
      <c r="G4024" s="43"/>
      <c r="H4024" s="44"/>
      <c r="L4024" s="42"/>
      <c r="M4024" s="42"/>
      <c r="N4024" s="25"/>
      <c r="O4024" s="54"/>
      <c r="P4024"/>
      <c r="Q4024" s="25"/>
      <c r="R4024" s="54"/>
      <c r="W4024" s="23"/>
      <c r="X4024" s="23"/>
      <c r="Y4024" s="23"/>
      <c r="Z4024" s="43"/>
      <c r="AA4024" s="23"/>
      <c r="AB4024" s="23"/>
      <c r="AC4024" s="23"/>
      <c r="AD4024" s="23"/>
      <c r="AE4024" s="23"/>
      <c r="AF4024" s="23"/>
      <c r="AG4024" s="23"/>
      <c r="AH4024" s="23"/>
      <c r="AI4024" s="49"/>
    </row>
    <row r="4025" spans="1:35">
      <c r="A4025" s="23"/>
      <c r="B4025" s="42"/>
      <c r="C4025" s="49"/>
      <c r="E4025" s="49"/>
      <c r="G4025" s="43"/>
      <c r="H4025" s="44"/>
      <c r="L4025" s="42"/>
      <c r="M4025" s="42"/>
      <c r="N4025" s="25"/>
      <c r="O4025" s="54"/>
      <c r="P4025"/>
      <c r="Q4025" s="25"/>
      <c r="R4025" s="54"/>
      <c r="W4025" s="23"/>
      <c r="X4025" s="23"/>
      <c r="Y4025" s="23"/>
      <c r="Z4025" s="43"/>
      <c r="AA4025" s="23"/>
      <c r="AB4025" s="23"/>
      <c r="AC4025" s="23"/>
      <c r="AD4025" s="23"/>
      <c r="AE4025" s="23"/>
      <c r="AF4025" s="23"/>
      <c r="AG4025" s="23"/>
      <c r="AH4025" s="23"/>
      <c r="AI4025" s="49"/>
    </row>
    <row r="4026" spans="1:35">
      <c r="A4026" s="23"/>
      <c r="B4026" s="42"/>
      <c r="C4026" s="49"/>
      <c r="E4026" s="49"/>
      <c r="G4026" s="43"/>
      <c r="H4026" s="44"/>
      <c r="L4026" s="42"/>
      <c r="M4026" s="42"/>
      <c r="N4026" s="25"/>
      <c r="O4026" s="54"/>
      <c r="P4026"/>
      <c r="Q4026" s="25"/>
      <c r="R4026" s="54"/>
      <c r="W4026" s="23"/>
      <c r="X4026" s="23"/>
      <c r="Y4026" s="23"/>
      <c r="Z4026" s="43"/>
      <c r="AA4026" s="23"/>
      <c r="AB4026" s="23"/>
      <c r="AC4026" s="23"/>
      <c r="AD4026" s="23"/>
      <c r="AE4026" s="23"/>
      <c r="AF4026" s="23"/>
      <c r="AG4026" s="23"/>
      <c r="AH4026" s="23"/>
      <c r="AI4026" s="49"/>
    </row>
    <row r="4027" spans="1:35">
      <c r="A4027" s="23"/>
      <c r="B4027" s="42"/>
      <c r="C4027" s="49"/>
      <c r="E4027" s="49"/>
      <c r="G4027" s="43"/>
      <c r="H4027" s="44"/>
      <c r="L4027" s="42"/>
      <c r="M4027" s="42"/>
      <c r="N4027" s="25"/>
      <c r="O4027" s="54"/>
      <c r="P4027"/>
      <c r="Q4027" s="25"/>
      <c r="R4027" s="54"/>
      <c r="W4027" s="23"/>
      <c r="X4027" s="23"/>
      <c r="Y4027" s="23"/>
      <c r="Z4027" s="43"/>
      <c r="AA4027" s="23"/>
      <c r="AB4027" s="23"/>
      <c r="AC4027" s="23"/>
      <c r="AD4027" s="23"/>
      <c r="AE4027" s="23"/>
      <c r="AF4027" s="23"/>
      <c r="AG4027" s="23"/>
      <c r="AH4027" s="23"/>
      <c r="AI4027" s="49"/>
    </row>
    <row r="4028" spans="1:35">
      <c r="A4028" s="23"/>
      <c r="B4028" s="42"/>
      <c r="C4028" s="49"/>
      <c r="E4028" s="49"/>
      <c r="G4028" s="43"/>
      <c r="H4028" s="44"/>
      <c r="L4028" s="42"/>
      <c r="M4028" s="42"/>
      <c r="N4028" s="25"/>
      <c r="O4028" s="54"/>
      <c r="P4028"/>
      <c r="Q4028" s="25"/>
      <c r="R4028" s="54"/>
      <c r="W4028" s="23"/>
      <c r="X4028" s="23"/>
      <c r="Y4028" s="23"/>
      <c r="Z4028" s="43"/>
      <c r="AA4028" s="23"/>
      <c r="AB4028" s="23"/>
      <c r="AC4028" s="23"/>
      <c r="AD4028" s="23"/>
      <c r="AE4028" s="23"/>
      <c r="AF4028" s="23"/>
      <c r="AG4028" s="23"/>
      <c r="AH4028" s="23"/>
      <c r="AI4028" s="49"/>
    </row>
    <row r="4029" spans="1:35">
      <c r="A4029" s="23"/>
      <c r="B4029" s="42"/>
      <c r="C4029" s="49"/>
      <c r="E4029" s="49"/>
      <c r="G4029" s="43"/>
      <c r="H4029" s="44"/>
      <c r="L4029" s="42"/>
      <c r="M4029" s="42"/>
      <c r="N4029" s="25"/>
      <c r="O4029" s="54"/>
      <c r="P4029"/>
      <c r="Q4029" s="25"/>
      <c r="R4029" s="54"/>
      <c r="W4029" s="23"/>
      <c r="X4029" s="23"/>
      <c r="Y4029" s="23"/>
      <c r="Z4029" s="43"/>
      <c r="AA4029" s="23"/>
      <c r="AB4029" s="23"/>
      <c r="AC4029" s="23"/>
      <c r="AD4029" s="23"/>
      <c r="AE4029" s="23"/>
      <c r="AF4029" s="23"/>
      <c r="AG4029" s="23"/>
      <c r="AH4029" s="23"/>
      <c r="AI4029" s="49"/>
    </row>
    <row r="4030" spans="1:35">
      <c r="A4030" s="23"/>
      <c r="B4030" s="42"/>
      <c r="C4030" s="49"/>
      <c r="E4030" s="49"/>
      <c r="G4030" s="43"/>
      <c r="H4030" s="44"/>
      <c r="L4030" s="42"/>
      <c r="M4030" s="42"/>
      <c r="N4030" s="25"/>
      <c r="O4030" s="54"/>
      <c r="P4030"/>
      <c r="Q4030" s="25"/>
      <c r="R4030" s="54"/>
      <c r="W4030" s="23"/>
      <c r="X4030" s="23"/>
      <c r="Y4030" s="23"/>
      <c r="Z4030" s="43"/>
      <c r="AA4030" s="23"/>
      <c r="AB4030" s="23"/>
      <c r="AC4030" s="23"/>
      <c r="AD4030" s="23"/>
      <c r="AE4030" s="23"/>
      <c r="AF4030" s="23"/>
      <c r="AG4030" s="23"/>
      <c r="AH4030" s="23"/>
      <c r="AI4030" s="49"/>
    </row>
    <row r="4031" spans="1:35">
      <c r="A4031" s="23"/>
      <c r="B4031" s="42"/>
      <c r="C4031" s="49"/>
      <c r="E4031" s="49"/>
      <c r="G4031" s="43"/>
      <c r="H4031" s="44"/>
      <c r="L4031" s="42"/>
      <c r="M4031" s="42"/>
      <c r="N4031" s="25"/>
      <c r="O4031" s="54"/>
      <c r="P4031"/>
      <c r="Q4031" s="25"/>
      <c r="R4031" s="54"/>
      <c r="W4031" s="23"/>
      <c r="X4031" s="23"/>
      <c r="Y4031" s="23"/>
      <c r="Z4031" s="43"/>
      <c r="AA4031" s="23"/>
      <c r="AB4031" s="23"/>
      <c r="AC4031" s="23"/>
      <c r="AD4031" s="23"/>
      <c r="AE4031" s="23"/>
      <c r="AF4031" s="23"/>
      <c r="AG4031" s="23"/>
      <c r="AH4031" s="23"/>
      <c r="AI4031" s="49"/>
    </row>
    <row r="4032" spans="1:35">
      <c r="A4032" s="23"/>
      <c r="B4032" s="42"/>
      <c r="C4032" s="49"/>
      <c r="E4032" s="49"/>
      <c r="G4032" s="43"/>
      <c r="H4032" s="44"/>
      <c r="L4032" s="42"/>
      <c r="M4032" s="42"/>
      <c r="N4032" s="25"/>
      <c r="O4032" s="54"/>
      <c r="P4032"/>
      <c r="Q4032" s="25"/>
      <c r="R4032" s="54"/>
      <c r="W4032" s="23"/>
      <c r="X4032" s="23"/>
      <c r="Y4032" s="23"/>
      <c r="Z4032" s="43"/>
      <c r="AA4032" s="23"/>
      <c r="AB4032" s="23"/>
      <c r="AC4032" s="23"/>
      <c r="AD4032" s="23"/>
      <c r="AE4032" s="23"/>
      <c r="AF4032" s="23"/>
      <c r="AG4032" s="23"/>
      <c r="AH4032" s="23"/>
      <c r="AI4032" s="49"/>
    </row>
    <row r="4033" spans="1:35">
      <c r="A4033" s="23"/>
      <c r="B4033" s="42"/>
      <c r="C4033" s="49"/>
      <c r="E4033" s="49"/>
      <c r="G4033" s="43"/>
      <c r="H4033" s="44"/>
      <c r="L4033" s="42"/>
      <c r="M4033" s="42"/>
      <c r="N4033" s="25"/>
      <c r="O4033" s="54"/>
      <c r="P4033"/>
      <c r="Q4033" s="25"/>
      <c r="R4033" s="54"/>
      <c r="W4033" s="23"/>
      <c r="X4033" s="23"/>
      <c r="Y4033" s="23"/>
      <c r="Z4033" s="43"/>
      <c r="AA4033" s="23"/>
      <c r="AB4033" s="23"/>
      <c r="AC4033" s="23"/>
      <c r="AD4033" s="23"/>
      <c r="AE4033" s="23"/>
      <c r="AF4033" s="23"/>
      <c r="AG4033" s="23"/>
      <c r="AH4033" s="23"/>
      <c r="AI4033" s="49"/>
    </row>
    <row r="4034" spans="1:35">
      <c r="A4034" s="23"/>
      <c r="B4034" s="42"/>
      <c r="C4034" s="49"/>
      <c r="E4034" s="49"/>
      <c r="G4034" s="43"/>
      <c r="H4034" s="44"/>
      <c r="L4034" s="42"/>
      <c r="M4034" s="42"/>
      <c r="N4034" s="25"/>
      <c r="O4034" s="54"/>
      <c r="P4034"/>
      <c r="Q4034" s="25"/>
      <c r="R4034" s="54"/>
      <c r="W4034" s="23"/>
      <c r="X4034" s="23"/>
      <c r="Y4034" s="23"/>
      <c r="Z4034" s="43"/>
      <c r="AA4034" s="23"/>
      <c r="AB4034" s="23"/>
      <c r="AC4034" s="23"/>
      <c r="AD4034" s="23"/>
      <c r="AE4034" s="23"/>
      <c r="AF4034" s="23"/>
      <c r="AG4034" s="23"/>
      <c r="AH4034" s="23"/>
      <c r="AI4034" s="49"/>
    </row>
    <row r="4035" spans="1:35">
      <c r="A4035" s="23"/>
      <c r="B4035" s="42"/>
      <c r="C4035" s="49"/>
      <c r="E4035" s="49"/>
      <c r="G4035" s="43"/>
      <c r="H4035" s="44"/>
      <c r="L4035" s="42"/>
      <c r="M4035" s="42"/>
      <c r="N4035" s="25"/>
      <c r="O4035" s="54"/>
      <c r="P4035"/>
      <c r="Q4035" s="25"/>
      <c r="R4035" s="54"/>
      <c r="W4035" s="23"/>
      <c r="X4035" s="23"/>
      <c r="Y4035" s="23"/>
      <c r="Z4035" s="43"/>
      <c r="AA4035" s="23"/>
      <c r="AB4035" s="23"/>
      <c r="AC4035" s="23"/>
      <c r="AD4035" s="23"/>
      <c r="AE4035" s="23"/>
      <c r="AF4035" s="23"/>
      <c r="AG4035" s="23"/>
      <c r="AH4035" s="23"/>
      <c r="AI4035" s="49"/>
    </row>
    <row r="4036" spans="1:35">
      <c r="A4036" s="23"/>
      <c r="B4036" s="42"/>
      <c r="C4036" s="49"/>
      <c r="E4036" s="49"/>
      <c r="G4036" s="43"/>
      <c r="H4036" s="44"/>
      <c r="L4036" s="42"/>
      <c r="M4036" s="42"/>
      <c r="N4036" s="25"/>
      <c r="O4036" s="54"/>
      <c r="P4036"/>
      <c r="Q4036" s="25"/>
      <c r="R4036" s="54"/>
      <c r="W4036" s="23"/>
      <c r="X4036" s="23"/>
      <c r="Y4036" s="23"/>
      <c r="Z4036" s="43"/>
      <c r="AA4036" s="23"/>
      <c r="AB4036" s="23"/>
      <c r="AC4036" s="23"/>
      <c r="AD4036" s="23"/>
      <c r="AE4036" s="23"/>
      <c r="AF4036" s="23"/>
      <c r="AG4036" s="23"/>
      <c r="AH4036" s="23"/>
      <c r="AI4036" s="49"/>
    </row>
    <row r="4037" spans="1:35">
      <c r="A4037" s="23"/>
      <c r="B4037" s="42"/>
      <c r="C4037" s="49"/>
      <c r="E4037" s="49"/>
      <c r="G4037" s="43"/>
      <c r="H4037" s="44"/>
      <c r="L4037" s="42"/>
      <c r="M4037" s="42"/>
      <c r="N4037" s="25"/>
      <c r="O4037" s="54"/>
      <c r="P4037"/>
      <c r="Q4037" s="25"/>
      <c r="R4037" s="54"/>
      <c r="W4037" s="23"/>
      <c r="X4037" s="23"/>
      <c r="Y4037" s="23"/>
      <c r="Z4037" s="43"/>
      <c r="AA4037" s="23"/>
      <c r="AB4037" s="23"/>
      <c r="AC4037" s="23"/>
      <c r="AD4037" s="23"/>
      <c r="AE4037" s="23"/>
      <c r="AF4037" s="23"/>
      <c r="AG4037" s="23"/>
      <c r="AH4037" s="23"/>
      <c r="AI4037" s="49"/>
    </row>
    <row r="4038" spans="1:35">
      <c r="A4038" s="23"/>
      <c r="B4038" s="42"/>
      <c r="C4038" s="49"/>
      <c r="E4038" s="49"/>
      <c r="G4038" s="43"/>
      <c r="H4038" s="44"/>
      <c r="L4038" s="42"/>
      <c r="M4038" s="42"/>
      <c r="N4038" s="25"/>
      <c r="O4038" s="54"/>
      <c r="P4038"/>
      <c r="Q4038" s="25"/>
      <c r="R4038" s="54"/>
      <c r="W4038" s="23"/>
      <c r="X4038" s="23"/>
      <c r="Y4038" s="23"/>
      <c r="Z4038" s="43"/>
      <c r="AA4038" s="23"/>
      <c r="AB4038" s="23"/>
      <c r="AC4038" s="23"/>
      <c r="AD4038" s="23"/>
      <c r="AE4038" s="23"/>
      <c r="AF4038" s="23"/>
      <c r="AG4038" s="23"/>
      <c r="AH4038" s="23"/>
      <c r="AI4038" s="49"/>
    </row>
    <row r="4039" spans="1:35">
      <c r="A4039" s="23"/>
      <c r="B4039" s="42"/>
      <c r="C4039" s="49"/>
      <c r="E4039" s="49"/>
      <c r="G4039" s="43"/>
      <c r="H4039" s="44"/>
      <c r="L4039" s="42"/>
      <c r="M4039" s="42"/>
      <c r="N4039" s="25"/>
      <c r="O4039" s="54"/>
      <c r="P4039"/>
      <c r="Q4039" s="25"/>
      <c r="R4039" s="54"/>
      <c r="W4039" s="23"/>
      <c r="X4039" s="23"/>
      <c r="Y4039" s="23"/>
      <c r="Z4039" s="43"/>
      <c r="AA4039" s="23"/>
      <c r="AB4039" s="23"/>
      <c r="AC4039" s="23"/>
      <c r="AD4039" s="23"/>
      <c r="AE4039" s="23"/>
      <c r="AF4039" s="23"/>
      <c r="AG4039" s="23"/>
      <c r="AH4039" s="23"/>
      <c r="AI4039" s="49"/>
    </row>
    <row r="4040" spans="1:35">
      <c r="A4040" s="23"/>
      <c r="B4040" s="42"/>
      <c r="C4040" s="49"/>
      <c r="E4040" s="49"/>
      <c r="G4040" s="43"/>
      <c r="H4040" s="44"/>
      <c r="L4040" s="42"/>
      <c r="M4040" s="42"/>
      <c r="N4040" s="25"/>
      <c r="O4040" s="54"/>
      <c r="P4040"/>
      <c r="Q4040" s="25"/>
      <c r="R4040" s="54"/>
      <c r="W4040" s="23"/>
      <c r="X4040" s="23"/>
      <c r="Y4040" s="23"/>
      <c r="Z4040" s="43"/>
      <c r="AA4040" s="23"/>
      <c r="AB4040" s="23"/>
      <c r="AC4040" s="23"/>
      <c r="AD4040" s="23"/>
      <c r="AE4040" s="23"/>
      <c r="AF4040" s="23"/>
      <c r="AG4040" s="23"/>
      <c r="AH4040" s="23"/>
      <c r="AI4040" s="49"/>
    </row>
    <row r="4041" spans="1:35">
      <c r="A4041" s="23"/>
      <c r="B4041" s="42"/>
      <c r="C4041" s="49"/>
      <c r="E4041" s="49"/>
      <c r="G4041" s="43"/>
      <c r="H4041" s="44"/>
      <c r="L4041" s="42"/>
      <c r="M4041" s="42"/>
      <c r="N4041" s="25"/>
      <c r="O4041" s="54"/>
      <c r="P4041"/>
      <c r="Q4041" s="25"/>
      <c r="R4041" s="54"/>
      <c r="W4041" s="23"/>
      <c r="X4041" s="23"/>
      <c r="Y4041" s="23"/>
      <c r="Z4041" s="43"/>
      <c r="AA4041" s="23"/>
      <c r="AB4041" s="23"/>
      <c r="AC4041" s="23"/>
      <c r="AD4041" s="23"/>
      <c r="AE4041" s="23"/>
      <c r="AF4041" s="23"/>
      <c r="AG4041" s="23"/>
      <c r="AH4041" s="23"/>
      <c r="AI4041" s="49"/>
    </row>
    <row r="4042" spans="1:35">
      <c r="A4042" s="23"/>
      <c r="B4042" s="42"/>
      <c r="C4042" s="49"/>
      <c r="E4042" s="49"/>
      <c r="G4042" s="43"/>
      <c r="H4042" s="44"/>
      <c r="L4042" s="42"/>
      <c r="M4042" s="42"/>
      <c r="N4042" s="25"/>
      <c r="O4042" s="54"/>
      <c r="P4042"/>
      <c r="Q4042" s="25"/>
      <c r="R4042" s="54"/>
      <c r="W4042" s="23"/>
      <c r="X4042" s="23"/>
      <c r="Y4042" s="23"/>
      <c r="Z4042" s="43"/>
      <c r="AA4042" s="23"/>
      <c r="AB4042" s="23"/>
      <c r="AC4042" s="23"/>
      <c r="AD4042" s="23"/>
      <c r="AE4042" s="23"/>
      <c r="AF4042" s="23"/>
      <c r="AG4042" s="23"/>
      <c r="AH4042" s="23"/>
      <c r="AI4042" s="49"/>
    </row>
    <row r="4043" spans="1:35">
      <c r="A4043" s="23"/>
      <c r="B4043" s="42"/>
      <c r="C4043" s="49"/>
      <c r="E4043" s="49"/>
      <c r="G4043" s="43"/>
      <c r="H4043" s="44"/>
      <c r="L4043" s="42"/>
      <c r="M4043" s="42"/>
      <c r="N4043" s="25"/>
      <c r="O4043" s="54"/>
      <c r="P4043"/>
      <c r="Q4043" s="25"/>
      <c r="R4043" s="54"/>
      <c r="W4043" s="23"/>
      <c r="X4043" s="23"/>
      <c r="Y4043" s="23"/>
      <c r="Z4043" s="43"/>
      <c r="AA4043" s="23"/>
      <c r="AB4043" s="23"/>
      <c r="AC4043" s="23"/>
      <c r="AD4043" s="23"/>
      <c r="AE4043" s="23"/>
      <c r="AF4043" s="23"/>
      <c r="AG4043" s="23"/>
      <c r="AH4043" s="23"/>
      <c r="AI4043" s="49"/>
    </row>
    <row r="4044" spans="1:35">
      <c r="A4044" s="23"/>
      <c r="B4044" s="42"/>
      <c r="C4044" s="49"/>
      <c r="E4044" s="49"/>
      <c r="G4044" s="43"/>
      <c r="H4044" s="44"/>
      <c r="L4044" s="42"/>
      <c r="M4044" s="42"/>
      <c r="N4044" s="25"/>
      <c r="O4044" s="54"/>
      <c r="P4044"/>
      <c r="Q4044" s="25"/>
      <c r="R4044" s="54"/>
      <c r="W4044" s="23"/>
      <c r="X4044" s="23"/>
      <c r="Y4044" s="23"/>
      <c r="Z4044" s="43"/>
      <c r="AA4044" s="23"/>
      <c r="AB4044" s="23"/>
      <c r="AC4044" s="23"/>
      <c r="AD4044" s="23"/>
      <c r="AE4044" s="23"/>
      <c r="AF4044" s="23"/>
      <c r="AG4044" s="23"/>
      <c r="AH4044" s="23"/>
      <c r="AI4044" s="49"/>
    </row>
    <row r="4045" spans="1:35">
      <c r="A4045" s="23"/>
      <c r="B4045" s="42"/>
      <c r="C4045" s="49"/>
      <c r="E4045" s="49"/>
      <c r="G4045" s="43"/>
      <c r="H4045" s="44"/>
      <c r="L4045" s="42"/>
      <c r="M4045" s="42"/>
      <c r="N4045" s="25"/>
      <c r="O4045" s="54"/>
      <c r="P4045"/>
      <c r="Q4045" s="25"/>
      <c r="R4045" s="54"/>
      <c r="W4045" s="23"/>
      <c r="X4045" s="23"/>
      <c r="Y4045" s="23"/>
      <c r="Z4045" s="43"/>
      <c r="AA4045" s="23"/>
      <c r="AB4045" s="23"/>
      <c r="AC4045" s="23"/>
      <c r="AD4045" s="23"/>
      <c r="AE4045" s="23"/>
      <c r="AF4045" s="23"/>
      <c r="AG4045" s="23"/>
      <c r="AH4045" s="23"/>
      <c r="AI4045" s="49"/>
    </row>
    <row r="4046" spans="1:35">
      <c r="A4046" s="23"/>
      <c r="B4046" s="42"/>
      <c r="C4046" s="49"/>
      <c r="E4046" s="49"/>
      <c r="G4046" s="43"/>
      <c r="H4046" s="44"/>
      <c r="L4046" s="42"/>
      <c r="M4046" s="42"/>
      <c r="N4046" s="25"/>
      <c r="O4046" s="54"/>
      <c r="P4046"/>
      <c r="Q4046" s="25"/>
      <c r="R4046" s="54"/>
      <c r="W4046" s="23"/>
      <c r="X4046" s="23"/>
      <c r="Y4046" s="23"/>
      <c r="Z4046" s="43"/>
      <c r="AA4046" s="23"/>
      <c r="AB4046" s="23"/>
      <c r="AC4046" s="23"/>
      <c r="AD4046" s="23"/>
      <c r="AE4046" s="23"/>
      <c r="AF4046" s="23"/>
      <c r="AG4046" s="23"/>
      <c r="AH4046" s="23"/>
      <c r="AI4046" s="49"/>
    </row>
    <row r="4047" spans="1:35">
      <c r="A4047" s="23"/>
      <c r="B4047" s="42"/>
      <c r="C4047" s="49"/>
      <c r="E4047" s="49"/>
      <c r="G4047" s="43"/>
      <c r="H4047" s="44"/>
      <c r="L4047" s="42"/>
      <c r="M4047" s="42"/>
      <c r="N4047" s="25"/>
      <c r="O4047" s="54"/>
      <c r="P4047"/>
      <c r="Q4047" s="25"/>
      <c r="R4047" s="54"/>
      <c r="W4047" s="23"/>
      <c r="X4047" s="23"/>
      <c r="Y4047" s="23"/>
      <c r="Z4047" s="43"/>
      <c r="AA4047" s="23"/>
      <c r="AB4047" s="23"/>
      <c r="AC4047" s="23"/>
      <c r="AD4047" s="23"/>
      <c r="AE4047" s="23"/>
      <c r="AF4047" s="23"/>
      <c r="AG4047" s="23"/>
      <c r="AH4047" s="23"/>
      <c r="AI4047" s="49"/>
    </row>
    <row r="4048" spans="1:35">
      <c r="B4048" s="42"/>
      <c r="C4048" s="49"/>
      <c r="E4048" s="49"/>
      <c r="G4048" s="43"/>
      <c r="H4048" s="44"/>
      <c r="L4048" s="42"/>
      <c r="M4048" s="42"/>
      <c r="N4048" s="25"/>
      <c r="O4048" s="54"/>
      <c r="P4048"/>
      <c r="Q4048" s="25"/>
      <c r="R4048" s="54"/>
      <c r="W4048" s="23"/>
      <c r="X4048" s="23"/>
      <c r="Y4048" s="23"/>
      <c r="Z4048" s="43"/>
      <c r="AA4048" s="23"/>
      <c r="AB4048" s="23"/>
      <c r="AC4048" s="23"/>
      <c r="AD4048" s="23"/>
      <c r="AE4048" s="23"/>
      <c r="AF4048" s="23"/>
      <c r="AG4048" s="23"/>
      <c r="AH4048" s="23"/>
      <c r="AI4048" s="23"/>
    </row>
    <row r="4049" spans="1:35">
      <c r="B4049" s="42"/>
      <c r="C4049" s="49"/>
      <c r="E4049" s="49"/>
      <c r="G4049" s="43"/>
      <c r="H4049" s="44"/>
      <c r="L4049" s="42"/>
      <c r="M4049" s="42"/>
      <c r="N4049" s="25"/>
      <c r="O4049" s="54"/>
      <c r="P4049"/>
      <c r="Q4049" s="25"/>
      <c r="R4049" s="54"/>
      <c r="W4049" s="23"/>
      <c r="X4049" s="23"/>
      <c r="Y4049" s="23"/>
      <c r="Z4049" s="43"/>
      <c r="AA4049" s="23"/>
      <c r="AB4049" s="23"/>
      <c r="AC4049" s="23"/>
      <c r="AD4049" s="23"/>
      <c r="AE4049" s="23"/>
      <c r="AF4049" s="23"/>
      <c r="AG4049" s="23"/>
      <c r="AH4049" s="23"/>
      <c r="AI4049" s="23"/>
    </row>
    <row r="4050" spans="1:35">
      <c r="B4050" s="42"/>
      <c r="C4050" s="49"/>
      <c r="E4050" s="49"/>
      <c r="G4050" s="43"/>
      <c r="H4050" s="44"/>
      <c r="L4050" s="42"/>
      <c r="M4050" s="42"/>
      <c r="N4050" s="25"/>
      <c r="O4050" s="54"/>
      <c r="P4050"/>
      <c r="Q4050" s="25"/>
      <c r="R4050" s="54"/>
      <c r="W4050" s="23"/>
      <c r="X4050" s="23"/>
      <c r="Y4050" s="23"/>
      <c r="Z4050" s="43"/>
      <c r="AA4050" s="23"/>
      <c r="AB4050" s="23"/>
      <c r="AC4050" s="23"/>
      <c r="AD4050" s="23"/>
      <c r="AE4050" s="23"/>
      <c r="AF4050" s="23"/>
      <c r="AG4050" s="23"/>
      <c r="AH4050" s="23"/>
      <c r="AI4050" s="23"/>
    </row>
    <row r="4051" spans="1:35">
      <c r="A4051" s="23"/>
      <c r="B4051" s="42"/>
      <c r="C4051" s="49"/>
      <c r="E4051" s="49"/>
      <c r="G4051" s="43"/>
      <c r="H4051" s="44"/>
      <c r="L4051" s="42"/>
      <c r="M4051" s="42"/>
      <c r="N4051" s="25"/>
      <c r="O4051" s="54"/>
      <c r="P4051"/>
      <c r="Q4051" s="25"/>
      <c r="R4051" s="54"/>
      <c r="W4051" s="23"/>
      <c r="X4051" s="23"/>
      <c r="Y4051" s="23"/>
      <c r="Z4051" s="43"/>
      <c r="AA4051" s="23"/>
      <c r="AB4051" s="23"/>
      <c r="AC4051" s="23"/>
      <c r="AD4051" s="23"/>
      <c r="AE4051" s="23"/>
      <c r="AF4051" s="23"/>
      <c r="AG4051" s="23"/>
      <c r="AH4051" s="23"/>
      <c r="AI4051" s="49"/>
    </row>
    <row r="4052" spans="1:35">
      <c r="A4052" s="23"/>
      <c r="B4052" s="42"/>
      <c r="C4052" s="49"/>
      <c r="E4052" s="49"/>
      <c r="G4052" s="43"/>
      <c r="H4052" s="44"/>
      <c r="L4052" s="42"/>
      <c r="M4052" s="42"/>
      <c r="N4052" s="25"/>
      <c r="O4052" s="54"/>
      <c r="P4052"/>
      <c r="Q4052" s="25"/>
      <c r="R4052" s="54"/>
      <c r="W4052" s="23"/>
      <c r="X4052" s="23"/>
      <c r="Y4052" s="23"/>
      <c r="Z4052" s="43"/>
      <c r="AA4052" s="23"/>
      <c r="AB4052" s="23"/>
      <c r="AC4052" s="23"/>
      <c r="AD4052" s="23"/>
      <c r="AE4052" s="23"/>
      <c r="AF4052" s="23"/>
      <c r="AG4052" s="23"/>
      <c r="AH4052" s="23"/>
      <c r="AI4052" s="49"/>
    </row>
    <row r="4053" spans="1:35">
      <c r="A4053" s="23"/>
      <c r="B4053" s="42"/>
      <c r="C4053" s="49"/>
      <c r="E4053" s="49"/>
      <c r="G4053" s="43"/>
      <c r="H4053" s="44"/>
      <c r="L4053" s="42"/>
      <c r="M4053" s="42"/>
      <c r="N4053" s="25"/>
      <c r="O4053" s="54"/>
      <c r="P4053"/>
      <c r="Q4053" s="25"/>
      <c r="R4053" s="54"/>
      <c r="W4053" s="23"/>
      <c r="X4053" s="23"/>
      <c r="Y4053" s="23"/>
      <c r="Z4053" s="43"/>
      <c r="AA4053" s="23"/>
      <c r="AB4053" s="23"/>
      <c r="AC4053" s="23"/>
      <c r="AD4053" s="23"/>
      <c r="AE4053" s="23"/>
      <c r="AF4053" s="23"/>
      <c r="AG4053" s="23"/>
      <c r="AH4053" s="23"/>
      <c r="AI4053" s="49"/>
    </row>
    <row r="4054" spans="1:35">
      <c r="A4054" s="23"/>
      <c r="B4054" s="42"/>
      <c r="C4054" s="49"/>
      <c r="E4054" s="49"/>
      <c r="G4054" s="43"/>
      <c r="H4054" s="44"/>
      <c r="L4054" s="42"/>
      <c r="M4054" s="42"/>
      <c r="N4054" s="25"/>
      <c r="O4054" s="54"/>
      <c r="P4054"/>
      <c r="Q4054" s="25"/>
      <c r="R4054" s="54"/>
      <c r="W4054" s="23"/>
      <c r="X4054" s="23"/>
      <c r="Y4054" s="23"/>
      <c r="Z4054" s="43"/>
      <c r="AA4054" s="23"/>
      <c r="AB4054" s="23"/>
      <c r="AC4054" s="23"/>
      <c r="AD4054" s="23"/>
      <c r="AE4054" s="23"/>
      <c r="AF4054" s="23"/>
      <c r="AG4054" s="23"/>
      <c r="AH4054" s="23"/>
      <c r="AI4054" s="49"/>
    </row>
    <row r="4055" spans="1:35">
      <c r="A4055" s="23"/>
      <c r="B4055" s="42"/>
      <c r="C4055" s="49"/>
      <c r="E4055" s="49"/>
      <c r="G4055" s="43"/>
      <c r="H4055" s="44"/>
      <c r="L4055" s="42"/>
      <c r="M4055" s="42"/>
      <c r="N4055" s="25"/>
      <c r="O4055" s="54"/>
      <c r="P4055"/>
      <c r="Q4055" s="25"/>
      <c r="R4055" s="54"/>
      <c r="W4055" s="23"/>
      <c r="X4055" s="23"/>
      <c r="Y4055" s="23"/>
      <c r="Z4055" s="43"/>
      <c r="AA4055" s="23"/>
      <c r="AB4055" s="23"/>
      <c r="AC4055" s="23"/>
      <c r="AD4055" s="23"/>
      <c r="AE4055" s="23"/>
      <c r="AF4055" s="23"/>
      <c r="AG4055" s="23"/>
      <c r="AH4055" s="23"/>
      <c r="AI4055" s="49"/>
    </row>
    <row r="4056" spans="1:35">
      <c r="A4056" s="23"/>
      <c r="B4056" s="42"/>
      <c r="C4056" s="49"/>
      <c r="E4056" s="49"/>
      <c r="G4056" s="43"/>
      <c r="H4056" s="44"/>
      <c r="L4056" s="42"/>
      <c r="M4056" s="42"/>
      <c r="N4056" s="25"/>
      <c r="O4056" s="54"/>
      <c r="P4056"/>
      <c r="Q4056" s="25"/>
      <c r="R4056" s="54"/>
      <c r="W4056" s="23"/>
      <c r="X4056" s="23"/>
      <c r="Y4056" s="23"/>
      <c r="Z4056" s="43"/>
      <c r="AA4056" s="23"/>
      <c r="AB4056" s="23"/>
      <c r="AC4056" s="23"/>
      <c r="AD4056" s="23"/>
      <c r="AE4056" s="23"/>
      <c r="AF4056" s="23"/>
      <c r="AG4056" s="23"/>
      <c r="AH4056" s="23"/>
      <c r="AI4056" s="49"/>
    </row>
    <row r="4057" spans="1:35">
      <c r="A4057" s="23"/>
      <c r="B4057" s="42"/>
      <c r="C4057" s="49"/>
      <c r="E4057" s="49"/>
      <c r="G4057" s="43"/>
      <c r="H4057" s="44"/>
      <c r="L4057" s="42"/>
      <c r="M4057" s="42"/>
      <c r="N4057" s="25"/>
      <c r="O4057" s="54"/>
      <c r="P4057"/>
      <c r="Q4057" s="25"/>
      <c r="R4057" s="54"/>
      <c r="W4057" s="23"/>
      <c r="X4057" s="23"/>
      <c r="Y4057" s="23"/>
      <c r="Z4057" s="43"/>
      <c r="AA4057" s="23"/>
      <c r="AB4057" s="23"/>
      <c r="AC4057" s="23"/>
      <c r="AD4057" s="23"/>
      <c r="AE4057" s="23"/>
      <c r="AF4057" s="23"/>
      <c r="AG4057" s="23"/>
      <c r="AH4057" s="23"/>
      <c r="AI4057" s="49"/>
    </row>
    <row r="4058" spans="1:35">
      <c r="A4058" s="23"/>
      <c r="B4058" s="42"/>
      <c r="C4058" s="49"/>
      <c r="E4058" s="49"/>
      <c r="G4058" s="43"/>
      <c r="H4058" s="44"/>
      <c r="L4058" s="42"/>
      <c r="M4058" s="42"/>
      <c r="N4058" s="25"/>
      <c r="O4058" s="54"/>
      <c r="P4058"/>
      <c r="Q4058" s="25"/>
      <c r="R4058" s="54"/>
      <c r="W4058" s="23"/>
      <c r="X4058" s="23"/>
      <c r="Y4058" s="23"/>
      <c r="Z4058" s="43"/>
      <c r="AA4058" s="23"/>
      <c r="AB4058" s="23"/>
      <c r="AC4058" s="23"/>
      <c r="AD4058" s="23"/>
      <c r="AE4058" s="23"/>
      <c r="AF4058" s="23"/>
      <c r="AG4058" s="23"/>
      <c r="AH4058" s="23"/>
      <c r="AI4058" s="49"/>
    </row>
    <row r="4059" spans="1:35">
      <c r="A4059" s="23"/>
      <c r="B4059" s="42"/>
      <c r="C4059" s="49"/>
      <c r="E4059" s="49"/>
      <c r="G4059" s="43"/>
      <c r="H4059" s="44"/>
      <c r="L4059" s="42"/>
      <c r="M4059" s="42"/>
      <c r="N4059" s="25"/>
      <c r="O4059" s="54"/>
      <c r="P4059"/>
      <c r="Q4059" s="25"/>
      <c r="R4059" s="54"/>
      <c r="W4059" s="23"/>
      <c r="X4059" s="23"/>
      <c r="Y4059" s="23"/>
      <c r="Z4059" s="43"/>
      <c r="AA4059" s="23"/>
      <c r="AB4059" s="23"/>
      <c r="AC4059" s="23"/>
      <c r="AD4059" s="23"/>
      <c r="AE4059" s="23"/>
      <c r="AF4059" s="23"/>
      <c r="AG4059" s="23"/>
      <c r="AH4059" s="23"/>
      <c r="AI4059" s="49"/>
    </row>
    <row r="4060" spans="1:35">
      <c r="A4060" s="23"/>
      <c r="B4060" s="42"/>
      <c r="C4060" s="49"/>
      <c r="E4060" s="49"/>
      <c r="G4060" s="43"/>
      <c r="H4060" s="44"/>
      <c r="L4060" s="42"/>
      <c r="M4060" s="42"/>
      <c r="N4060" s="25"/>
      <c r="O4060" s="54"/>
      <c r="P4060"/>
      <c r="Q4060" s="25"/>
      <c r="R4060" s="54"/>
      <c r="W4060" s="23"/>
      <c r="X4060" s="23"/>
      <c r="Y4060" s="23"/>
      <c r="Z4060" s="43"/>
      <c r="AA4060" s="23"/>
      <c r="AB4060" s="23"/>
      <c r="AC4060" s="23"/>
      <c r="AD4060" s="23"/>
      <c r="AE4060" s="23"/>
      <c r="AF4060" s="23"/>
      <c r="AG4060" s="23"/>
      <c r="AH4060" s="23"/>
      <c r="AI4060" s="49"/>
    </row>
    <row r="4061" spans="1:35">
      <c r="A4061" s="23"/>
      <c r="B4061" s="42"/>
      <c r="C4061" s="49"/>
      <c r="E4061" s="49"/>
      <c r="G4061" s="43"/>
      <c r="H4061" s="44"/>
      <c r="L4061" s="42"/>
      <c r="M4061" s="42"/>
      <c r="N4061" s="25"/>
      <c r="O4061" s="54"/>
      <c r="P4061"/>
      <c r="Q4061" s="25"/>
      <c r="R4061" s="54"/>
      <c r="W4061" s="23"/>
      <c r="X4061" s="23"/>
      <c r="Y4061" s="23"/>
      <c r="Z4061" s="43"/>
      <c r="AA4061" s="23"/>
      <c r="AB4061" s="23"/>
      <c r="AC4061" s="23"/>
      <c r="AD4061" s="23"/>
      <c r="AE4061" s="23"/>
      <c r="AF4061" s="23"/>
      <c r="AG4061" s="23"/>
      <c r="AH4061" s="23"/>
      <c r="AI4061" s="49"/>
    </row>
    <row r="4062" spans="1:35">
      <c r="A4062" s="23"/>
      <c r="B4062" s="42"/>
      <c r="C4062" s="49"/>
      <c r="E4062" s="49"/>
      <c r="G4062" s="43"/>
      <c r="H4062" s="44"/>
      <c r="L4062" s="42"/>
      <c r="M4062" s="42"/>
      <c r="N4062" s="25"/>
      <c r="O4062" s="54"/>
      <c r="P4062"/>
      <c r="Q4062" s="25"/>
      <c r="R4062" s="54"/>
      <c r="W4062" s="23"/>
      <c r="X4062" s="23"/>
      <c r="Y4062" s="23"/>
      <c r="Z4062" s="43"/>
      <c r="AA4062" s="23"/>
      <c r="AB4062" s="23"/>
      <c r="AC4062" s="23"/>
      <c r="AD4062" s="23"/>
      <c r="AE4062" s="23"/>
      <c r="AF4062" s="23"/>
      <c r="AG4062" s="23"/>
      <c r="AH4062" s="23"/>
      <c r="AI4062" s="49"/>
    </row>
    <row r="4063" spans="1:35">
      <c r="A4063" s="23"/>
      <c r="B4063" s="42"/>
      <c r="C4063" s="49"/>
      <c r="E4063" s="49"/>
      <c r="G4063" s="43"/>
      <c r="H4063" s="44"/>
      <c r="L4063" s="42"/>
      <c r="M4063" s="42"/>
      <c r="N4063" s="25"/>
      <c r="O4063" s="54"/>
      <c r="P4063"/>
      <c r="Q4063" s="25"/>
      <c r="R4063" s="54"/>
      <c r="W4063" s="23"/>
      <c r="X4063" s="23"/>
      <c r="Y4063" s="23"/>
      <c r="Z4063" s="43"/>
      <c r="AA4063" s="23"/>
      <c r="AB4063" s="23"/>
      <c r="AC4063" s="23"/>
      <c r="AD4063" s="23"/>
      <c r="AE4063" s="23"/>
      <c r="AF4063" s="23"/>
      <c r="AG4063" s="23"/>
      <c r="AH4063" s="23"/>
      <c r="AI4063" s="49"/>
    </row>
    <row r="4064" spans="1:35">
      <c r="A4064" s="23"/>
      <c r="B4064" s="42"/>
      <c r="C4064" s="49"/>
      <c r="E4064" s="49"/>
      <c r="G4064" s="43"/>
      <c r="H4064" s="44"/>
      <c r="L4064" s="42"/>
      <c r="M4064" s="42"/>
      <c r="N4064" s="25"/>
      <c r="O4064" s="54"/>
      <c r="P4064"/>
      <c r="Q4064" s="25"/>
      <c r="R4064" s="54"/>
      <c r="W4064" s="23"/>
      <c r="X4064" s="23"/>
      <c r="Y4064" s="23"/>
      <c r="Z4064" s="43"/>
      <c r="AA4064" s="23"/>
      <c r="AB4064" s="23"/>
      <c r="AC4064" s="23"/>
      <c r="AD4064" s="23"/>
      <c r="AE4064" s="23"/>
      <c r="AF4064" s="23"/>
      <c r="AG4064" s="23"/>
      <c r="AH4064" s="23"/>
      <c r="AI4064" s="49"/>
    </row>
    <row r="4065" spans="1:35">
      <c r="A4065" s="23"/>
      <c r="B4065" s="42"/>
      <c r="C4065" s="49"/>
      <c r="E4065" s="49"/>
      <c r="G4065" s="43"/>
      <c r="H4065" s="44"/>
      <c r="L4065" s="42"/>
      <c r="M4065" s="42"/>
      <c r="N4065" s="25"/>
      <c r="O4065" s="54"/>
      <c r="P4065"/>
      <c r="Q4065" s="25"/>
      <c r="R4065" s="54"/>
      <c r="W4065" s="23"/>
      <c r="X4065" s="23"/>
      <c r="Y4065" s="23"/>
      <c r="Z4065" s="43"/>
      <c r="AA4065" s="23"/>
      <c r="AB4065" s="23"/>
      <c r="AC4065" s="23"/>
      <c r="AD4065" s="23"/>
      <c r="AE4065" s="23"/>
      <c r="AF4065" s="23"/>
      <c r="AG4065" s="23"/>
      <c r="AH4065" s="23"/>
      <c r="AI4065" s="49"/>
    </row>
    <row r="4066" spans="1:35">
      <c r="A4066" s="23"/>
      <c r="B4066" s="42"/>
      <c r="C4066" s="49"/>
      <c r="E4066" s="49"/>
      <c r="G4066" s="43"/>
      <c r="H4066" s="44"/>
      <c r="L4066" s="42"/>
      <c r="M4066" s="42"/>
      <c r="N4066" s="25"/>
      <c r="O4066" s="54"/>
      <c r="P4066"/>
      <c r="Q4066" s="25"/>
      <c r="R4066" s="54"/>
      <c r="W4066" s="23"/>
      <c r="X4066" s="23"/>
      <c r="Y4066" s="23"/>
      <c r="Z4066" s="43"/>
      <c r="AA4066" s="23"/>
      <c r="AB4066" s="23"/>
      <c r="AC4066" s="23"/>
      <c r="AD4066" s="23"/>
      <c r="AE4066" s="23"/>
      <c r="AF4066" s="23"/>
      <c r="AG4066" s="23"/>
      <c r="AH4066" s="23"/>
      <c r="AI4066" s="49"/>
    </row>
    <row r="4067" spans="1:35">
      <c r="A4067" s="23"/>
      <c r="B4067" s="42"/>
      <c r="C4067" s="49"/>
      <c r="E4067" s="49"/>
      <c r="G4067" s="43"/>
      <c r="H4067" s="44"/>
      <c r="L4067" s="42"/>
      <c r="M4067" s="42"/>
      <c r="N4067" s="25"/>
      <c r="O4067" s="54"/>
      <c r="P4067"/>
      <c r="Q4067" s="25"/>
      <c r="R4067" s="54"/>
      <c r="W4067" s="23"/>
      <c r="X4067" s="23"/>
      <c r="Y4067" s="23"/>
      <c r="Z4067" s="43"/>
      <c r="AA4067" s="23"/>
      <c r="AB4067" s="23"/>
      <c r="AC4067" s="23"/>
      <c r="AD4067" s="23"/>
      <c r="AE4067" s="23"/>
      <c r="AF4067" s="23"/>
      <c r="AG4067" s="23"/>
      <c r="AH4067" s="23"/>
      <c r="AI4067" s="49"/>
    </row>
    <row r="4068" spans="1:35">
      <c r="A4068" s="23"/>
      <c r="B4068" s="42"/>
      <c r="C4068" s="49"/>
      <c r="E4068" s="49"/>
      <c r="G4068" s="43"/>
      <c r="H4068" s="44"/>
      <c r="L4068" s="42"/>
      <c r="M4068" s="42"/>
      <c r="N4068" s="25"/>
      <c r="O4068" s="54"/>
      <c r="P4068"/>
      <c r="Q4068" s="25"/>
      <c r="R4068" s="54"/>
      <c r="W4068" s="23"/>
      <c r="X4068" s="23"/>
      <c r="Y4068" s="23"/>
      <c r="Z4068" s="43"/>
      <c r="AA4068" s="23"/>
      <c r="AB4068" s="23"/>
      <c r="AC4068" s="23"/>
      <c r="AD4068" s="23"/>
      <c r="AE4068" s="23"/>
      <c r="AF4068" s="23"/>
      <c r="AG4068" s="23"/>
      <c r="AH4068" s="23"/>
      <c r="AI4068" s="49"/>
    </row>
    <row r="4069" spans="1:35">
      <c r="A4069" s="23"/>
      <c r="B4069" s="42"/>
      <c r="C4069" s="49"/>
      <c r="E4069" s="49"/>
      <c r="G4069" s="43"/>
      <c r="H4069" s="44"/>
      <c r="L4069" s="42"/>
      <c r="M4069" s="42"/>
      <c r="N4069" s="25"/>
      <c r="O4069" s="54"/>
      <c r="P4069"/>
      <c r="Q4069" s="25"/>
      <c r="R4069" s="54"/>
      <c r="W4069" s="23"/>
      <c r="X4069" s="23"/>
      <c r="Y4069" s="23"/>
      <c r="Z4069" s="43"/>
      <c r="AA4069" s="23"/>
      <c r="AB4069" s="23"/>
      <c r="AC4069" s="23"/>
      <c r="AD4069" s="23"/>
      <c r="AE4069" s="23"/>
      <c r="AF4069" s="23"/>
      <c r="AG4069" s="23"/>
      <c r="AH4069" s="23"/>
      <c r="AI4069" s="49"/>
    </row>
    <row r="4070" spans="1:35">
      <c r="A4070" s="23"/>
      <c r="B4070" s="42"/>
      <c r="C4070" s="49"/>
      <c r="E4070" s="49"/>
      <c r="G4070" s="43"/>
      <c r="H4070" s="44"/>
      <c r="L4070" s="42"/>
      <c r="M4070" s="42"/>
      <c r="N4070" s="25"/>
      <c r="O4070" s="54"/>
      <c r="P4070"/>
      <c r="Q4070" s="25"/>
      <c r="R4070" s="54"/>
      <c r="W4070" s="23"/>
      <c r="X4070" s="23"/>
      <c r="Y4070" s="23"/>
      <c r="Z4070" s="43"/>
      <c r="AA4070" s="23"/>
      <c r="AB4070" s="23"/>
      <c r="AC4070" s="23"/>
      <c r="AD4070" s="23"/>
      <c r="AE4070" s="23"/>
      <c r="AF4070" s="23"/>
      <c r="AG4070" s="23"/>
      <c r="AH4070" s="23"/>
      <c r="AI4070" s="49"/>
    </row>
    <row r="4071" spans="1:35">
      <c r="A4071" s="23"/>
      <c r="B4071" s="42"/>
      <c r="C4071" s="49"/>
      <c r="E4071" s="49"/>
      <c r="G4071" s="43"/>
      <c r="H4071" s="44"/>
      <c r="L4071" s="42"/>
      <c r="M4071" s="42"/>
      <c r="N4071" s="25"/>
      <c r="O4071" s="54"/>
      <c r="P4071"/>
      <c r="Q4071" s="25"/>
      <c r="R4071" s="54"/>
      <c r="W4071" s="23"/>
      <c r="X4071" s="23"/>
      <c r="Y4071" s="23"/>
      <c r="Z4071" s="43"/>
      <c r="AA4071" s="23"/>
      <c r="AB4071" s="23"/>
      <c r="AC4071" s="23"/>
      <c r="AD4071" s="23"/>
      <c r="AE4071" s="23"/>
      <c r="AF4071" s="23"/>
      <c r="AG4071" s="23"/>
      <c r="AH4071" s="23"/>
      <c r="AI4071" s="49"/>
    </row>
    <row r="4072" spans="1:35">
      <c r="A4072" s="23"/>
      <c r="B4072" s="42"/>
      <c r="C4072" s="49"/>
      <c r="E4072" s="49"/>
      <c r="G4072" s="43"/>
      <c r="H4072" s="44"/>
      <c r="L4072" s="42"/>
      <c r="M4072" s="42"/>
      <c r="N4072" s="25"/>
      <c r="O4072" s="54"/>
      <c r="P4072"/>
      <c r="Q4072" s="25"/>
      <c r="R4072" s="54"/>
      <c r="W4072" s="23"/>
      <c r="X4072" s="23"/>
      <c r="Y4072" s="23"/>
      <c r="Z4072" s="43"/>
      <c r="AA4072" s="23"/>
      <c r="AB4072" s="23"/>
      <c r="AC4072" s="23"/>
      <c r="AD4072" s="23"/>
      <c r="AE4072" s="23"/>
      <c r="AF4072" s="23"/>
      <c r="AG4072" s="23"/>
      <c r="AH4072" s="23"/>
      <c r="AI4072" s="49"/>
    </row>
    <row r="4073" spans="1:35">
      <c r="A4073" s="23"/>
      <c r="B4073" s="42"/>
      <c r="C4073" s="49"/>
      <c r="E4073" s="49"/>
      <c r="G4073" s="43"/>
      <c r="H4073" s="44"/>
      <c r="L4073" s="42"/>
      <c r="M4073" s="42"/>
      <c r="N4073" s="25"/>
      <c r="O4073" s="54"/>
      <c r="P4073"/>
      <c r="Q4073" s="25"/>
      <c r="R4073" s="54"/>
      <c r="W4073" s="23"/>
      <c r="X4073" s="23"/>
      <c r="Y4073" s="23"/>
      <c r="Z4073" s="43"/>
      <c r="AA4073" s="23"/>
      <c r="AB4073" s="23"/>
      <c r="AC4073" s="23"/>
      <c r="AD4073" s="23"/>
      <c r="AE4073" s="23"/>
      <c r="AF4073" s="23"/>
      <c r="AG4073" s="23"/>
      <c r="AH4073" s="23"/>
      <c r="AI4073" s="49"/>
    </row>
    <row r="4074" spans="1:35">
      <c r="A4074" s="23"/>
      <c r="B4074" s="42"/>
      <c r="C4074" s="49"/>
      <c r="E4074" s="49"/>
      <c r="G4074" s="43"/>
      <c r="H4074" s="44"/>
      <c r="L4074" s="42"/>
      <c r="M4074" s="42"/>
      <c r="N4074" s="25"/>
      <c r="O4074" s="54"/>
      <c r="P4074"/>
      <c r="Q4074" s="25"/>
      <c r="R4074" s="54"/>
      <c r="W4074" s="23"/>
      <c r="X4074" s="23"/>
      <c r="Y4074" s="23"/>
      <c r="Z4074" s="43"/>
      <c r="AA4074" s="23"/>
      <c r="AB4074" s="23"/>
      <c r="AC4074" s="23"/>
      <c r="AD4074" s="23"/>
      <c r="AE4074" s="23"/>
      <c r="AF4074" s="23"/>
      <c r="AG4074" s="23"/>
      <c r="AH4074" s="23"/>
      <c r="AI4074" s="49"/>
    </row>
    <row r="4075" spans="1:35">
      <c r="A4075" s="23"/>
      <c r="B4075" s="42"/>
      <c r="C4075" s="49"/>
      <c r="E4075" s="49"/>
      <c r="G4075" s="43"/>
      <c r="H4075" s="44"/>
      <c r="L4075" s="42"/>
      <c r="M4075" s="42"/>
      <c r="N4075" s="25"/>
      <c r="O4075" s="54"/>
      <c r="P4075"/>
      <c r="Q4075" s="25"/>
      <c r="R4075" s="54"/>
      <c r="W4075" s="23"/>
      <c r="X4075" s="23"/>
      <c r="Y4075" s="23"/>
      <c r="Z4075" s="43"/>
      <c r="AA4075" s="23"/>
      <c r="AB4075" s="23"/>
      <c r="AC4075" s="23"/>
      <c r="AD4075" s="23"/>
      <c r="AE4075" s="23"/>
      <c r="AF4075" s="23"/>
      <c r="AG4075" s="23"/>
      <c r="AH4075" s="23"/>
      <c r="AI4075" s="49"/>
    </row>
    <row r="4076" spans="1:35">
      <c r="A4076" s="23"/>
      <c r="B4076" s="42"/>
      <c r="C4076" s="49"/>
      <c r="E4076" s="49"/>
      <c r="G4076" s="43"/>
      <c r="H4076" s="44"/>
      <c r="L4076" s="42"/>
      <c r="M4076" s="42"/>
      <c r="N4076" s="25"/>
      <c r="O4076" s="54"/>
      <c r="P4076"/>
      <c r="Q4076" s="25"/>
      <c r="R4076" s="54"/>
      <c r="W4076" s="23"/>
      <c r="X4076" s="23"/>
      <c r="Y4076" s="23"/>
      <c r="Z4076" s="43"/>
      <c r="AA4076" s="23"/>
      <c r="AB4076" s="23"/>
      <c r="AC4076" s="23"/>
      <c r="AD4076" s="23"/>
      <c r="AE4076" s="23"/>
      <c r="AF4076" s="23"/>
      <c r="AG4076" s="23"/>
      <c r="AH4076" s="23"/>
      <c r="AI4076" s="49"/>
    </row>
    <row r="4077" spans="1:35">
      <c r="A4077" s="23"/>
      <c r="B4077" s="42"/>
      <c r="C4077" s="49"/>
      <c r="E4077" s="49"/>
      <c r="G4077" s="43"/>
      <c r="H4077" s="44"/>
      <c r="L4077" s="42"/>
      <c r="M4077" s="42"/>
      <c r="N4077" s="25"/>
      <c r="O4077" s="54"/>
      <c r="P4077"/>
      <c r="Q4077" s="25"/>
      <c r="R4077" s="54"/>
      <c r="W4077" s="23"/>
      <c r="X4077" s="23"/>
      <c r="Y4077" s="23"/>
      <c r="Z4077" s="43"/>
      <c r="AA4077" s="23"/>
      <c r="AB4077" s="23"/>
      <c r="AC4077" s="23"/>
      <c r="AD4077" s="23"/>
      <c r="AE4077" s="23"/>
      <c r="AF4077" s="23"/>
      <c r="AG4077" s="23"/>
      <c r="AH4077" s="23"/>
      <c r="AI4077" s="49"/>
    </row>
    <row r="4078" spans="1:35">
      <c r="A4078" s="23"/>
      <c r="B4078" s="42"/>
      <c r="C4078" s="49"/>
      <c r="E4078" s="49"/>
      <c r="G4078" s="43"/>
      <c r="H4078" s="44"/>
      <c r="L4078" s="42"/>
      <c r="M4078" s="42"/>
      <c r="N4078" s="25"/>
      <c r="O4078" s="54"/>
      <c r="P4078"/>
      <c r="Q4078" s="25"/>
      <c r="R4078" s="54"/>
      <c r="W4078" s="23"/>
      <c r="X4078" s="23"/>
      <c r="Y4078" s="23"/>
      <c r="Z4078" s="43"/>
      <c r="AA4078" s="23"/>
      <c r="AB4078" s="23"/>
      <c r="AC4078" s="23"/>
      <c r="AD4078" s="23"/>
      <c r="AE4078" s="23"/>
      <c r="AF4078" s="23"/>
      <c r="AG4078" s="23"/>
      <c r="AH4078" s="23"/>
      <c r="AI4078" s="49"/>
    </row>
    <row r="4079" spans="1:35">
      <c r="A4079" s="23"/>
      <c r="B4079" s="42"/>
      <c r="C4079" s="49"/>
      <c r="E4079" s="49"/>
      <c r="G4079" s="43"/>
      <c r="H4079" s="44"/>
      <c r="L4079" s="42"/>
      <c r="M4079" s="42"/>
      <c r="N4079" s="25"/>
      <c r="O4079" s="54"/>
      <c r="P4079"/>
      <c r="Q4079" s="25"/>
      <c r="R4079" s="54"/>
      <c r="W4079" s="23"/>
      <c r="X4079" s="23"/>
      <c r="Y4079" s="23"/>
      <c r="Z4079" s="43"/>
      <c r="AA4079" s="23"/>
      <c r="AB4079" s="23"/>
      <c r="AC4079" s="23"/>
      <c r="AD4079" s="23"/>
      <c r="AE4079" s="23"/>
      <c r="AF4079" s="23"/>
      <c r="AG4079" s="23"/>
      <c r="AH4079" s="23"/>
      <c r="AI4079" s="49"/>
    </row>
    <row r="4080" spans="1:35">
      <c r="A4080" s="23"/>
      <c r="B4080" s="42"/>
      <c r="C4080" s="49"/>
      <c r="E4080" s="49"/>
      <c r="G4080" s="43"/>
      <c r="H4080" s="44"/>
      <c r="L4080" s="42"/>
      <c r="M4080" s="42"/>
      <c r="N4080" s="25"/>
      <c r="O4080" s="54"/>
      <c r="P4080"/>
      <c r="Q4080" s="25"/>
      <c r="R4080" s="54"/>
      <c r="W4080" s="23"/>
      <c r="X4080" s="23"/>
      <c r="Y4080" s="23"/>
      <c r="Z4080" s="43"/>
      <c r="AA4080" s="23"/>
      <c r="AB4080" s="23"/>
      <c r="AC4080" s="23"/>
      <c r="AD4080" s="23"/>
      <c r="AE4080" s="23"/>
      <c r="AF4080" s="23"/>
      <c r="AG4080" s="23"/>
      <c r="AH4080" s="23"/>
      <c r="AI4080" s="49"/>
    </row>
    <row r="4081" spans="1:35">
      <c r="A4081" s="23"/>
      <c r="B4081" s="42"/>
      <c r="C4081" s="49"/>
      <c r="E4081" s="49"/>
      <c r="G4081" s="43"/>
      <c r="H4081" s="44"/>
      <c r="L4081" s="42"/>
      <c r="M4081" s="42"/>
      <c r="N4081" s="25"/>
      <c r="O4081" s="54"/>
      <c r="P4081"/>
      <c r="Q4081" s="25"/>
      <c r="R4081" s="54"/>
      <c r="W4081" s="23"/>
      <c r="X4081" s="23"/>
      <c r="Y4081" s="23"/>
      <c r="Z4081" s="43"/>
      <c r="AA4081" s="23"/>
      <c r="AB4081" s="23"/>
      <c r="AC4081" s="23"/>
      <c r="AD4081" s="23"/>
      <c r="AE4081" s="23"/>
      <c r="AF4081" s="23"/>
      <c r="AG4081" s="23"/>
      <c r="AH4081" s="23"/>
      <c r="AI4081" s="49"/>
    </row>
    <row r="4082" spans="1:35">
      <c r="A4082" s="23"/>
      <c r="B4082" s="42"/>
      <c r="C4082" s="49"/>
      <c r="E4082" s="49"/>
      <c r="G4082" s="43"/>
      <c r="H4082" s="44"/>
      <c r="L4082" s="42"/>
      <c r="M4082" s="42"/>
      <c r="N4082" s="25"/>
      <c r="O4082" s="54"/>
      <c r="P4082"/>
      <c r="Q4082" s="25"/>
      <c r="R4082" s="54"/>
      <c r="W4082" s="23"/>
      <c r="X4082" s="23"/>
      <c r="Y4082" s="23"/>
      <c r="Z4082" s="43"/>
      <c r="AA4082" s="23"/>
      <c r="AB4082" s="23"/>
      <c r="AC4082" s="23"/>
      <c r="AD4082" s="23"/>
      <c r="AE4082" s="23"/>
      <c r="AF4082" s="23"/>
      <c r="AG4082" s="23"/>
      <c r="AH4082" s="23"/>
      <c r="AI4082" s="49"/>
    </row>
    <row r="4083" spans="1:35">
      <c r="A4083" s="23"/>
      <c r="B4083" s="42"/>
      <c r="C4083" s="49"/>
      <c r="E4083" s="49"/>
      <c r="G4083" s="43"/>
      <c r="H4083" s="44"/>
      <c r="L4083" s="42"/>
      <c r="M4083" s="42"/>
      <c r="N4083" s="25"/>
      <c r="O4083" s="54"/>
      <c r="P4083"/>
      <c r="Q4083" s="25"/>
      <c r="R4083" s="54"/>
      <c r="W4083" s="23"/>
      <c r="X4083" s="23"/>
      <c r="Y4083" s="23"/>
      <c r="Z4083" s="43"/>
      <c r="AA4083" s="23"/>
      <c r="AB4083" s="23"/>
      <c r="AC4083" s="23"/>
      <c r="AD4083" s="23"/>
      <c r="AE4083" s="23"/>
      <c r="AF4083" s="23"/>
      <c r="AG4083" s="23"/>
      <c r="AH4083" s="23"/>
      <c r="AI4083" s="49"/>
    </row>
    <row r="4084" spans="1:35">
      <c r="A4084" s="23"/>
      <c r="B4084" s="42"/>
      <c r="C4084" s="49"/>
      <c r="E4084" s="49"/>
      <c r="G4084" s="43"/>
      <c r="H4084" s="44"/>
      <c r="L4084" s="42"/>
      <c r="M4084" s="42"/>
      <c r="N4084" s="25"/>
      <c r="O4084" s="54"/>
      <c r="P4084"/>
      <c r="Q4084" s="25"/>
      <c r="R4084" s="54"/>
      <c r="W4084" s="23"/>
      <c r="X4084" s="23"/>
      <c r="Y4084" s="23"/>
      <c r="Z4084" s="43"/>
      <c r="AA4084" s="23"/>
      <c r="AB4084" s="23"/>
      <c r="AC4084" s="23"/>
      <c r="AD4084" s="23"/>
      <c r="AE4084" s="23"/>
      <c r="AF4084" s="23"/>
      <c r="AG4084" s="23"/>
      <c r="AH4084" s="23"/>
      <c r="AI4084" s="49"/>
    </row>
    <row r="4085" spans="1:35">
      <c r="A4085" s="23"/>
      <c r="B4085" s="42"/>
      <c r="C4085" s="49"/>
      <c r="E4085" s="49"/>
      <c r="G4085" s="43"/>
      <c r="H4085" s="44"/>
      <c r="L4085" s="42"/>
      <c r="M4085" s="42"/>
      <c r="N4085" s="25"/>
      <c r="O4085" s="54"/>
      <c r="P4085"/>
      <c r="Q4085" s="25"/>
      <c r="R4085" s="54"/>
      <c r="W4085" s="23"/>
      <c r="X4085" s="23"/>
      <c r="Y4085" s="23"/>
      <c r="Z4085" s="43"/>
      <c r="AA4085" s="23"/>
      <c r="AB4085" s="23"/>
      <c r="AC4085" s="23"/>
      <c r="AD4085" s="23"/>
      <c r="AE4085" s="23"/>
      <c r="AF4085" s="23"/>
      <c r="AG4085" s="23"/>
      <c r="AH4085" s="23"/>
      <c r="AI4085" s="49"/>
    </row>
    <row r="4086" spans="1:35">
      <c r="A4086" s="23"/>
      <c r="B4086" s="42"/>
      <c r="C4086" s="49"/>
      <c r="E4086" s="49"/>
      <c r="G4086" s="43"/>
      <c r="H4086" s="44"/>
      <c r="L4086" s="42"/>
      <c r="M4086" s="42"/>
      <c r="N4086" s="25"/>
      <c r="O4086" s="54"/>
      <c r="P4086"/>
      <c r="Q4086" s="25"/>
      <c r="R4086" s="54"/>
      <c r="W4086" s="23"/>
      <c r="X4086" s="23"/>
      <c r="Y4086" s="23"/>
      <c r="Z4086" s="43"/>
      <c r="AA4086" s="23"/>
      <c r="AB4086" s="23"/>
      <c r="AC4086" s="23"/>
      <c r="AD4086" s="23"/>
      <c r="AE4086" s="23"/>
      <c r="AF4086" s="23"/>
      <c r="AG4086" s="23"/>
      <c r="AH4086" s="23"/>
      <c r="AI4086" s="49"/>
    </row>
    <row r="4087" spans="1:35">
      <c r="A4087" s="23"/>
      <c r="B4087" s="42"/>
      <c r="C4087" s="49"/>
      <c r="E4087" s="49"/>
      <c r="G4087" s="43"/>
      <c r="H4087" s="44"/>
      <c r="L4087" s="42"/>
      <c r="M4087" s="42"/>
      <c r="N4087" s="25"/>
      <c r="O4087" s="54"/>
      <c r="P4087"/>
      <c r="Q4087" s="25"/>
      <c r="R4087" s="54"/>
      <c r="W4087" s="23"/>
      <c r="X4087" s="23"/>
      <c r="Y4087" s="23"/>
      <c r="Z4087" s="43"/>
      <c r="AA4087" s="23"/>
      <c r="AB4087" s="23"/>
      <c r="AC4087" s="23"/>
      <c r="AD4087" s="23"/>
      <c r="AE4087" s="23"/>
      <c r="AF4087" s="23"/>
      <c r="AG4087" s="23"/>
      <c r="AH4087" s="23"/>
      <c r="AI4087" s="49"/>
    </row>
    <row r="4088" spans="1:35">
      <c r="A4088" s="23"/>
      <c r="B4088" s="42"/>
      <c r="C4088" s="49"/>
      <c r="E4088" s="49"/>
      <c r="G4088" s="43"/>
      <c r="H4088" s="44"/>
      <c r="L4088" s="42"/>
      <c r="M4088" s="42"/>
      <c r="N4088" s="25"/>
      <c r="O4088" s="54"/>
      <c r="P4088"/>
      <c r="Q4088" s="25"/>
      <c r="R4088" s="54"/>
      <c r="W4088" s="23"/>
      <c r="X4088" s="23"/>
      <c r="Y4088" s="23"/>
      <c r="Z4088" s="43"/>
      <c r="AA4088" s="23"/>
      <c r="AB4088" s="23"/>
      <c r="AC4088" s="23"/>
      <c r="AD4088" s="23"/>
      <c r="AE4088" s="23"/>
      <c r="AF4088" s="23"/>
      <c r="AG4088" s="23"/>
      <c r="AH4088" s="23"/>
      <c r="AI4088" s="49"/>
    </row>
    <row r="4089" spans="1:35">
      <c r="A4089" s="23"/>
      <c r="B4089" s="42"/>
      <c r="C4089" s="49"/>
      <c r="E4089" s="49"/>
      <c r="G4089" s="43"/>
      <c r="H4089" s="44"/>
      <c r="L4089" s="42"/>
      <c r="M4089" s="42"/>
      <c r="N4089" s="25"/>
      <c r="O4089" s="54"/>
      <c r="P4089"/>
      <c r="Q4089" s="25"/>
      <c r="R4089" s="54"/>
      <c r="W4089" s="23"/>
      <c r="X4089" s="23"/>
      <c r="Y4089" s="23"/>
      <c r="Z4089" s="43"/>
      <c r="AA4089" s="23"/>
      <c r="AB4089" s="23"/>
      <c r="AC4089" s="23"/>
      <c r="AD4089" s="23"/>
      <c r="AE4089" s="23"/>
      <c r="AF4089" s="23"/>
      <c r="AG4089" s="23"/>
      <c r="AH4089" s="23"/>
      <c r="AI4089" s="49"/>
    </row>
    <row r="4090" spans="1:35">
      <c r="A4090" s="23"/>
      <c r="B4090" s="42"/>
      <c r="C4090" s="49"/>
      <c r="E4090" s="49"/>
      <c r="G4090" s="43"/>
      <c r="H4090" s="44"/>
      <c r="L4090" s="42"/>
      <c r="M4090" s="42"/>
      <c r="N4090" s="25"/>
      <c r="O4090" s="54"/>
      <c r="P4090"/>
      <c r="Q4090" s="25"/>
      <c r="R4090" s="54"/>
      <c r="W4090" s="23"/>
      <c r="X4090" s="23"/>
      <c r="Y4090" s="23"/>
      <c r="Z4090" s="43"/>
      <c r="AA4090" s="23"/>
      <c r="AB4090" s="23"/>
      <c r="AC4090" s="23"/>
      <c r="AD4090" s="23"/>
      <c r="AE4090" s="23"/>
      <c r="AF4090" s="23"/>
      <c r="AG4090" s="23"/>
      <c r="AH4090" s="23"/>
      <c r="AI4090" s="49"/>
    </row>
    <row r="4091" spans="1:35">
      <c r="A4091" s="23"/>
      <c r="B4091" s="42"/>
      <c r="C4091" s="49"/>
      <c r="E4091" s="49"/>
      <c r="G4091" s="43"/>
      <c r="H4091" s="44"/>
      <c r="L4091" s="42"/>
      <c r="M4091" s="42"/>
      <c r="N4091" s="25"/>
      <c r="O4091" s="54"/>
      <c r="P4091"/>
      <c r="Q4091" s="25"/>
      <c r="R4091" s="54"/>
      <c r="W4091" s="23"/>
      <c r="X4091" s="23"/>
      <c r="Y4091" s="23"/>
      <c r="Z4091" s="43"/>
      <c r="AA4091" s="23"/>
      <c r="AB4091" s="23"/>
      <c r="AC4091" s="23"/>
      <c r="AD4091" s="23"/>
      <c r="AE4091" s="23"/>
      <c r="AF4091" s="23"/>
      <c r="AG4091" s="23"/>
      <c r="AH4091" s="23"/>
      <c r="AI4091" s="49"/>
    </row>
    <row r="4092" spans="1:35">
      <c r="A4092" s="23"/>
      <c r="B4092" s="42"/>
      <c r="C4092" s="49"/>
      <c r="E4092" s="49"/>
      <c r="G4092" s="43"/>
      <c r="H4092" s="44"/>
      <c r="L4092" s="42"/>
      <c r="M4092" s="42"/>
      <c r="N4092" s="25"/>
      <c r="O4092" s="54"/>
      <c r="P4092"/>
      <c r="Q4092" s="25"/>
      <c r="R4092" s="54"/>
      <c r="W4092" s="23"/>
      <c r="X4092" s="23"/>
      <c r="Y4092" s="23"/>
      <c r="Z4092" s="43"/>
      <c r="AA4092" s="23"/>
      <c r="AB4092" s="23"/>
      <c r="AC4092" s="23"/>
      <c r="AD4092" s="23"/>
      <c r="AE4092" s="23"/>
      <c r="AF4092" s="23"/>
      <c r="AG4092" s="23"/>
      <c r="AH4092" s="23"/>
      <c r="AI4092" s="49"/>
    </row>
    <row r="4093" spans="1:35">
      <c r="A4093" s="23"/>
      <c r="B4093" s="42"/>
      <c r="C4093" s="49"/>
      <c r="E4093" s="49"/>
      <c r="G4093" s="43"/>
      <c r="H4093" s="44"/>
      <c r="L4093" s="42"/>
      <c r="M4093" s="42"/>
      <c r="N4093" s="25"/>
      <c r="O4093" s="54"/>
      <c r="P4093"/>
      <c r="Q4093" s="25"/>
      <c r="R4093" s="54"/>
      <c r="W4093" s="23"/>
      <c r="X4093" s="23"/>
      <c r="Y4093" s="23"/>
      <c r="Z4093" s="43"/>
      <c r="AA4093" s="23"/>
      <c r="AB4093" s="23"/>
      <c r="AC4093" s="23"/>
      <c r="AD4093" s="23"/>
      <c r="AE4093" s="23"/>
      <c r="AF4093" s="23"/>
      <c r="AG4093" s="23"/>
      <c r="AH4093" s="23"/>
      <c r="AI4093" s="49"/>
    </row>
    <row r="4094" spans="1:35">
      <c r="A4094" s="23"/>
      <c r="B4094" s="42"/>
      <c r="C4094" s="49"/>
      <c r="E4094" s="49"/>
      <c r="G4094" s="43"/>
      <c r="H4094" s="44"/>
      <c r="L4094" s="42"/>
      <c r="M4094" s="42"/>
      <c r="N4094" s="25"/>
      <c r="O4094" s="54"/>
      <c r="P4094"/>
      <c r="Q4094" s="25"/>
      <c r="R4094" s="54"/>
      <c r="W4094" s="23"/>
      <c r="X4094" s="23"/>
      <c r="Y4094" s="23"/>
      <c r="Z4094" s="43"/>
      <c r="AA4094" s="23"/>
      <c r="AB4094" s="23"/>
      <c r="AC4094" s="23"/>
      <c r="AD4094" s="23"/>
      <c r="AE4094" s="23"/>
      <c r="AF4094" s="23"/>
      <c r="AG4094" s="23"/>
      <c r="AH4094" s="23"/>
      <c r="AI4094" s="49"/>
    </row>
    <row r="4095" spans="1:35">
      <c r="A4095" s="23"/>
      <c r="B4095" s="42"/>
      <c r="C4095" s="49"/>
      <c r="E4095" s="49"/>
      <c r="G4095" s="43"/>
      <c r="H4095" s="44"/>
      <c r="L4095" s="42"/>
      <c r="M4095" s="42"/>
      <c r="N4095" s="25"/>
      <c r="O4095" s="54"/>
      <c r="P4095"/>
      <c r="Q4095" s="25"/>
      <c r="R4095" s="54"/>
      <c r="W4095" s="23"/>
      <c r="X4095" s="23"/>
      <c r="Y4095" s="23"/>
      <c r="Z4095" s="43"/>
      <c r="AA4095" s="23"/>
      <c r="AB4095" s="23"/>
      <c r="AC4095" s="23"/>
      <c r="AD4095" s="23"/>
      <c r="AE4095" s="23"/>
      <c r="AF4095" s="23"/>
      <c r="AG4095" s="23"/>
      <c r="AH4095" s="23"/>
      <c r="AI4095" s="49"/>
    </row>
    <row r="4096" spans="1:35">
      <c r="A4096" s="23"/>
      <c r="B4096" s="42"/>
      <c r="C4096" s="49"/>
      <c r="E4096" s="49"/>
      <c r="G4096" s="43"/>
      <c r="H4096" s="44"/>
      <c r="L4096" s="42"/>
      <c r="M4096" s="42"/>
      <c r="N4096" s="25"/>
      <c r="O4096" s="54"/>
      <c r="P4096"/>
      <c r="Q4096" s="25"/>
      <c r="R4096" s="54"/>
      <c r="W4096" s="23"/>
      <c r="X4096" s="23"/>
      <c r="Y4096" s="23"/>
      <c r="Z4096" s="43"/>
      <c r="AA4096" s="23"/>
      <c r="AB4096" s="23"/>
      <c r="AC4096" s="23"/>
      <c r="AD4096" s="23"/>
      <c r="AE4096" s="23"/>
      <c r="AF4096" s="23"/>
      <c r="AG4096" s="23"/>
      <c r="AH4096" s="23"/>
      <c r="AI4096" s="49"/>
    </row>
    <row r="4097" spans="1:35">
      <c r="A4097" s="23"/>
      <c r="B4097" s="42"/>
      <c r="C4097" s="49"/>
      <c r="E4097" s="49"/>
      <c r="G4097" s="43"/>
      <c r="H4097" s="44"/>
      <c r="L4097" s="42"/>
      <c r="M4097" s="42"/>
      <c r="N4097" s="25"/>
      <c r="O4097" s="54"/>
      <c r="P4097"/>
      <c r="Q4097" s="25"/>
      <c r="R4097" s="54"/>
      <c r="W4097" s="23"/>
      <c r="X4097" s="23"/>
      <c r="Y4097" s="23"/>
      <c r="Z4097" s="43"/>
      <c r="AA4097" s="23"/>
      <c r="AB4097" s="23"/>
      <c r="AC4097" s="23"/>
      <c r="AD4097" s="23"/>
      <c r="AE4097" s="23"/>
      <c r="AF4097" s="23"/>
      <c r="AG4097" s="23"/>
      <c r="AH4097" s="23"/>
      <c r="AI4097" s="49"/>
    </row>
    <row r="4098" spans="1:35">
      <c r="A4098" s="23"/>
      <c r="B4098" s="42"/>
      <c r="C4098" s="49"/>
      <c r="E4098" s="49"/>
      <c r="G4098" s="43"/>
      <c r="H4098" s="44"/>
      <c r="L4098" s="42"/>
      <c r="M4098" s="42"/>
      <c r="N4098" s="25"/>
      <c r="O4098" s="54"/>
      <c r="P4098"/>
      <c r="Q4098" s="25"/>
      <c r="R4098" s="54"/>
      <c r="W4098" s="23"/>
      <c r="X4098" s="23"/>
      <c r="Y4098" s="23"/>
      <c r="Z4098" s="43"/>
      <c r="AA4098" s="23"/>
      <c r="AB4098" s="23"/>
      <c r="AC4098" s="23"/>
      <c r="AD4098" s="23"/>
      <c r="AE4098" s="23"/>
      <c r="AF4098" s="23"/>
      <c r="AG4098" s="23"/>
      <c r="AH4098" s="23"/>
      <c r="AI4098" s="49"/>
    </row>
    <row r="4099" spans="1:35">
      <c r="A4099" s="23"/>
      <c r="B4099" s="42"/>
      <c r="C4099" s="49"/>
      <c r="E4099" s="49"/>
      <c r="G4099" s="43"/>
      <c r="H4099" s="44"/>
      <c r="L4099" s="42"/>
      <c r="M4099" s="42"/>
      <c r="N4099" s="25"/>
      <c r="O4099" s="54"/>
      <c r="P4099"/>
      <c r="Q4099" s="25"/>
      <c r="R4099" s="54"/>
      <c r="W4099" s="23"/>
      <c r="X4099" s="23"/>
      <c r="Y4099" s="23"/>
      <c r="Z4099" s="43"/>
      <c r="AA4099" s="23"/>
      <c r="AB4099" s="23"/>
      <c r="AC4099" s="23"/>
      <c r="AD4099" s="23"/>
      <c r="AE4099" s="23"/>
      <c r="AF4099" s="23"/>
      <c r="AG4099" s="23"/>
      <c r="AH4099" s="23"/>
      <c r="AI4099" s="49"/>
    </row>
    <row r="4100" spans="1:35">
      <c r="A4100" s="23"/>
      <c r="B4100" s="42"/>
      <c r="C4100" s="49"/>
      <c r="E4100" s="49"/>
      <c r="G4100" s="43"/>
      <c r="H4100" s="44"/>
      <c r="L4100" s="42"/>
      <c r="M4100" s="42"/>
      <c r="N4100" s="25"/>
      <c r="O4100" s="54"/>
      <c r="P4100"/>
      <c r="Q4100" s="25"/>
      <c r="R4100" s="54"/>
      <c r="W4100" s="23"/>
      <c r="X4100" s="23"/>
      <c r="Y4100" s="23"/>
      <c r="Z4100" s="43"/>
      <c r="AA4100" s="23"/>
      <c r="AB4100" s="23"/>
      <c r="AC4100" s="23"/>
      <c r="AD4100" s="23"/>
      <c r="AE4100" s="23"/>
      <c r="AF4100" s="23"/>
      <c r="AG4100" s="23"/>
      <c r="AH4100" s="23"/>
      <c r="AI4100" s="49"/>
    </row>
    <row r="4101" spans="1:35">
      <c r="A4101" s="23"/>
      <c r="B4101" s="42"/>
      <c r="C4101" s="49"/>
      <c r="E4101" s="49"/>
      <c r="G4101" s="43"/>
      <c r="H4101" s="44"/>
      <c r="L4101" s="42"/>
      <c r="M4101" s="42"/>
      <c r="N4101" s="25"/>
      <c r="O4101" s="54"/>
      <c r="P4101"/>
      <c r="Q4101" s="25"/>
      <c r="R4101" s="54"/>
      <c r="W4101" s="23"/>
      <c r="X4101" s="23"/>
      <c r="Y4101" s="23"/>
      <c r="Z4101" s="43"/>
      <c r="AA4101" s="23"/>
      <c r="AB4101" s="23"/>
      <c r="AC4101" s="23"/>
      <c r="AD4101" s="23"/>
      <c r="AE4101" s="23"/>
      <c r="AF4101" s="23"/>
      <c r="AG4101" s="23"/>
      <c r="AH4101" s="23"/>
      <c r="AI4101" s="49"/>
    </row>
    <row r="4102" spans="1:35">
      <c r="A4102" s="23"/>
      <c r="B4102" s="42"/>
      <c r="C4102" s="49"/>
      <c r="E4102" s="49"/>
      <c r="G4102" s="43"/>
      <c r="H4102" s="44"/>
      <c r="L4102" s="42"/>
      <c r="M4102" s="42"/>
      <c r="N4102" s="25"/>
      <c r="O4102" s="54"/>
      <c r="P4102"/>
      <c r="Q4102" s="25"/>
      <c r="R4102" s="54"/>
      <c r="W4102" s="23"/>
      <c r="X4102" s="23"/>
      <c r="Y4102" s="23"/>
      <c r="Z4102" s="43"/>
      <c r="AA4102" s="23"/>
      <c r="AB4102" s="23"/>
      <c r="AC4102" s="23"/>
      <c r="AD4102" s="23"/>
      <c r="AE4102" s="23"/>
      <c r="AF4102" s="23"/>
      <c r="AG4102" s="23"/>
      <c r="AH4102" s="23"/>
      <c r="AI4102" s="49"/>
    </row>
    <row r="4103" spans="1:35">
      <c r="A4103" s="23"/>
      <c r="B4103" s="42"/>
      <c r="C4103" s="49"/>
      <c r="E4103" s="49"/>
      <c r="G4103" s="43"/>
      <c r="H4103" s="44"/>
      <c r="L4103" s="42"/>
      <c r="M4103" s="42"/>
      <c r="N4103" s="25"/>
      <c r="O4103" s="54"/>
      <c r="P4103"/>
      <c r="Q4103" s="25"/>
      <c r="R4103" s="54"/>
      <c r="W4103" s="23"/>
      <c r="X4103" s="23"/>
      <c r="Y4103" s="23"/>
      <c r="Z4103" s="43"/>
      <c r="AA4103" s="23"/>
      <c r="AB4103" s="23"/>
      <c r="AC4103" s="23"/>
      <c r="AD4103" s="23"/>
      <c r="AE4103" s="23"/>
      <c r="AF4103" s="23"/>
      <c r="AG4103" s="23"/>
      <c r="AH4103" s="23"/>
      <c r="AI4103" s="49"/>
    </row>
    <row r="4104" spans="1:35">
      <c r="A4104" s="23"/>
      <c r="B4104" s="42"/>
      <c r="C4104" s="49"/>
      <c r="E4104" s="49"/>
      <c r="G4104" s="43"/>
      <c r="H4104" s="44"/>
      <c r="L4104" s="42"/>
      <c r="M4104" s="42"/>
      <c r="N4104" s="25"/>
      <c r="O4104" s="54"/>
      <c r="P4104"/>
      <c r="Q4104" s="25"/>
      <c r="R4104" s="54"/>
      <c r="W4104" s="23"/>
      <c r="X4104" s="23"/>
      <c r="Y4104" s="23"/>
      <c r="Z4104" s="43"/>
      <c r="AA4104" s="23"/>
      <c r="AB4104" s="23"/>
      <c r="AC4104" s="23"/>
      <c r="AD4104" s="23"/>
      <c r="AE4104" s="23"/>
      <c r="AF4104" s="23"/>
      <c r="AG4104" s="23"/>
      <c r="AH4104" s="23"/>
      <c r="AI4104" s="49"/>
    </row>
    <row r="4105" spans="1:35">
      <c r="A4105" s="23"/>
      <c r="B4105" s="42"/>
      <c r="C4105" s="49"/>
      <c r="E4105" s="49"/>
      <c r="G4105" s="43"/>
      <c r="H4105" s="44"/>
      <c r="L4105" s="42"/>
      <c r="M4105" s="42"/>
      <c r="N4105" s="25"/>
      <c r="O4105" s="54"/>
      <c r="P4105"/>
      <c r="Q4105" s="25"/>
      <c r="R4105" s="54"/>
      <c r="W4105" s="23"/>
      <c r="X4105" s="23"/>
      <c r="Y4105" s="23"/>
      <c r="Z4105" s="43"/>
      <c r="AA4105" s="23"/>
      <c r="AB4105" s="23"/>
      <c r="AC4105" s="23"/>
      <c r="AD4105" s="23"/>
      <c r="AE4105" s="23"/>
      <c r="AF4105" s="23"/>
      <c r="AG4105" s="23"/>
      <c r="AH4105" s="23"/>
      <c r="AI4105" s="49"/>
    </row>
    <row r="4106" spans="1:35">
      <c r="A4106" s="23"/>
      <c r="B4106" s="42"/>
      <c r="C4106" s="49"/>
      <c r="E4106" s="49"/>
      <c r="G4106" s="43"/>
      <c r="H4106" s="44"/>
      <c r="L4106" s="42"/>
      <c r="M4106" s="42"/>
      <c r="N4106" s="25"/>
      <c r="O4106" s="54"/>
      <c r="P4106"/>
      <c r="Q4106" s="25"/>
      <c r="R4106" s="54"/>
      <c r="W4106" s="23"/>
      <c r="X4106" s="23"/>
      <c r="Y4106" s="23"/>
      <c r="Z4106" s="43"/>
      <c r="AA4106" s="23"/>
      <c r="AB4106" s="23"/>
      <c r="AC4106" s="23"/>
      <c r="AD4106" s="23"/>
      <c r="AE4106" s="23"/>
      <c r="AF4106" s="23"/>
      <c r="AG4106" s="23"/>
      <c r="AH4106" s="23"/>
      <c r="AI4106" s="49"/>
    </row>
    <row r="4107" spans="1:35">
      <c r="A4107" s="23"/>
      <c r="B4107" s="42"/>
      <c r="C4107" s="49"/>
      <c r="E4107" s="49"/>
      <c r="G4107" s="43"/>
      <c r="H4107" s="44"/>
      <c r="L4107" s="42"/>
      <c r="M4107" s="42"/>
      <c r="N4107" s="25"/>
      <c r="O4107" s="54"/>
      <c r="P4107"/>
      <c r="Q4107" s="25"/>
      <c r="R4107" s="54"/>
      <c r="W4107" s="23"/>
      <c r="X4107" s="23"/>
      <c r="Y4107" s="23"/>
      <c r="Z4107" s="43"/>
      <c r="AA4107" s="23"/>
      <c r="AB4107" s="23"/>
      <c r="AC4107" s="23"/>
      <c r="AD4107" s="23"/>
      <c r="AE4107" s="23"/>
      <c r="AF4107" s="23"/>
      <c r="AG4107" s="23"/>
      <c r="AH4107" s="23"/>
      <c r="AI4107" s="49"/>
    </row>
    <row r="4108" spans="1:35">
      <c r="A4108" s="23"/>
      <c r="B4108" s="42"/>
      <c r="C4108" s="49"/>
      <c r="E4108" s="49"/>
      <c r="G4108" s="43"/>
      <c r="H4108" s="44"/>
      <c r="L4108" s="42"/>
      <c r="M4108" s="42"/>
      <c r="N4108" s="25"/>
      <c r="O4108" s="54"/>
      <c r="P4108"/>
      <c r="Q4108" s="25"/>
      <c r="R4108" s="54"/>
      <c r="W4108" s="23"/>
      <c r="X4108" s="23"/>
      <c r="Y4108" s="23"/>
      <c r="Z4108" s="43"/>
      <c r="AA4108" s="23"/>
      <c r="AB4108" s="23"/>
      <c r="AC4108" s="23"/>
      <c r="AD4108" s="23"/>
      <c r="AE4108" s="23"/>
      <c r="AF4108" s="23"/>
      <c r="AG4108" s="23"/>
      <c r="AH4108" s="23"/>
      <c r="AI4108" s="49"/>
    </row>
    <row r="4109" spans="1:35">
      <c r="A4109" s="23"/>
      <c r="B4109" s="42"/>
      <c r="C4109" s="49"/>
      <c r="E4109" s="49"/>
      <c r="G4109" s="43"/>
      <c r="H4109" s="44"/>
      <c r="L4109" s="42"/>
      <c r="M4109" s="42"/>
      <c r="N4109" s="25"/>
      <c r="O4109" s="54"/>
      <c r="P4109"/>
      <c r="Q4109" s="25"/>
      <c r="R4109" s="54"/>
      <c r="W4109" s="23"/>
      <c r="X4109" s="23"/>
      <c r="Y4109" s="23"/>
      <c r="Z4109" s="43"/>
      <c r="AA4109" s="23"/>
      <c r="AB4109" s="23"/>
      <c r="AC4109" s="23"/>
      <c r="AD4109" s="23"/>
      <c r="AE4109" s="23"/>
      <c r="AF4109" s="23"/>
      <c r="AG4109" s="23"/>
      <c r="AH4109" s="23"/>
      <c r="AI4109" s="49"/>
    </row>
    <row r="4110" spans="1:35">
      <c r="A4110" s="23"/>
      <c r="B4110" s="42"/>
      <c r="C4110" s="49"/>
      <c r="E4110" s="49"/>
      <c r="G4110" s="43"/>
      <c r="H4110" s="44"/>
      <c r="L4110" s="42"/>
      <c r="M4110" s="42"/>
      <c r="N4110" s="25"/>
      <c r="O4110" s="54"/>
      <c r="P4110"/>
      <c r="Q4110" s="25"/>
      <c r="R4110" s="54"/>
      <c r="W4110" s="23"/>
      <c r="X4110" s="23"/>
      <c r="Y4110" s="23"/>
      <c r="Z4110" s="43"/>
      <c r="AA4110" s="23"/>
      <c r="AB4110" s="23"/>
      <c r="AC4110" s="23"/>
      <c r="AD4110" s="23"/>
      <c r="AE4110" s="23"/>
      <c r="AF4110" s="23"/>
      <c r="AG4110" s="23"/>
      <c r="AH4110" s="23"/>
      <c r="AI4110" s="49"/>
    </row>
    <row r="4111" spans="1:35">
      <c r="A4111" s="23"/>
      <c r="B4111" s="42"/>
      <c r="C4111" s="49"/>
      <c r="E4111" s="49"/>
      <c r="G4111" s="43"/>
      <c r="H4111" s="44"/>
      <c r="L4111" s="42"/>
      <c r="M4111" s="42"/>
      <c r="N4111" s="25"/>
      <c r="O4111" s="54"/>
      <c r="P4111"/>
      <c r="Q4111" s="25"/>
      <c r="R4111" s="54"/>
      <c r="W4111" s="23"/>
      <c r="X4111" s="23"/>
      <c r="Y4111" s="23"/>
      <c r="Z4111" s="43"/>
      <c r="AA4111" s="23"/>
      <c r="AB4111" s="23"/>
      <c r="AC4111" s="23"/>
      <c r="AD4111" s="23"/>
      <c r="AE4111" s="23"/>
      <c r="AF4111" s="23"/>
      <c r="AG4111" s="23"/>
      <c r="AH4111" s="23"/>
      <c r="AI4111" s="49"/>
    </row>
    <row r="4112" spans="1:35">
      <c r="A4112" s="23"/>
      <c r="B4112" s="42"/>
      <c r="C4112" s="49"/>
      <c r="E4112" s="49"/>
      <c r="G4112" s="43"/>
      <c r="H4112" s="44"/>
      <c r="L4112" s="42"/>
      <c r="M4112" s="42"/>
      <c r="N4112" s="25"/>
      <c r="O4112" s="54"/>
      <c r="P4112"/>
      <c r="Q4112" s="25"/>
      <c r="R4112" s="54"/>
      <c r="W4112" s="23"/>
      <c r="X4112" s="23"/>
      <c r="Y4112" s="23"/>
      <c r="Z4112" s="43"/>
      <c r="AA4112" s="23"/>
      <c r="AB4112" s="23"/>
      <c r="AC4112" s="23"/>
      <c r="AD4112" s="23"/>
      <c r="AE4112" s="23"/>
      <c r="AF4112" s="23"/>
      <c r="AG4112" s="23"/>
      <c r="AH4112" s="23"/>
      <c r="AI4112" s="49"/>
    </row>
    <row r="4113" spans="1:35">
      <c r="A4113" s="23"/>
      <c r="B4113" s="42"/>
      <c r="C4113" s="49"/>
      <c r="E4113" s="49"/>
      <c r="G4113" s="43"/>
      <c r="H4113" s="44"/>
      <c r="L4113" s="42"/>
      <c r="M4113" s="42"/>
      <c r="N4113" s="25"/>
      <c r="O4113" s="54"/>
      <c r="P4113"/>
      <c r="Q4113" s="25"/>
      <c r="R4113" s="54"/>
      <c r="W4113" s="23"/>
      <c r="X4113" s="23"/>
      <c r="Y4113" s="23"/>
      <c r="Z4113" s="43"/>
      <c r="AA4113" s="23"/>
      <c r="AB4113" s="23"/>
      <c r="AC4113" s="23"/>
      <c r="AD4113" s="23"/>
      <c r="AE4113" s="23"/>
      <c r="AF4113" s="23"/>
      <c r="AG4113" s="23"/>
      <c r="AH4113" s="23"/>
      <c r="AI4113" s="49"/>
    </row>
    <row r="4114" spans="1:35">
      <c r="A4114" s="23"/>
      <c r="B4114" s="42"/>
      <c r="C4114" s="49"/>
      <c r="E4114" s="49"/>
      <c r="G4114" s="43"/>
      <c r="H4114" s="44"/>
      <c r="L4114" s="42"/>
      <c r="M4114" s="42"/>
      <c r="N4114" s="25"/>
      <c r="O4114" s="54"/>
      <c r="P4114"/>
      <c r="Q4114" s="25"/>
      <c r="R4114" s="54"/>
      <c r="W4114" s="23"/>
      <c r="X4114" s="23"/>
      <c r="Y4114" s="23"/>
      <c r="Z4114" s="43"/>
      <c r="AA4114" s="23"/>
      <c r="AB4114" s="23"/>
      <c r="AC4114" s="23"/>
      <c r="AD4114" s="23"/>
      <c r="AE4114" s="23"/>
      <c r="AF4114" s="23"/>
      <c r="AG4114" s="23"/>
      <c r="AH4114" s="23"/>
      <c r="AI4114" s="49"/>
    </row>
    <row r="4115" spans="1:35">
      <c r="A4115" s="23"/>
      <c r="B4115" s="42"/>
      <c r="C4115" s="49"/>
      <c r="E4115" s="49"/>
      <c r="G4115" s="43"/>
      <c r="H4115" s="44"/>
      <c r="L4115" s="42"/>
      <c r="M4115" s="42"/>
      <c r="N4115" s="25"/>
      <c r="O4115" s="54"/>
      <c r="P4115"/>
      <c r="Q4115" s="25"/>
      <c r="R4115" s="54"/>
      <c r="W4115" s="23"/>
      <c r="X4115" s="23"/>
      <c r="Y4115" s="23"/>
      <c r="Z4115" s="43"/>
      <c r="AA4115" s="23"/>
      <c r="AB4115" s="23"/>
      <c r="AC4115" s="23"/>
      <c r="AD4115" s="23"/>
      <c r="AE4115" s="23"/>
      <c r="AF4115" s="23"/>
      <c r="AG4115" s="23"/>
      <c r="AH4115" s="23"/>
      <c r="AI4115" s="49"/>
    </row>
    <row r="4116" spans="1:35">
      <c r="A4116" s="23"/>
      <c r="B4116" s="42"/>
      <c r="C4116" s="49"/>
      <c r="E4116" s="49"/>
      <c r="G4116" s="43"/>
      <c r="H4116" s="44"/>
      <c r="L4116" s="42"/>
      <c r="M4116" s="42"/>
      <c r="N4116" s="25"/>
      <c r="O4116" s="54"/>
      <c r="P4116"/>
      <c r="Q4116" s="25"/>
      <c r="R4116" s="54"/>
      <c r="W4116" s="23"/>
      <c r="X4116" s="23"/>
      <c r="Y4116" s="23"/>
      <c r="Z4116" s="43"/>
      <c r="AA4116" s="23"/>
      <c r="AB4116" s="23"/>
      <c r="AC4116" s="23"/>
      <c r="AD4116" s="23"/>
      <c r="AE4116" s="23"/>
      <c r="AF4116" s="23"/>
      <c r="AG4116" s="23"/>
      <c r="AH4116" s="23"/>
      <c r="AI4116" s="49"/>
    </row>
    <row r="4117" spans="1:35">
      <c r="B4117" s="42"/>
      <c r="C4117" s="49"/>
      <c r="E4117" s="49"/>
      <c r="G4117" s="43"/>
      <c r="H4117" s="44"/>
      <c r="L4117" s="42"/>
      <c r="M4117" s="42"/>
      <c r="N4117" s="25"/>
      <c r="O4117" s="54"/>
      <c r="P4117"/>
      <c r="Q4117" s="25"/>
      <c r="R4117" s="54"/>
      <c r="W4117" s="23"/>
      <c r="X4117" s="23"/>
      <c r="Y4117" s="23"/>
      <c r="Z4117" s="43"/>
      <c r="AA4117" s="23"/>
      <c r="AB4117" s="23"/>
      <c r="AC4117" s="23"/>
      <c r="AD4117" s="23"/>
      <c r="AE4117" s="23"/>
      <c r="AF4117" s="23"/>
      <c r="AG4117" s="23"/>
      <c r="AH4117" s="23"/>
      <c r="AI4117" s="23"/>
    </row>
    <row r="4118" spans="1:35">
      <c r="B4118" s="42"/>
      <c r="C4118" s="49"/>
      <c r="E4118" s="49"/>
      <c r="G4118" s="43"/>
      <c r="H4118" s="44"/>
      <c r="L4118" s="42"/>
      <c r="M4118" s="42"/>
      <c r="N4118" s="25"/>
      <c r="O4118" s="54"/>
      <c r="P4118"/>
      <c r="Q4118" s="25"/>
      <c r="R4118" s="54"/>
      <c r="W4118" s="23"/>
      <c r="X4118" s="23"/>
      <c r="Y4118" s="23"/>
      <c r="Z4118" s="43"/>
      <c r="AA4118" s="23"/>
      <c r="AB4118" s="23"/>
      <c r="AC4118" s="23"/>
      <c r="AD4118" s="23"/>
      <c r="AE4118" s="23"/>
      <c r="AF4118" s="23"/>
      <c r="AG4118" s="23"/>
      <c r="AH4118" s="23"/>
      <c r="AI4118" s="23"/>
    </row>
    <row r="4119" spans="1:35">
      <c r="B4119" s="42"/>
      <c r="C4119" s="49"/>
      <c r="E4119" s="49"/>
      <c r="G4119" s="43"/>
      <c r="H4119" s="44"/>
      <c r="L4119" s="42"/>
      <c r="M4119" s="42"/>
      <c r="N4119" s="25"/>
      <c r="O4119" s="54"/>
      <c r="P4119"/>
      <c r="Q4119" s="25"/>
      <c r="R4119" s="54"/>
      <c r="W4119" s="23"/>
      <c r="X4119" s="23"/>
      <c r="Y4119" s="23"/>
      <c r="Z4119" s="43"/>
      <c r="AA4119" s="23"/>
      <c r="AB4119" s="23"/>
      <c r="AC4119" s="23"/>
      <c r="AD4119" s="23"/>
      <c r="AE4119" s="23"/>
      <c r="AF4119" s="23"/>
      <c r="AG4119" s="23"/>
      <c r="AH4119" s="23"/>
      <c r="AI4119" s="23"/>
    </row>
    <row r="4120" spans="1:35">
      <c r="B4120" s="42"/>
      <c r="C4120" s="49"/>
      <c r="E4120" s="49"/>
      <c r="G4120" s="43"/>
      <c r="H4120" s="44"/>
      <c r="L4120" s="42"/>
      <c r="M4120" s="42"/>
      <c r="N4120" s="25"/>
      <c r="O4120" s="54"/>
      <c r="P4120"/>
      <c r="Q4120" s="25"/>
      <c r="R4120" s="54"/>
      <c r="W4120" s="23"/>
      <c r="X4120" s="23"/>
      <c r="Y4120" s="23"/>
      <c r="Z4120" s="43"/>
      <c r="AA4120" s="23"/>
      <c r="AB4120" s="23"/>
      <c r="AC4120" s="23"/>
      <c r="AD4120" s="23"/>
      <c r="AE4120" s="23"/>
      <c r="AF4120" s="23"/>
      <c r="AG4120" s="23"/>
      <c r="AH4120" s="23"/>
      <c r="AI4120" s="23"/>
    </row>
    <row r="4121" spans="1:35">
      <c r="A4121" s="23"/>
      <c r="B4121" s="42"/>
      <c r="C4121" s="49"/>
      <c r="E4121" s="49"/>
      <c r="G4121" s="43"/>
      <c r="H4121" s="44"/>
      <c r="L4121" s="42"/>
      <c r="M4121" s="42"/>
      <c r="N4121" s="25"/>
      <c r="O4121" s="54"/>
      <c r="P4121"/>
      <c r="Q4121" s="25"/>
      <c r="R4121" s="54"/>
      <c r="W4121" s="23"/>
      <c r="X4121" s="23"/>
      <c r="Y4121" s="23"/>
      <c r="Z4121" s="43"/>
      <c r="AA4121" s="23"/>
      <c r="AB4121" s="23"/>
      <c r="AC4121" s="23"/>
      <c r="AD4121" s="23"/>
      <c r="AE4121" s="23"/>
      <c r="AF4121" s="23"/>
      <c r="AG4121" s="23"/>
      <c r="AH4121" s="23"/>
      <c r="AI4121" s="49"/>
    </row>
    <row r="4122" spans="1:35">
      <c r="A4122" s="23"/>
      <c r="B4122" s="42"/>
      <c r="C4122" s="49"/>
      <c r="E4122" s="49"/>
      <c r="G4122" s="43"/>
      <c r="H4122" s="44"/>
      <c r="L4122" s="42"/>
      <c r="M4122" s="42"/>
      <c r="N4122" s="25"/>
      <c r="O4122" s="54"/>
      <c r="P4122"/>
      <c r="Q4122" s="25"/>
      <c r="R4122" s="54"/>
      <c r="W4122" s="23"/>
      <c r="X4122" s="23"/>
      <c r="Y4122" s="23"/>
      <c r="Z4122" s="43"/>
      <c r="AA4122" s="23"/>
      <c r="AB4122" s="23"/>
      <c r="AC4122" s="23"/>
      <c r="AD4122" s="23"/>
      <c r="AE4122" s="23"/>
      <c r="AF4122" s="23"/>
      <c r="AG4122" s="23"/>
      <c r="AH4122" s="23"/>
      <c r="AI4122" s="49"/>
    </row>
    <row r="4123" spans="1:35">
      <c r="A4123" s="23"/>
      <c r="B4123" s="42"/>
      <c r="C4123" s="49"/>
      <c r="E4123" s="49"/>
      <c r="G4123" s="43"/>
      <c r="H4123" s="44"/>
      <c r="L4123" s="42"/>
      <c r="M4123" s="42"/>
      <c r="N4123" s="25"/>
      <c r="O4123" s="54"/>
      <c r="P4123"/>
      <c r="Q4123" s="25"/>
      <c r="R4123" s="54"/>
      <c r="W4123" s="23"/>
      <c r="X4123" s="23"/>
      <c r="Y4123" s="23"/>
      <c r="Z4123" s="43"/>
      <c r="AA4123" s="23"/>
      <c r="AB4123" s="23"/>
      <c r="AC4123" s="23"/>
      <c r="AD4123" s="23"/>
      <c r="AE4123" s="23"/>
      <c r="AF4123" s="23"/>
      <c r="AG4123" s="23"/>
      <c r="AH4123" s="23"/>
      <c r="AI4123" s="49"/>
    </row>
    <row r="4124" spans="1:35">
      <c r="A4124" s="23"/>
      <c r="B4124" s="42"/>
      <c r="C4124" s="49"/>
      <c r="E4124" s="49"/>
      <c r="G4124" s="43"/>
      <c r="H4124" s="44"/>
      <c r="L4124" s="42"/>
      <c r="M4124" s="42"/>
      <c r="N4124" s="25"/>
      <c r="O4124" s="54"/>
      <c r="P4124"/>
      <c r="Q4124" s="25"/>
      <c r="R4124" s="54"/>
      <c r="W4124" s="23"/>
      <c r="X4124" s="23"/>
      <c r="Y4124" s="23"/>
      <c r="Z4124" s="43"/>
      <c r="AA4124" s="23"/>
      <c r="AB4124" s="23"/>
      <c r="AC4124" s="23"/>
      <c r="AD4124" s="23"/>
      <c r="AE4124" s="23"/>
      <c r="AF4124" s="23"/>
      <c r="AG4124" s="23"/>
      <c r="AH4124" s="23"/>
      <c r="AI4124" s="49"/>
    </row>
    <row r="4125" spans="1:35">
      <c r="A4125" s="23"/>
      <c r="B4125" s="42"/>
      <c r="C4125" s="49"/>
      <c r="E4125" s="49"/>
      <c r="G4125" s="43"/>
      <c r="H4125" s="44"/>
      <c r="L4125" s="42"/>
      <c r="M4125" s="42"/>
      <c r="N4125" s="25"/>
      <c r="O4125" s="54"/>
      <c r="P4125"/>
      <c r="Q4125" s="25"/>
      <c r="R4125" s="54"/>
      <c r="W4125" s="23"/>
      <c r="X4125" s="23"/>
      <c r="Y4125" s="23"/>
      <c r="Z4125" s="43"/>
      <c r="AA4125" s="23"/>
      <c r="AB4125" s="23"/>
      <c r="AC4125" s="23"/>
      <c r="AD4125" s="23"/>
      <c r="AE4125" s="23"/>
      <c r="AF4125" s="23"/>
      <c r="AG4125" s="23"/>
      <c r="AH4125" s="23"/>
      <c r="AI4125" s="49"/>
    </row>
    <row r="4126" spans="1:35">
      <c r="A4126" s="23"/>
      <c r="B4126" s="42"/>
      <c r="C4126" s="49"/>
      <c r="E4126" s="49"/>
      <c r="G4126" s="43"/>
      <c r="H4126" s="44"/>
      <c r="L4126" s="42"/>
      <c r="M4126" s="42"/>
      <c r="N4126" s="25"/>
      <c r="O4126" s="54"/>
      <c r="P4126"/>
      <c r="Q4126" s="25"/>
      <c r="R4126" s="54"/>
      <c r="W4126" s="23"/>
      <c r="X4126" s="23"/>
      <c r="Y4126" s="23"/>
      <c r="Z4126" s="43"/>
      <c r="AA4126" s="23"/>
      <c r="AB4126" s="23"/>
      <c r="AC4126" s="23"/>
      <c r="AD4126" s="23"/>
      <c r="AE4126" s="23"/>
      <c r="AF4126" s="23"/>
      <c r="AG4126" s="23"/>
      <c r="AH4126" s="23"/>
      <c r="AI4126" s="49"/>
    </row>
    <row r="4127" spans="1:35">
      <c r="A4127" s="23"/>
      <c r="B4127" s="42"/>
      <c r="C4127" s="49"/>
      <c r="E4127" s="49"/>
      <c r="G4127" s="43"/>
      <c r="H4127" s="44"/>
      <c r="L4127" s="42"/>
      <c r="M4127" s="42"/>
      <c r="N4127" s="25"/>
      <c r="O4127" s="54"/>
      <c r="P4127"/>
      <c r="Q4127" s="25"/>
      <c r="R4127" s="54"/>
      <c r="W4127" s="23"/>
      <c r="X4127" s="23"/>
      <c r="Y4127" s="23"/>
      <c r="Z4127" s="43"/>
      <c r="AA4127" s="23"/>
      <c r="AB4127" s="23"/>
      <c r="AC4127" s="23"/>
      <c r="AD4127" s="23"/>
      <c r="AE4127" s="23"/>
      <c r="AF4127" s="23"/>
      <c r="AG4127" s="23"/>
      <c r="AH4127" s="23"/>
      <c r="AI4127" s="49"/>
    </row>
    <row r="4128" spans="1:35">
      <c r="A4128" s="23"/>
      <c r="B4128" s="42"/>
      <c r="C4128" s="49"/>
      <c r="E4128" s="49"/>
      <c r="G4128" s="43"/>
      <c r="H4128" s="44"/>
      <c r="L4128" s="42"/>
      <c r="M4128" s="42"/>
      <c r="N4128" s="25"/>
      <c r="O4128" s="54"/>
      <c r="P4128"/>
      <c r="Q4128" s="25"/>
      <c r="R4128" s="54"/>
      <c r="W4128" s="23"/>
      <c r="X4128" s="23"/>
      <c r="Y4128" s="23"/>
      <c r="Z4128" s="43"/>
      <c r="AA4128" s="23"/>
      <c r="AB4128" s="23"/>
      <c r="AC4128" s="23"/>
      <c r="AD4128" s="23"/>
      <c r="AE4128" s="23"/>
      <c r="AF4128" s="23"/>
      <c r="AG4128" s="23"/>
      <c r="AH4128" s="23"/>
      <c r="AI4128" s="49"/>
    </row>
    <row r="4129" spans="1:35">
      <c r="A4129" s="23"/>
      <c r="B4129" s="42"/>
      <c r="C4129" s="49"/>
      <c r="E4129" s="49"/>
      <c r="G4129" s="43"/>
      <c r="H4129" s="44"/>
      <c r="L4129" s="42"/>
      <c r="M4129" s="42"/>
      <c r="N4129" s="25"/>
      <c r="O4129" s="54"/>
      <c r="P4129"/>
      <c r="Q4129" s="25"/>
      <c r="R4129" s="54"/>
      <c r="W4129" s="23"/>
      <c r="X4129" s="23"/>
      <c r="Y4129" s="23"/>
      <c r="Z4129" s="43"/>
      <c r="AA4129" s="23"/>
      <c r="AB4129" s="23"/>
      <c r="AC4129" s="23"/>
      <c r="AD4129" s="23"/>
      <c r="AE4129" s="23"/>
      <c r="AF4129" s="23"/>
      <c r="AG4129" s="23"/>
      <c r="AH4129" s="23"/>
      <c r="AI4129" s="49"/>
    </row>
    <row r="4130" spans="1:35">
      <c r="A4130" s="23"/>
      <c r="B4130" s="42"/>
      <c r="C4130" s="49"/>
      <c r="E4130" s="49"/>
      <c r="G4130" s="43"/>
      <c r="H4130" s="44"/>
      <c r="L4130" s="42"/>
      <c r="M4130" s="42"/>
      <c r="N4130" s="25"/>
      <c r="O4130" s="54"/>
      <c r="P4130"/>
      <c r="Q4130" s="25"/>
      <c r="R4130" s="54"/>
      <c r="W4130" s="23"/>
      <c r="X4130" s="23"/>
      <c r="Y4130" s="23"/>
      <c r="Z4130" s="43"/>
      <c r="AA4130" s="23"/>
      <c r="AB4130" s="23"/>
      <c r="AC4130" s="23"/>
      <c r="AD4130" s="23"/>
      <c r="AE4130" s="23"/>
      <c r="AF4130" s="23"/>
      <c r="AG4130" s="23"/>
      <c r="AH4130" s="23"/>
      <c r="AI4130" s="49"/>
    </row>
    <row r="4131" spans="1:35">
      <c r="A4131" s="23"/>
      <c r="B4131" s="42"/>
      <c r="C4131" s="49"/>
      <c r="E4131" s="49"/>
      <c r="G4131" s="43"/>
      <c r="H4131" s="44"/>
      <c r="L4131" s="42"/>
      <c r="M4131" s="42"/>
      <c r="N4131" s="25"/>
      <c r="O4131" s="54"/>
      <c r="P4131"/>
      <c r="Q4131" s="25"/>
      <c r="R4131" s="54"/>
      <c r="W4131" s="23"/>
      <c r="X4131" s="23"/>
      <c r="Y4131" s="23"/>
      <c r="Z4131" s="43"/>
      <c r="AA4131" s="23"/>
      <c r="AB4131" s="23"/>
      <c r="AC4131" s="23"/>
      <c r="AD4131" s="23"/>
      <c r="AE4131" s="23"/>
      <c r="AF4131" s="23"/>
      <c r="AG4131" s="23"/>
      <c r="AH4131" s="23"/>
      <c r="AI4131" s="49"/>
    </row>
    <row r="4132" spans="1:35">
      <c r="A4132" s="23"/>
      <c r="B4132" s="42"/>
      <c r="C4132" s="49"/>
      <c r="E4132" s="49"/>
      <c r="G4132" s="43"/>
      <c r="H4132" s="44"/>
      <c r="L4132" s="42"/>
      <c r="M4132" s="42"/>
      <c r="N4132" s="25"/>
      <c r="O4132" s="54"/>
      <c r="P4132"/>
      <c r="Q4132" s="25"/>
      <c r="R4132" s="54"/>
      <c r="W4132" s="23"/>
      <c r="X4132" s="23"/>
      <c r="Y4132" s="23"/>
      <c r="Z4132" s="43"/>
      <c r="AA4132" s="23"/>
      <c r="AB4132" s="23"/>
      <c r="AC4132" s="23"/>
      <c r="AD4132" s="23"/>
      <c r="AE4132" s="23"/>
      <c r="AF4132" s="23"/>
      <c r="AG4132" s="23"/>
      <c r="AH4132" s="23"/>
      <c r="AI4132" s="49"/>
    </row>
    <row r="4133" spans="1:35">
      <c r="A4133" s="23"/>
      <c r="B4133" s="42"/>
      <c r="C4133" s="49"/>
      <c r="E4133" s="49"/>
      <c r="G4133" s="43"/>
      <c r="H4133" s="44"/>
      <c r="L4133" s="42"/>
      <c r="M4133" s="42"/>
      <c r="N4133" s="25"/>
      <c r="O4133" s="54"/>
      <c r="P4133"/>
      <c r="Q4133" s="25"/>
      <c r="R4133" s="54"/>
      <c r="W4133" s="23"/>
      <c r="X4133" s="23"/>
      <c r="Y4133" s="23"/>
      <c r="Z4133" s="43"/>
      <c r="AA4133" s="23"/>
      <c r="AB4133" s="23"/>
      <c r="AC4133" s="23"/>
      <c r="AD4133" s="23"/>
      <c r="AE4133" s="23"/>
      <c r="AF4133" s="23"/>
      <c r="AG4133" s="23"/>
      <c r="AH4133" s="23"/>
      <c r="AI4133" s="49"/>
    </row>
    <row r="4134" spans="1:35">
      <c r="A4134" s="23"/>
      <c r="B4134" s="42"/>
      <c r="C4134" s="49"/>
      <c r="E4134" s="49"/>
      <c r="G4134" s="43"/>
      <c r="H4134" s="44"/>
      <c r="L4134" s="42"/>
      <c r="M4134" s="42"/>
      <c r="N4134" s="25"/>
      <c r="O4134" s="54"/>
      <c r="P4134"/>
      <c r="Q4134" s="25"/>
      <c r="R4134" s="54"/>
      <c r="W4134" s="23"/>
      <c r="X4134" s="23"/>
      <c r="Y4134" s="23"/>
      <c r="Z4134" s="43"/>
      <c r="AA4134" s="23"/>
      <c r="AB4134" s="23"/>
      <c r="AC4134" s="23"/>
      <c r="AD4134" s="23"/>
      <c r="AE4134" s="23"/>
      <c r="AF4134" s="23"/>
      <c r="AG4134" s="23"/>
      <c r="AH4134" s="23"/>
      <c r="AI4134" s="49"/>
    </row>
    <row r="4135" spans="1:35">
      <c r="A4135" s="23"/>
      <c r="B4135" s="42"/>
      <c r="C4135" s="49"/>
      <c r="E4135" s="49"/>
      <c r="G4135" s="43"/>
      <c r="H4135" s="44"/>
      <c r="L4135" s="42"/>
      <c r="M4135" s="42"/>
      <c r="N4135" s="25"/>
      <c r="O4135" s="54"/>
      <c r="P4135"/>
      <c r="Q4135" s="25"/>
      <c r="R4135" s="54"/>
      <c r="W4135" s="23"/>
      <c r="X4135" s="23"/>
      <c r="Y4135" s="23"/>
      <c r="Z4135" s="43"/>
      <c r="AA4135" s="23"/>
      <c r="AB4135" s="23"/>
      <c r="AC4135" s="23"/>
      <c r="AD4135" s="23"/>
      <c r="AE4135" s="23"/>
      <c r="AF4135" s="23"/>
      <c r="AG4135" s="23"/>
      <c r="AH4135" s="23"/>
      <c r="AI4135" s="49"/>
    </row>
    <row r="4136" spans="1:35">
      <c r="B4136" s="42"/>
      <c r="C4136" s="49"/>
      <c r="E4136" s="49"/>
      <c r="G4136" s="43"/>
      <c r="H4136" s="44"/>
      <c r="L4136" s="42"/>
      <c r="M4136" s="42"/>
      <c r="N4136" s="25"/>
      <c r="O4136" s="54"/>
      <c r="P4136"/>
      <c r="Q4136" s="25"/>
      <c r="R4136" s="54"/>
      <c r="W4136" s="23"/>
      <c r="X4136" s="23"/>
      <c r="Y4136" s="23"/>
      <c r="Z4136" s="43"/>
      <c r="AA4136" s="23"/>
      <c r="AB4136" s="23"/>
      <c r="AC4136" s="23"/>
      <c r="AD4136" s="23"/>
      <c r="AE4136" s="23"/>
      <c r="AF4136" s="23"/>
      <c r="AG4136" s="23"/>
      <c r="AH4136" s="23"/>
      <c r="AI4136" s="23"/>
    </row>
    <row r="4137" spans="1:35">
      <c r="A4137" s="23"/>
      <c r="B4137" s="42"/>
      <c r="C4137" s="49"/>
      <c r="E4137" s="49"/>
      <c r="G4137" s="43"/>
      <c r="H4137" s="44"/>
      <c r="L4137" s="42"/>
      <c r="M4137" s="42"/>
      <c r="N4137" s="25"/>
      <c r="O4137" s="54"/>
      <c r="P4137"/>
      <c r="Q4137" s="25"/>
      <c r="R4137" s="54"/>
      <c r="W4137" s="23"/>
      <c r="X4137" s="23"/>
      <c r="Y4137" s="23"/>
      <c r="Z4137" s="43"/>
      <c r="AA4137" s="23"/>
      <c r="AB4137" s="23"/>
      <c r="AC4137" s="23"/>
      <c r="AD4137" s="23"/>
      <c r="AE4137" s="23"/>
      <c r="AF4137" s="23"/>
      <c r="AG4137" s="23"/>
      <c r="AH4137" s="23"/>
      <c r="AI4137" s="49"/>
    </row>
    <row r="4138" spans="1:35">
      <c r="A4138" s="23"/>
      <c r="B4138" s="42"/>
      <c r="C4138" s="49"/>
      <c r="E4138" s="49"/>
      <c r="G4138" s="43"/>
      <c r="H4138" s="44"/>
      <c r="L4138" s="42"/>
      <c r="M4138" s="42"/>
      <c r="N4138" s="25"/>
      <c r="O4138" s="54"/>
      <c r="P4138"/>
      <c r="Q4138" s="25"/>
      <c r="R4138" s="54"/>
      <c r="W4138" s="23"/>
      <c r="X4138" s="23"/>
      <c r="Y4138" s="23"/>
      <c r="Z4138" s="43"/>
      <c r="AA4138" s="23"/>
      <c r="AB4138" s="23"/>
      <c r="AC4138" s="23"/>
      <c r="AD4138" s="23"/>
      <c r="AE4138" s="23"/>
      <c r="AF4138" s="23"/>
      <c r="AG4138" s="23"/>
      <c r="AH4138" s="23"/>
      <c r="AI4138" s="49"/>
    </row>
    <row r="4139" spans="1:35">
      <c r="A4139" s="23"/>
      <c r="B4139" s="42"/>
      <c r="C4139" s="49"/>
      <c r="E4139" s="49"/>
      <c r="G4139" s="43"/>
      <c r="H4139" s="44"/>
      <c r="L4139" s="42"/>
      <c r="M4139" s="42"/>
      <c r="N4139" s="25"/>
      <c r="O4139" s="54"/>
      <c r="P4139"/>
      <c r="Q4139" s="25"/>
      <c r="R4139" s="54"/>
      <c r="W4139" s="23"/>
      <c r="X4139" s="23"/>
      <c r="Y4139" s="23"/>
      <c r="Z4139" s="43"/>
      <c r="AA4139" s="23"/>
      <c r="AB4139" s="23"/>
      <c r="AC4139" s="23"/>
      <c r="AD4139" s="23"/>
      <c r="AE4139" s="23"/>
      <c r="AF4139" s="23"/>
      <c r="AG4139" s="23"/>
      <c r="AH4139" s="23"/>
      <c r="AI4139" s="49"/>
    </row>
    <row r="4140" spans="1:35">
      <c r="A4140" s="23"/>
      <c r="B4140" s="42"/>
      <c r="C4140" s="49"/>
      <c r="E4140" s="49"/>
      <c r="G4140" s="43"/>
      <c r="H4140" s="44"/>
      <c r="L4140" s="42"/>
      <c r="M4140" s="42"/>
      <c r="N4140" s="25"/>
      <c r="O4140" s="54"/>
      <c r="P4140"/>
      <c r="Q4140" s="25"/>
      <c r="R4140" s="54"/>
      <c r="W4140" s="23"/>
      <c r="X4140" s="23"/>
      <c r="Y4140" s="23"/>
      <c r="Z4140" s="43"/>
      <c r="AA4140" s="23"/>
      <c r="AB4140" s="23"/>
      <c r="AC4140" s="23"/>
      <c r="AD4140" s="23"/>
      <c r="AE4140" s="23"/>
      <c r="AF4140" s="23"/>
      <c r="AG4140" s="23"/>
      <c r="AH4140" s="23"/>
      <c r="AI4140" s="49"/>
    </row>
    <row r="4141" spans="1:35">
      <c r="A4141" s="23"/>
      <c r="B4141" s="42"/>
      <c r="C4141" s="49"/>
      <c r="E4141" s="49"/>
      <c r="G4141" s="43"/>
      <c r="H4141" s="44"/>
      <c r="L4141" s="42"/>
      <c r="M4141" s="42"/>
      <c r="N4141" s="25"/>
      <c r="O4141" s="54"/>
      <c r="P4141"/>
      <c r="Q4141" s="25"/>
      <c r="R4141" s="54"/>
      <c r="W4141" s="23"/>
      <c r="X4141" s="23"/>
      <c r="Y4141" s="23"/>
      <c r="Z4141" s="43"/>
      <c r="AA4141" s="23"/>
      <c r="AB4141" s="23"/>
      <c r="AC4141" s="23"/>
      <c r="AD4141" s="23"/>
      <c r="AE4141" s="23"/>
      <c r="AF4141" s="23"/>
      <c r="AG4141" s="23"/>
      <c r="AH4141" s="23"/>
      <c r="AI4141" s="49"/>
    </row>
    <row r="4142" spans="1:35">
      <c r="A4142" s="23"/>
      <c r="B4142" s="42"/>
      <c r="C4142" s="49"/>
      <c r="E4142" s="49"/>
      <c r="G4142" s="43"/>
      <c r="H4142" s="44"/>
      <c r="L4142" s="42"/>
      <c r="M4142" s="42"/>
      <c r="N4142" s="25"/>
      <c r="O4142" s="54"/>
      <c r="P4142"/>
      <c r="Q4142" s="25"/>
      <c r="R4142" s="54"/>
      <c r="W4142" s="23"/>
      <c r="X4142" s="23"/>
      <c r="Y4142" s="23"/>
      <c r="Z4142" s="43"/>
      <c r="AA4142" s="23"/>
      <c r="AB4142" s="23"/>
      <c r="AC4142" s="23"/>
      <c r="AD4142" s="23"/>
      <c r="AE4142" s="23"/>
      <c r="AF4142" s="23"/>
      <c r="AG4142" s="23"/>
      <c r="AH4142" s="23"/>
      <c r="AI4142" s="49"/>
    </row>
    <row r="4143" spans="1:35">
      <c r="A4143" s="23"/>
      <c r="B4143" s="42"/>
      <c r="C4143" s="49"/>
      <c r="E4143" s="49"/>
      <c r="G4143" s="43"/>
      <c r="H4143" s="44"/>
      <c r="L4143" s="42"/>
      <c r="M4143" s="42"/>
      <c r="N4143" s="25"/>
      <c r="O4143" s="54"/>
      <c r="P4143"/>
      <c r="Q4143" s="25"/>
      <c r="R4143" s="54"/>
      <c r="W4143" s="23"/>
      <c r="X4143" s="23"/>
      <c r="Y4143" s="23"/>
      <c r="Z4143" s="43"/>
      <c r="AA4143" s="23"/>
      <c r="AB4143" s="23"/>
      <c r="AC4143" s="23"/>
      <c r="AD4143" s="23"/>
      <c r="AE4143" s="23"/>
      <c r="AF4143" s="23"/>
      <c r="AG4143" s="23"/>
      <c r="AH4143" s="23"/>
      <c r="AI4143" s="49"/>
    </row>
    <row r="4144" spans="1:35">
      <c r="A4144" s="23"/>
      <c r="B4144" s="42"/>
      <c r="C4144" s="49"/>
      <c r="E4144" s="49"/>
      <c r="G4144" s="43"/>
      <c r="H4144" s="44"/>
      <c r="L4144" s="42"/>
      <c r="M4144" s="42"/>
      <c r="N4144" s="25"/>
      <c r="O4144" s="54"/>
      <c r="P4144"/>
      <c r="Q4144" s="25"/>
      <c r="R4144" s="54"/>
      <c r="W4144" s="23"/>
      <c r="X4144" s="23"/>
      <c r="Y4144" s="23"/>
      <c r="Z4144" s="43"/>
      <c r="AA4144" s="23"/>
      <c r="AB4144" s="23"/>
      <c r="AC4144" s="23"/>
      <c r="AD4144" s="23"/>
      <c r="AE4144" s="23"/>
      <c r="AF4144" s="23"/>
      <c r="AG4144" s="23"/>
      <c r="AH4144" s="23"/>
      <c r="AI4144" s="49"/>
    </row>
    <row r="4145" spans="1:35">
      <c r="A4145" s="23"/>
      <c r="B4145" s="42"/>
      <c r="C4145" s="49"/>
      <c r="E4145" s="49"/>
      <c r="G4145" s="43"/>
      <c r="H4145" s="44"/>
      <c r="L4145" s="42"/>
      <c r="M4145" s="42"/>
      <c r="N4145" s="25"/>
      <c r="O4145" s="54"/>
      <c r="P4145"/>
      <c r="Q4145" s="25"/>
      <c r="R4145" s="54"/>
      <c r="W4145" s="23"/>
      <c r="X4145" s="23"/>
      <c r="Y4145" s="23"/>
      <c r="Z4145" s="43"/>
      <c r="AA4145" s="23"/>
      <c r="AB4145" s="23"/>
      <c r="AC4145" s="23"/>
      <c r="AD4145" s="23"/>
      <c r="AE4145" s="23"/>
      <c r="AF4145" s="23"/>
      <c r="AG4145" s="23"/>
      <c r="AH4145" s="23"/>
      <c r="AI4145" s="49"/>
    </row>
    <row r="4146" spans="1:35">
      <c r="A4146" s="23"/>
      <c r="B4146" s="42"/>
      <c r="C4146" s="49"/>
      <c r="E4146" s="49"/>
      <c r="G4146" s="43"/>
      <c r="H4146" s="44"/>
      <c r="L4146" s="42"/>
      <c r="M4146" s="42"/>
      <c r="N4146" s="25"/>
      <c r="O4146" s="54"/>
      <c r="P4146"/>
      <c r="Q4146" s="25"/>
      <c r="R4146" s="54"/>
      <c r="W4146" s="23"/>
      <c r="X4146" s="23"/>
      <c r="Y4146" s="23"/>
      <c r="Z4146" s="43"/>
      <c r="AA4146" s="23"/>
      <c r="AB4146" s="23"/>
      <c r="AC4146" s="23"/>
      <c r="AD4146" s="23"/>
      <c r="AE4146" s="23"/>
      <c r="AF4146" s="23"/>
      <c r="AG4146" s="23"/>
      <c r="AH4146" s="23"/>
      <c r="AI4146" s="49"/>
    </row>
    <row r="4147" spans="1:35">
      <c r="A4147" s="23"/>
      <c r="B4147" s="42"/>
      <c r="C4147" s="49"/>
      <c r="E4147" s="49"/>
      <c r="G4147" s="43"/>
      <c r="H4147" s="44"/>
      <c r="L4147" s="42"/>
      <c r="M4147" s="42"/>
      <c r="N4147" s="25"/>
      <c r="O4147" s="54"/>
      <c r="P4147"/>
      <c r="Q4147" s="25"/>
      <c r="R4147" s="54"/>
      <c r="W4147" s="23"/>
      <c r="X4147" s="23"/>
      <c r="Y4147" s="23"/>
      <c r="Z4147" s="43"/>
      <c r="AA4147" s="23"/>
      <c r="AB4147" s="23"/>
      <c r="AC4147" s="23"/>
      <c r="AD4147" s="23"/>
      <c r="AE4147" s="23"/>
      <c r="AF4147" s="23"/>
      <c r="AG4147" s="23"/>
      <c r="AH4147" s="23"/>
      <c r="AI4147" s="49"/>
    </row>
    <row r="4148" spans="1:35">
      <c r="A4148" s="23"/>
      <c r="B4148" s="42"/>
      <c r="C4148" s="49"/>
      <c r="E4148" s="49"/>
      <c r="G4148" s="43"/>
      <c r="H4148" s="44"/>
      <c r="L4148" s="42"/>
      <c r="M4148" s="42"/>
      <c r="N4148" s="25"/>
      <c r="O4148" s="54"/>
      <c r="P4148"/>
      <c r="Q4148" s="25"/>
      <c r="R4148" s="54"/>
      <c r="W4148" s="23"/>
      <c r="X4148" s="23"/>
      <c r="Y4148" s="23"/>
      <c r="Z4148" s="43"/>
      <c r="AA4148" s="23"/>
      <c r="AB4148" s="23"/>
      <c r="AC4148" s="23"/>
      <c r="AD4148" s="23"/>
      <c r="AE4148" s="23"/>
      <c r="AF4148" s="23"/>
      <c r="AG4148" s="23"/>
      <c r="AH4148" s="23"/>
      <c r="AI4148" s="49"/>
    </row>
    <row r="4149" spans="1:35">
      <c r="A4149" s="23"/>
      <c r="B4149" s="42"/>
      <c r="C4149" s="49"/>
      <c r="E4149" s="49"/>
      <c r="G4149" s="43"/>
      <c r="H4149" s="44"/>
      <c r="L4149" s="42"/>
      <c r="M4149" s="42"/>
      <c r="N4149" s="25"/>
      <c r="O4149" s="54"/>
      <c r="P4149"/>
      <c r="Q4149" s="25"/>
      <c r="R4149" s="54"/>
      <c r="W4149" s="23"/>
      <c r="X4149" s="23"/>
      <c r="Y4149" s="23"/>
      <c r="Z4149" s="43"/>
      <c r="AA4149" s="23"/>
      <c r="AB4149" s="23"/>
      <c r="AC4149" s="23"/>
      <c r="AD4149" s="23"/>
      <c r="AE4149" s="23"/>
      <c r="AF4149" s="23"/>
      <c r="AG4149" s="23"/>
      <c r="AH4149" s="23"/>
      <c r="AI4149" s="49"/>
    </row>
    <row r="4150" spans="1:35">
      <c r="A4150" s="23"/>
      <c r="B4150" s="42"/>
      <c r="C4150" s="49"/>
      <c r="E4150" s="49"/>
      <c r="G4150" s="43"/>
      <c r="H4150" s="44"/>
      <c r="L4150" s="42"/>
      <c r="M4150" s="42"/>
      <c r="N4150" s="25"/>
      <c r="O4150" s="54"/>
      <c r="P4150"/>
      <c r="Q4150" s="25"/>
      <c r="R4150" s="54"/>
      <c r="W4150" s="23"/>
      <c r="X4150" s="23"/>
      <c r="Y4150" s="23"/>
      <c r="Z4150" s="43"/>
      <c r="AA4150" s="23"/>
      <c r="AB4150" s="23"/>
      <c r="AC4150" s="23"/>
      <c r="AD4150" s="23"/>
      <c r="AE4150" s="23"/>
      <c r="AF4150" s="23"/>
      <c r="AG4150" s="23"/>
      <c r="AH4150" s="23"/>
      <c r="AI4150" s="49"/>
    </row>
    <row r="4151" spans="1:35">
      <c r="A4151" s="23"/>
      <c r="B4151" s="42"/>
      <c r="C4151" s="49"/>
      <c r="E4151" s="49"/>
      <c r="G4151" s="43"/>
      <c r="H4151" s="44"/>
      <c r="L4151" s="42"/>
      <c r="M4151" s="42"/>
      <c r="N4151" s="25"/>
      <c r="O4151" s="54"/>
      <c r="P4151"/>
      <c r="Q4151" s="25"/>
      <c r="R4151" s="54"/>
      <c r="W4151" s="23"/>
      <c r="X4151" s="23"/>
      <c r="Y4151" s="23"/>
      <c r="Z4151" s="43"/>
      <c r="AA4151" s="23"/>
      <c r="AB4151" s="23"/>
      <c r="AC4151" s="23"/>
      <c r="AD4151" s="23"/>
      <c r="AE4151" s="23"/>
      <c r="AF4151" s="23"/>
      <c r="AG4151" s="23"/>
      <c r="AH4151" s="23"/>
      <c r="AI4151" s="49"/>
    </row>
    <row r="4152" spans="1:35">
      <c r="A4152" s="23"/>
      <c r="B4152" s="42"/>
      <c r="C4152" s="49"/>
      <c r="E4152" s="49"/>
      <c r="G4152" s="43"/>
      <c r="H4152" s="44"/>
      <c r="L4152" s="42"/>
      <c r="M4152" s="42"/>
      <c r="N4152" s="25"/>
      <c r="O4152" s="54"/>
      <c r="P4152"/>
      <c r="Q4152" s="25"/>
      <c r="R4152" s="54"/>
      <c r="W4152" s="23"/>
      <c r="X4152" s="23"/>
      <c r="Y4152" s="23"/>
      <c r="Z4152" s="43"/>
      <c r="AA4152" s="23"/>
      <c r="AB4152" s="23"/>
      <c r="AC4152" s="23"/>
      <c r="AD4152" s="23"/>
      <c r="AE4152" s="23"/>
      <c r="AF4152" s="23"/>
      <c r="AG4152" s="23"/>
      <c r="AH4152" s="23"/>
      <c r="AI4152" s="49"/>
    </row>
    <row r="4153" spans="1:35">
      <c r="A4153" s="23"/>
      <c r="B4153" s="42"/>
      <c r="C4153" s="49"/>
      <c r="E4153" s="49"/>
      <c r="G4153" s="43"/>
      <c r="H4153" s="44"/>
      <c r="L4153" s="42"/>
      <c r="M4153" s="42"/>
      <c r="N4153" s="25"/>
      <c r="O4153" s="54"/>
      <c r="P4153"/>
      <c r="Q4153" s="25"/>
      <c r="R4153" s="54"/>
      <c r="W4153" s="23"/>
      <c r="X4153" s="23"/>
      <c r="Y4153" s="23"/>
      <c r="Z4153" s="43"/>
      <c r="AA4153" s="23"/>
      <c r="AB4153" s="23"/>
      <c r="AC4153" s="23"/>
      <c r="AD4153" s="23"/>
      <c r="AE4153" s="23"/>
      <c r="AF4153" s="23"/>
      <c r="AG4153" s="23"/>
      <c r="AH4153" s="23"/>
      <c r="AI4153" s="49"/>
    </row>
    <row r="4154" spans="1:35">
      <c r="A4154" s="23"/>
      <c r="B4154" s="42"/>
      <c r="C4154" s="49"/>
      <c r="E4154" s="49"/>
      <c r="G4154" s="43"/>
      <c r="H4154" s="44"/>
      <c r="L4154" s="42"/>
      <c r="M4154" s="42"/>
      <c r="N4154" s="25"/>
      <c r="O4154" s="54"/>
      <c r="P4154"/>
      <c r="Q4154" s="25"/>
      <c r="R4154" s="54"/>
      <c r="W4154" s="23"/>
      <c r="X4154" s="23"/>
      <c r="Y4154" s="23"/>
      <c r="Z4154" s="43"/>
      <c r="AA4154" s="23"/>
      <c r="AB4154" s="23"/>
      <c r="AC4154" s="23"/>
      <c r="AD4154" s="23"/>
      <c r="AE4154" s="23"/>
      <c r="AF4154" s="23"/>
      <c r="AG4154" s="23"/>
      <c r="AH4154" s="23"/>
      <c r="AI4154" s="49"/>
    </row>
    <row r="4155" spans="1:35">
      <c r="A4155" s="23"/>
      <c r="B4155" s="42"/>
      <c r="C4155" s="49"/>
      <c r="E4155" s="49"/>
      <c r="G4155" s="43"/>
      <c r="H4155" s="44"/>
      <c r="L4155" s="42"/>
      <c r="M4155" s="42"/>
      <c r="N4155" s="25"/>
      <c r="O4155" s="54"/>
      <c r="P4155"/>
      <c r="Q4155" s="25"/>
      <c r="R4155" s="54"/>
      <c r="W4155" s="23"/>
      <c r="X4155" s="23"/>
      <c r="Y4155" s="23"/>
      <c r="Z4155" s="43"/>
      <c r="AA4155" s="23"/>
      <c r="AB4155" s="23"/>
      <c r="AC4155" s="23"/>
      <c r="AD4155" s="23"/>
      <c r="AE4155" s="23"/>
      <c r="AF4155" s="23"/>
      <c r="AG4155" s="23"/>
      <c r="AH4155" s="23"/>
      <c r="AI4155" s="49"/>
    </row>
    <row r="4156" spans="1:35">
      <c r="A4156" s="23"/>
      <c r="B4156" s="42"/>
      <c r="C4156" s="49"/>
      <c r="E4156" s="49"/>
      <c r="G4156" s="43"/>
      <c r="H4156" s="44"/>
      <c r="L4156" s="42"/>
      <c r="M4156" s="42"/>
      <c r="N4156" s="25"/>
      <c r="O4156" s="54"/>
      <c r="P4156"/>
      <c r="Q4156" s="25"/>
      <c r="R4156" s="54"/>
      <c r="W4156" s="23"/>
      <c r="X4156" s="23"/>
      <c r="Y4156" s="23"/>
      <c r="Z4156" s="43"/>
      <c r="AA4156" s="23"/>
      <c r="AB4156" s="23"/>
      <c r="AC4156" s="23"/>
      <c r="AD4156" s="23"/>
      <c r="AE4156" s="23"/>
      <c r="AF4156" s="23"/>
      <c r="AG4156" s="23"/>
      <c r="AH4156" s="23"/>
      <c r="AI4156" s="49"/>
    </row>
    <row r="4157" spans="1:35">
      <c r="A4157" s="23"/>
      <c r="B4157" s="42"/>
      <c r="C4157" s="49"/>
      <c r="E4157" s="49"/>
      <c r="G4157" s="43"/>
      <c r="H4157" s="44"/>
      <c r="L4157" s="42"/>
      <c r="M4157" s="42"/>
      <c r="N4157" s="25"/>
      <c r="O4157" s="54"/>
      <c r="P4157"/>
      <c r="Q4157" s="25"/>
      <c r="R4157" s="54"/>
      <c r="W4157" s="23"/>
      <c r="X4157" s="23"/>
      <c r="Y4157" s="23"/>
      <c r="Z4157" s="43"/>
      <c r="AA4157" s="23"/>
      <c r="AB4157" s="23"/>
      <c r="AC4157" s="23"/>
      <c r="AD4157" s="23"/>
      <c r="AE4157" s="23"/>
      <c r="AF4157" s="23"/>
      <c r="AG4157" s="23"/>
      <c r="AH4157" s="23"/>
      <c r="AI4157" s="49"/>
    </row>
    <row r="4158" spans="1:35">
      <c r="A4158" s="23"/>
      <c r="B4158" s="42"/>
      <c r="C4158" s="49"/>
      <c r="E4158" s="49"/>
      <c r="G4158" s="43"/>
      <c r="H4158" s="44"/>
      <c r="L4158" s="42"/>
      <c r="M4158" s="42"/>
      <c r="N4158" s="25"/>
      <c r="O4158" s="54"/>
      <c r="P4158"/>
      <c r="Q4158" s="25"/>
      <c r="R4158" s="54"/>
      <c r="W4158" s="23"/>
      <c r="X4158" s="23"/>
      <c r="Y4158" s="23"/>
      <c r="Z4158" s="43"/>
      <c r="AA4158" s="23"/>
      <c r="AB4158" s="23"/>
      <c r="AC4158" s="23"/>
      <c r="AD4158" s="23"/>
      <c r="AE4158" s="23"/>
      <c r="AF4158" s="23"/>
      <c r="AG4158" s="23"/>
      <c r="AH4158" s="23"/>
      <c r="AI4158" s="49"/>
    </row>
    <row r="4159" spans="1:35">
      <c r="A4159" s="23"/>
      <c r="B4159" s="42"/>
      <c r="C4159" s="49"/>
      <c r="E4159" s="49"/>
      <c r="G4159" s="43"/>
      <c r="H4159" s="44"/>
      <c r="L4159" s="42"/>
      <c r="M4159" s="42"/>
      <c r="N4159" s="25"/>
      <c r="O4159" s="54"/>
      <c r="P4159"/>
      <c r="Q4159" s="25"/>
      <c r="R4159" s="54"/>
      <c r="W4159" s="23"/>
      <c r="X4159" s="23"/>
      <c r="Y4159" s="23"/>
      <c r="Z4159" s="43"/>
      <c r="AA4159" s="23"/>
      <c r="AB4159" s="23"/>
      <c r="AC4159" s="23"/>
      <c r="AD4159" s="23"/>
      <c r="AE4159" s="23"/>
      <c r="AF4159" s="23"/>
      <c r="AG4159" s="23"/>
      <c r="AH4159" s="23"/>
      <c r="AI4159" s="49"/>
    </row>
    <row r="4160" spans="1:35">
      <c r="A4160" s="23"/>
      <c r="B4160" s="42"/>
      <c r="C4160" s="49"/>
      <c r="E4160" s="49"/>
      <c r="G4160" s="43"/>
      <c r="H4160" s="44"/>
      <c r="L4160" s="42"/>
      <c r="M4160" s="42"/>
      <c r="N4160" s="25"/>
      <c r="O4160" s="54"/>
      <c r="P4160"/>
      <c r="Q4160" s="25"/>
      <c r="R4160" s="54"/>
      <c r="W4160" s="23"/>
      <c r="X4160" s="23"/>
      <c r="Y4160" s="23"/>
      <c r="Z4160" s="43"/>
      <c r="AA4160" s="23"/>
      <c r="AB4160" s="23"/>
      <c r="AC4160" s="23"/>
      <c r="AD4160" s="23"/>
      <c r="AE4160" s="23"/>
      <c r="AF4160" s="23"/>
      <c r="AG4160" s="23"/>
      <c r="AH4160" s="23"/>
      <c r="AI4160" s="49"/>
    </row>
    <row r="4161" spans="1:35">
      <c r="A4161" s="23"/>
      <c r="B4161" s="42"/>
      <c r="C4161" s="49"/>
      <c r="E4161" s="49"/>
      <c r="G4161" s="43"/>
      <c r="H4161" s="44"/>
      <c r="L4161" s="42"/>
      <c r="M4161" s="42"/>
      <c r="N4161" s="25"/>
      <c r="O4161" s="54"/>
      <c r="P4161"/>
      <c r="Q4161" s="25"/>
      <c r="R4161" s="54"/>
      <c r="W4161" s="23"/>
      <c r="X4161" s="23"/>
      <c r="Y4161" s="23"/>
      <c r="Z4161" s="43"/>
      <c r="AA4161" s="23"/>
      <c r="AB4161" s="23"/>
      <c r="AC4161" s="23"/>
      <c r="AD4161" s="23"/>
      <c r="AE4161" s="23"/>
      <c r="AF4161" s="23"/>
      <c r="AG4161" s="23"/>
      <c r="AH4161" s="23"/>
      <c r="AI4161" s="49"/>
    </row>
    <row r="4162" spans="1:35">
      <c r="A4162" s="23"/>
      <c r="B4162" s="42"/>
      <c r="C4162" s="49"/>
      <c r="E4162" s="49"/>
      <c r="G4162" s="43"/>
      <c r="H4162" s="44"/>
      <c r="L4162" s="42"/>
      <c r="M4162" s="42"/>
      <c r="N4162" s="25"/>
      <c r="O4162" s="54"/>
      <c r="P4162"/>
      <c r="Q4162" s="25"/>
      <c r="R4162" s="54"/>
      <c r="W4162" s="23"/>
      <c r="X4162" s="23"/>
      <c r="Y4162" s="23"/>
      <c r="Z4162" s="43"/>
      <c r="AA4162" s="23"/>
      <c r="AB4162" s="23"/>
      <c r="AC4162" s="23"/>
      <c r="AD4162" s="23"/>
      <c r="AE4162" s="23"/>
      <c r="AF4162" s="23"/>
      <c r="AG4162" s="23"/>
      <c r="AH4162" s="23"/>
      <c r="AI4162" s="49"/>
    </row>
    <row r="4163" spans="1:35">
      <c r="A4163" s="23"/>
      <c r="B4163" s="42"/>
      <c r="C4163" s="49"/>
      <c r="E4163" s="49"/>
      <c r="G4163" s="43"/>
      <c r="H4163" s="44"/>
      <c r="L4163" s="42"/>
      <c r="M4163" s="42"/>
      <c r="N4163" s="25"/>
      <c r="O4163" s="54"/>
      <c r="P4163"/>
      <c r="Q4163" s="25"/>
      <c r="R4163" s="54"/>
      <c r="W4163" s="23"/>
      <c r="X4163" s="23"/>
      <c r="Y4163" s="23"/>
      <c r="Z4163" s="43"/>
      <c r="AA4163" s="23"/>
      <c r="AB4163" s="23"/>
      <c r="AC4163" s="23"/>
      <c r="AD4163" s="23"/>
      <c r="AE4163" s="23"/>
      <c r="AF4163" s="23"/>
      <c r="AG4163" s="23"/>
      <c r="AH4163" s="23"/>
      <c r="AI4163" s="49"/>
    </row>
    <row r="4164" spans="1:35">
      <c r="A4164" s="23"/>
      <c r="B4164" s="42"/>
      <c r="C4164" s="49"/>
      <c r="E4164" s="49"/>
      <c r="G4164" s="43"/>
      <c r="H4164" s="44"/>
      <c r="L4164" s="42"/>
      <c r="M4164" s="42"/>
      <c r="N4164" s="25"/>
      <c r="O4164" s="54"/>
      <c r="P4164"/>
      <c r="Q4164" s="25"/>
      <c r="R4164" s="54"/>
      <c r="W4164" s="23"/>
      <c r="X4164" s="23"/>
      <c r="Y4164" s="23"/>
      <c r="Z4164" s="43"/>
      <c r="AA4164" s="23"/>
      <c r="AB4164" s="23"/>
      <c r="AC4164" s="23"/>
      <c r="AD4164" s="23"/>
      <c r="AE4164" s="23"/>
      <c r="AF4164" s="23"/>
      <c r="AG4164" s="23"/>
      <c r="AH4164" s="23"/>
      <c r="AI4164" s="49"/>
    </row>
    <row r="4165" spans="1:35">
      <c r="A4165" s="23"/>
      <c r="B4165" s="42"/>
      <c r="C4165" s="49"/>
      <c r="E4165" s="49"/>
      <c r="G4165" s="43"/>
      <c r="H4165" s="44"/>
      <c r="L4165" s="42"/>
      <c r="M4165" s="42"/>
      <c r="N4165" s="25"/>
      <c r="O4165" s="54"/>
      <c r="P4165"/>
      <c r="Q4165" s="25"/>
      <c r="R4165" s="54"/>
      <c r="W4165" s="23"/>
      <c r="X4165" s="23"/>
      <c r="Y4165" s="23"/>
      <c r="Z4165" s="43"/>
      <c r="AA4165" s="23"/>
      <c r="AB4165" s="23"/>
      <c r="AC4165" s="23"/>
      <c r="AD4165" s="23"/>
      <c r="AE4165" s="23"/>
      <c r="AF4165" s="23"/>
      <c r="AG4165" s="23"/>
      <c r="AH4165" s="23"/>
      <c r="AI4165" s="49"/>
    </row>
    <row r="4166" spans="1:35">
      <c r="A4166" s="23"/>
      <c r="B4166" s="42"/>
      <c r="C4166" s="49"/>
      <c r="E4166" s="49"/>
      <c r="G4166" s="43"/>
      <c r="H4166" s="44"/>
      <c r="L4166" s="42"/>
      <c r="M4166" s="42"/>
      <c r="N4166" s="25"/>
      <c r="O4166" s="54"/>
      <c r="P4166"/>
      <c r="Q4166" s="25"/>
      <c r="R4166" s="54"/>
      <c r="W4166" s="23"/>
      <c r="X4166" s="23"/>
      <c r="Y4166" s="23"/>
      <c r="Z4166" s="43"/>
      <c r="AA4166" s="23"/>
      <c r="AB4166" s="23"/>
      <c r="AC4166" s="23"/>
      <c r="AD4166" s="23"/>
      <c r="AE4166" s="23"/>
      <c r="AF4166" s="23"/>
      <c r="AG4166" s="23"/>
      <c r="AH4166" s="23"/>
      <c r="AI4166" s="49"/>
    </row>
    <row r="4167" spans="1:35">
      <c r="A4167" s="23"/>
      <c r="B4167" s="42"/>
      <c r="C4167" s="49"/>
      <c r="E4167" s="49"/>
      <c r="G4167" s="43"/>
      <c r="H4167" s="44"/>
      <c r="L4167" s="42"/>
      <c r="M4167" s="42"/>
      <c r="N4167" s="25"/>
      <c r="O4167" s="54"/>
      <c r="P4167"/>
      <c r="Q4167" s="25"/>
      <c r="R4167" s="54"/>
      <c r="W4167" s="23"/>
      <c r="X4167" s="23"/>
      <c r="Y4167" s="23"/>
      <c r="Z4167" s="43"/>
      <c r="AA4167" s="23"/>
      <c r="AB4167" s="23"/>
      <c r="AC4167" s="23"/>
      <c r="AD4167" s="23"/>
      <c r="AE4167" s="23"/>
      <c r="AF4167" s="23"/>
      <c r="AG4167" s="23"/>
      <c r="AH4167" s="23"/>
      <c r="AI4167" s="49"/>
    </row>
    <row r="4168" spans="1:35">
      <c r="A4168" s="23"/>
      <c r="B4168" s="42"/>
      <c r="C4168" s="49"/>
      <c r="E4168" s="49"/>
      <c r="G4168" s="43"/>
      <c r="H4168" s="44"/>
      <c r="L4168" s="42"/>
      <c r="M4168" s="42"/>
      <c r="N4168" s="25"/>
      <c r="O4168" s="54"/>
      <c r="P4168"/>
      <c r="Q4168" s="25"/>
      <c r="R4168" s="54"/>
      <c r="W4168" s="23"/>
      <c r="X4168" s="23"/>
      <c r="Y4168" s="23"/>
      <c r="Z4168" s="43"/>
      <c r="AA4168" s="23"/>
      <c r="AB4168" s="23"/>
      <c r="AC4168" s="23"/>
      <c r="AD4168" s="23"/>
      <c r="AE4168" s="23"/>
      <c r="AF4168" s="23"/>
      <c r="AG4168" s="23"/>
      <c r="AH4168" s="23"/>
      <c r="AI4168" s="49"/>
    </row>
    <row r="4169" spans="1:35">
      <c r="A4169" s="23"/>
      <c r="B4169" s="42"/>
      <c r="C4169" s="49"/>
      <c r="E4169" s="49"/>
      <c r="G4169" s="43"/>
      <c r="H4169" s="44"/>
      <c r="L4169" s="42"/>
      <c r="M4169" s="42"/>
      <c r="N4169" s="25"/>
      <c r="O4169" s="54"/>
      <c r="P4169"/>
      <c r="Q4169" s="25"/>
      <c r="R4169" s="54"/>
      <c r="W4169" s="23"/>
      <c r="X4169" s="23"/>
      <c r="Y4169" s="23"/>
      <c r="Z4169" s="43"/>
      <c r="AA4169" s="23"/>
      <c r="AB4169" s="23"/>
      <c r="AC4169" s="23"/>
      <c r="AD4169" s="23"/>
      <c r="AE4169" s="23"/>
      <c r="AF4169" s="23"/>
      <c r="AG4169" s="23"/>
      <c r="AH4169" s="23"/>
      <c r="AI4169" s="49"/>
    </row>
    <row r="4170" spans="1:35">
      <c r="A4170" s="23"/>
      <c r="B4170" s="42"/>
      <c r="C4170" s="49"/>
      <c r="E4170" s="49"/>
      <c r="G4170" s="43"/>
      <c r="H4170" s="44"/>
      <c r="L4170" s="42"/>
      <c r="M4170" s="42"/>
      <c r="N4170" s="25"/>
      <c r="O4170" s="54"/>
      <c r="P4170"/>
      <c r="Q4170" s="25"/>
      <c r="R4170" s="54"/>
      <c r="W4170" s="23"/>
      <c r="X4170" s="23"/>
      <c r="Y4170" s="23"/>
      <c r="Z4170" s="43"/>
      <c r="AA4170" s="23"/>
      <c r="AB4170" s="23"/>
      <c r="AC4170" s="23"/>
      <c r="AD4170" s="23"/>
      <c r="AE4170" s="23"/>
      <c r="AF4170" s="23"/>
      <c r="AG4170" s="23"/>
      <c r="AH4170" s="23"/>
      <c r="AI4170" s="49"/>
    </row>
    <row r="4171" spans="1:35">
      <c r="A4171" s="23"/>
      <c r="B4171" s="42"/>
      <c r="C4171" s="49"/>
      <c r="E4171" s="49"/>
      <c r="G4171" s="43"/>
      <c r="H4171" s="44"/>
      <c r="L4171" s="42"/>
      <c r="M4171" s="42"/>
      <c r="N4171" s="25"/>
      <c r="O4171" s="54"/>
      <c r="P4171"/>
      <c r="Q4171" s="25"/>
      <c r="R4171" s="54"/>
      <c r="W4171" s="23"/>
      <c r="X4171" s="23"/>
      <c r="Y4171" s="23"/>
      <c r="Z4171" s="43"/>
      <c r="AA4171" s="23"/>
      <c r="AB4171" s="23"/>
      <c r="AC4171" s="23"/>
      <c r="AD4171" s="23"/>
      <c r="AE4171" s="23"/>
      <c r="AF4171" s="23"/>
      <c r="AG4171" s="23"/>
      <c r="AH4171" s="23"/>
      <c r="AI4171" s="49"/>
    </row>
    <row r="4172" spans="1:35">
      <c r="A4172" s="23"/>
      <c r="B4172" s="42"/>
      <c r="C4172" s="49"/>
      <c r="E4172" s="49"/>
      <c r="G4172" s="43"/>
      <c r="H4172" s="44"/>
      <c r="L4172" s="42"/>
      <c r="M4172" s="42"/>
      <c r="N4172" s="25"/>
      <c r="O4172" s="54"/>
      <c r="P4172"/>
      <c r="Q4172" s="25"/>
      <c r="R4172" s="54"/>
      <c r="W4172" s="23"/>
      <c r="X4172" s="23"/>
      <c r="Y4172" s="23"/>
      <c r="Z4172" s="43"/>
      <c r="AA4172" s="23"/>
      <c r="AB4172" s="23"/>
      <c r="AC4172" s="23"/>
      <c r="AD4172" s="23"/>
      <c r="AE4172" s="23"/>
      <c r="AF4172" s="23"/>
      <c r="AG4172" s="23"/>
      <c r="AH4172" s="23"/>
      <c r="AI4172" s="49"/>
    </row>
    <row r="4173" spans="1:35">
      <c r="A4173" s="23"/>
      <c r="B4173" s="42"/>
      <c r="C4173" s="49"/>
      <c r="E4173" s="49"/>
      <c r="G4173" s="43"/>
      <c r="H4173" s="44"/>
      <c r="L4173" s="42"/>
      <c r="M4173" s="42"/>
      <c r="N4173" s="25"/>
      <c r="O4173" s="54"/>
      <c r="P4173"/>
      <c r="Q4173" s="25"/>
      <c r="R4173" s="54"/>
      <c r="W4173" s="23"/>
      <c r="X4173" s="23"/>
      <c r="Y4173" s="23"/>
      <c r="Z4173" s="43"/>
      <c r="AA4173" s="23"/>
      <c r="AB4173" s="23"/>
      <c r="AC4173" s="23"/>
      <c r="AD4173" s="23"/>
      <c r="AE4173" s="23"/>
      <c r="AF4173" s="23"/>
      <c r="AG4173" s="23"/>
      <c r="AH4173" s="23"/>
      <c r="AI4173" s="49"/>
    </row>
    <row r="4174" spans="1:35">
      <c r="A4174" s="23"/>
      <c r="B4174" s="42"/>
      <c r="C4174" s="49"/>
      <c r="E4174" s="49"/>
      <c r="G4174" s="43"/>
      <c r="H4174" s="44"/>
      <c r="L4174" s="42"/>
      <c r="M4174" s="42"/>
      <c r="N4174" s="25"/>
      <c r="O4174" s="54"/>
      <c r="P4174"/>
      <c r="Q4174" s="25"/>
      <c r="R4174" s="54"/>
      <c r="W4174" s="23"/>
      <c r="X4174" s="23"/>
      <c r="Y4174" s="23"/>
      <c r="Z4174" s="43"/>
      <c r="AA4174" s="23"/>
      <c r="AB4174" s="23"/>
      <c r="AC4174" s="23"/>
      <c r="AD4174" s="23"/>
      <c r="AE4174" s="23"/>
      <c r="AF4174" s="23"/>
      <c r="AG4174" s="23"/>
      <c r="AH4174" s="23"/>
      <c r="AI4174" s="49"/>
    </row>
    <row r="4175" spans="1:35">
      <c r="A4175" s="23"/>
      <c r="B4175" s="42"/>
      <c r="C4175" s="49"/>
      <c r="E4175" s="49"/>
      <c r="G4175" s="43"/>
      <c r="H4175" s="44"/>
      <c r="L4175" s="42"/>
      <c r="M4175" s="42"/>
      <c r="N4175" s="25"/>
      <c r="O4175" s="54"/>
      <c r="P4175"/>
      <c r="Q4175" s="25"/>
      <c r="R4175" s="54"/>
      <c r="W4175" s="23"/>
      <c r="X4175" s="23"/>
      <c r="Y4175" s="23"/>
      <c r="Z4175" s="43"/>
      <c r="AA4175" s="23"/>
      <c r="AB4175" s="23"/>
      <c r="AC4175" s="23"/>
      <c r="AD4175" s="23"/>
      <c r="AE4175" s="23"/>
      <c r="AF4175" s="23"/>
      <c r="AG4175" s="23"/>
      <c r="AH4175" s="23"/>
      <c r="AI4175" s="49"/>
    </row>
    <row r="4176" spans="1:35">
      <c r="A4176" s="23"/>
      <c r="B4176" s="42"/>
      <c r="C4176" s="49"/>
      <c r="E4176" s="49"/>
      <c r="G4176" s="43"/>
      <c r="H4176" s="44"/>
      <c r="L4176" s="42"/>
      <c r="M4176" s="42"/>
      <c r="N4176" s="25"/>
      <c r="O4176" s="54"/>
      <c r="P4176"/>
      <c r="Q4176" s="25"/>
      <c r="R4176" s="54"/>
      <c r="W4176" s="23"/>
      <c r="X4176" s="23"/>
      <c r="Y4176" s="23"/>
      <c r="Z4176" s="43"/>
      <c r="AA4176" s="23"/>
      <c r="AB4176" s="23"/>
      <c r="AC4176" s="23"/>
      <c r="AD4176" s="23"/>
      <c r="AE4176" s="23"/>
      <c r="AF4176" s="23"/>
      <c r="AG4176" s="23"/>
      <c r="AH4176" s="23"/>
      <c r="AI4176" s="49"/>
    </row>
    <row r="4177" spans="1:35">
      <c r="A4177" s="23"/>
      <c r="B4177" s="42"/>
      <c r="C4177" s="49"/>
      <c r="E4177" s="49"/>
      <c r="G4177" s="43"/>
      <c r="H4177" s="44"/>
      <c r="L4177" s="42"/>
      <c r="M4177" s="42"/>
      <c r="N4177" s="25"/>
      <c r="O4177" s="54"/>
      <c r="P4177"/>
      <c r="Q4177" s="25"/>
      <c r="R4177" s="54"/>
      <c r="W4177" s="23"/>
      <c r="X4177" s="23"/>
      <c r="Y4177" s="23"/>
      <c r="Z4177" s="43"/>
      <c r="AA4177" s="23"/>
      <c r="AB4177" s="23"/>
      <c r="AC4177" s="23"/>
      <c r="AD4177" s="23"/>
      <c r="AE4177" s="23"/>
      <c r="AF4177" s="23"/>
      <c r="AG4177" s="23"/>
      <c r="AH4177" s="23"/>
      <c r="AI4177" s="49"/>
    </row>
    <row r="4178" spans="1:35">
      <c r="A4178" s="23"/>
      <c r="B4178" s="42"/>
      <c r="C4178" s="49"/>
      <c r="E4178" s="49"/>
      <c r="G4178" s="43"/>
      <c r="H4178" s="44"/>
      <c r="L4178" s="42"/>
      <c r="M4178" s="42"/>
      <c r="N4178" s="25"/>
      <c r="O4178" s="54"/>
      <c r="P4178"/>
      <c r="Q4178" s="25"/>
      <c r="R4178" s="54"/>
      <c r="W4178" s="23"/>
      <c r="X4178" s="23"/>
      <c r="Y4178" s="23"/>
      <c r="Z4178" s="43"/>
      <c r="AA4178" s="23"/>
      <c r="AB4178" s="23"/>
      <c r="AC4178" s="23"/>
      <c r="AD4178" s="23"/>
      <c r="AE4178" s="23"/>
      <c r="AF4178" s="23"/>
      <c r="AG4178" s="23"/>
      <c r="AH4178" s="23"/>
      <c r="AI4178" s="49"/>
    </row>
    <row r="4179" spans="1:35">
      <c r="A4179" s="23"/>
      <c r="B4179" s="42"/>
      <c r="C4179" s="49"/>
      <c r="E4179" s="49"/>
      <c r="G4179" s="43"/>
      <c r="H4179" s="44"/>
      <c r="L4179" s="42"/>
      <c r="M4179" s="42"/>
      <c r="N4179" s="25"/>
      <c r="O4179" s="54"/>
      <c r="P4179"/>
      <c r="Q4179" s="25"/>
      <c r="R4179" s="54"/>
      <c r="W4179" s="23"/>
      <c r="X4179" s="23"/>
      <c r="Y4179" s="23"/>
      <c r="Z4179" s="43"/>
      <c r="AA4179" s="23"/>
      <c r="AB4179" s="23"/>
      <c r="AC4179" s="23"/>
      <c r="AD4179" s="23"/>
      <c r="AE4179" s="23"/>
      <c r="AF4179" s="23"/>
      <c r="AG4179" s="23"/>
      <c r="AH4179" s="23"/>
      <c r="AI4179" s="49"/>
    </row>
    <row r="4180" spans="1:35">
      <c r="A4180" s="23"/>
      <c r="B4180" s="42"/>
      <c r="C4180" s="49"/>
      <c r="E4180" s="49"/>
      <c r="G4180" s="43"/>
      <c r="H4180" s="44"/>
      <c r="L4180" s="42"/>
      <c r="M4180" s="42"/>
      <c r="N4180" s="25"/>
      <c r="O4180" s="54"/>
      <c r="P4180"/>
      <c r="Q4180" s="25"/>
      <c r="R4180" s="54"/>
      <c r="W4180" s="23"/>
      <c r="X4180" s="23"/>
      <c r="Y4180" s="23"/>
      <c r="Z4180" s="43"/>
      <c r="AA4180" s="23"/>
      <c r="AB4180" s="23"/>
      <c r="AC4180" s="23"/>
      <c r="AD4180" s="23"/>
      <c r="AE4180" s="23"/>
      <c r="AF4180" s="23"/>
      <c r="AG4180" s="23"/>
      <c r="AH4180" s="23"/>
      <c r="AI4180" s="49"/>
    </row>
    <row r="4181" spans="1:35">
      <c r="A4181" s="23"/>
      <c r="B4181" s="42"/>
      <c r="C4181" s="49"/>
      <c r="E4181" s="49"/>
      <c r="G4181" s="43"/>
      <c r="H4181" s="44"/>
      <c r="L4181" s="42"/>
      <c r="M4181" s="42"/>
      <c r="N4181" s="25"/>
      <c r="O4181" s="54"/>
      <c r="P4181"/>
      <c r="Q4181" s="25"/>
      <c r="R4181" s="54"/>
      <c r="W4181" s="23"/>
      <c r="X4181" s="23"/>
      <c r="Y4181" s="23"/>
      <c r="Z4181" s="43"/>
      <c r="AA4181" s="23"/>
      <c r="AB4181" s="23"/>
      <c r="AC4181" s="23"/>
      <c r="AD4181" s="23"/>
      <c r="AE4181" s="23"/>
      <c r="AF4181" s="23"/>
      <c r="AG4181" s="23"/>
      <c r="AH4181" s="23"/>
      <c r="AI4181" s="49"/>
    </row>
    <row r="4182" spans="1:35">
      <c r="A4182" s="23"/>
      <c r="B4182" s="42"/>
      <c r="C4182" s="49"/>
      <c r="E4182" s="49"/>
      <c r="G4182" s="43"/>
      <c r="H4182" s="44"/>
      <c r="L4182" s="42"/>
      <c r="M4182" s="42"/>
      <c r="N4182" s="25"/>
      <c r="O4182" s="54"/>
      <c r="P4182"/>
      <c r="Q4182" s="25"/>
      <c r="R4182" s="54"/>
      <c r="W4182" s="23"/>
      <c r="X4182" s="23"/>
      <c r="Y4182" s="23"/>
      <c r="Z4182" s="43"/>
      <c r="AA4182" s="23"/>
      <c r="AB4182" s="23"/>
      <c r="AC4182" s="23"/>
      <c r="AD4182" s="23"/>
      <c r="AE4182" s="23"/>
      <c r="AF4182" s="23"/>
      <c r="AG4182" s="23"/>
      <c r="AH4182" s="23"/>
      <c r="AI4182" s="49"/>
    </row>
    <row r="4183" spans="1:35">
      <c r="A4183" s="23"/>
      <c r="B4183" s="42"/>
      <c r="C4183" s="49"/>
      <c r="E4183" s="49"/>
      <c r="G4183" s="43"/>
      <c r="H4183" s="44"/>
      <c r="L4183" s="42"/>
      <c r="M4183" s="42"/>
      <c r="N4183" s="25"/>
      <c r="O4183" s="54"/>
      <c r="P4183"/>
      <c r="Q4183" s="25"/>
      <c r="R4183" s="54"/>
      <c r="W4183" s="23"/>
      <c r="X4183" s="23"/>
      <c r="Y4183" s="23"/>
      <c r="Z4183" s="43"/>
      <c r="AA4183" s="23"/>
      <c r="AB4183" s="23"/>
      <c r="AC4183" s="23"/>
      <c r="AD4183" s="23"/>
      <c r="AE4183" s="23"/>
      <c r="AF4183" s="23"/>
      <c r="AG4183" s="23"/>
      <c r="AH4183" s="23"/>
      <c r="AI4183" s="49"/>
    </row>
    <row r="4184" spans="1:35">
      <c r="A4184" s="23"/>
      <c r="B4184" s="42"/>
      <c r="C4184" s="49"/>
      <c r="E4184" s="49"/>
      <c r="G4184" s="43"/>
      <c r="H4184" s="44"/>
      <c r="L4184" s="42"/>
      <c r="M4184" s="42"/>
      <c r="N4184" s="25"/>
      <c r="O4184" s="54"/>
      <c r="P4184"/>
      <c r="Q4184" s="25"/>
      <c r="R4184" s="54"/>
      <c r="W4184" s="23"/>
      <c r="X4184" s="23"/>
      <c r="Y4184" s="23"/>
      <c r="Z4184" s="43"/>
      <c r="AA4184" s="23"/>
      <c r="AB4184" s="23"/>
      <c r="AC4184" s="23"/>
      <c r="AD4184" s="23"/>
      <c r="AE4184" s="23"/>
      <c r="AF4184" s="23"/>
      <c r="AG4184" s="23"/>
      <c r="AH4184" s="23"/>
      <c r="AI4184" s="49"/>
    </row>
    <row r="4185" spans="1:35">
      <c r="A4185" s="23"/>
      <c r="B4185" s="42"/>
      <c r="C4185" s="49"/>
      <c r="E4185" s="49"/>
      <c r="G4185" s="43"/>
      <c r="H4185" s="44"/>
      <c r="L4185" s="42"/>
      <c r="M4185" s="42"/>
      <c r="N4185" s="25"/>
      <c r="O4185" s="54"/>
      <c r="P4185"/>
      <c r="Q4185" s="25"/>
      <c r="R4185" s="54"/>
      <c r="W4185" s="23"/>
      <c r="X4185" s="23"/>
      <c r="Y4185" s="23"/>
      <c r="Z4185" s="43"/>
      <c r="AA4185" s="23"/>
      <c r="AB4185" s="23"/>
      <c r="AC4185" s="23"/>
      <c r="AD4185" s="23"/>
      <c r="AE4185" s="23"/>
      <c r="AF4185" s="23"/>
      <c r="AG4185" s="23"/>
      <c r="AH4185" s="23"/>
      <c r="AI4185" s="49"/>
    </row>
    <row r="4186" spans="1:35">
      <c r="A4186" s="23"/>
      <c r="B4186" s="42"/>
      <c r="C4186" s="49"/>
      <c r="E4186" s="49"/>
      <c r="G4186" s="43"/>
      <c r="H4186" s="44"/>
      <c r="L4186" s="42"/>
      <c r="M4186" s="42"/>
      <c r="N4186" s="25"/>
      <c r="O4186" s="54"/>
      <c r="P4186"/>
      <c r="Q4186" s="25"/>
      <c r="R4186" s="54"/>
      <c r="W4186" s="23"/>
      <c r="X4186" s="23"/>
      <c r="Y4186" s="23"/>
      <c r="Z4186" s="43"/>
      <c r="AA4186" s="23"/>
      <c r="AB4186" s="23"/>
      <c r="AC4186" s="23"/>
      <c r="AD4186" s="23"/>
      <c r="AE4186" s="23"/>
      <c r="AF4186" s="23"/>
      <c r="AG4186" s="23"/>
      <c r="AH4186" s="23"/>
      <c r="AI4186" s="49"/>
    </row>
    <row r="4187" spans="1:35">
      <c r="A4187" s="23"/>
      <c r="B4187" s="42"/>
      <c r="C4187" s="49"/>
      <c r="E4187" s="49"/>
      <c r="G4187" s="43"/>
      <c r="H4187" s="44"/>
      <c r="L4187" s="42"/>
      <c r="M4187" s="42"/>
      <c r="N4187" s="25"/>
      <c r="O4187" s="54"/>
      <c r="P4187"/>
      <c r="Q4187" s="25"/>
      <c r="R4187" s="54"/>
      <c r="W4187" s="23"/>
      <c r="X4187" s="23"/>
      <c r="Y4187" s="23"/>
      <c r="Z4187" s="43"/>
      <c r="AA4187" s="23"/>
      <c r="AB4187" s="23"/>
      <c r="AC4187" s="23"/>
      <c r="AD4187" s="23"/>
      <c r="AE4187" s="23"/>
      <c r="AF4187" s="23"/>
      <c r="AG4187" s="23"/>
      <c r="AH4187" s="23"/>
      <c r="AI4187" s="49"/>
    </row>
    <row r="4188" spans="1:35">
      <c r="A4188" s="23"/>
      <c r="B4188" s="42"/>
      <c r="C4188" s="49"/>
      <c r="E4188" s="49"/>
      <c r="G4188" s="43"/>
      <c r="H4188" s="44"/>
      <c r="L4188" s="42"/>
      <c r="M4188" s="42"/>
      <c r="N4188" s="25"/>
      <c r="O4188" s="54"/>
      <c r="P4188"/>
      <c r="Q4188" s="25"/>
      <c r="R4188" s="54"/>
      <c r="W4188" s="23"/>
      <c r="X4188" s="23"/>
      <c r="Y4188" s="23"/>
      <c r="Z4188" s="43"/>
      <c r="AA4188" s="23"/>
      <c r="AB4188" s="23"/>
      <c r="AC4188" s="23"/>
      <c r="AD4188" s="23"/>
      <c r="AE4188" s="23"/>
      <c r="AF4188" s="23"/>
      <c r="AG4188" s="23"/>
      <c r="AH4188" s="23"/>
      <c r="AI4188" s="49"/>
    </row>
    <row r="4189" spans="1:35">
      <c r="A4189" s="23"/>
      <c r="B4189" s="42"/>
      <c r="C4189" s="49"/>
      <c r="E4189" s="49"/>
      <c r="G4189" s="43"/>
      <c r="H4189" s="44"/>
      <c r="L4189" s="42"/>
      <c r="M4189" s="42"/>
      <c r="N4189" s="25"/>
      <c r="O4189" s="54"/>
      <c r="P4189"/>
      <c r="Q4189" s="25"/>
      <c r="R4189" s="54"/>
      <c r="W4189" s="23"/>
      <c r="X4189" s="23"/>
      <c r="Y4189" s="23"/>
      <c r="Z4189" s="43"/>
      <c r="AA4189" s="23"/>
      <c r="AB4189" s="23"/>
      <c r="AC4189" s="23"/>
      <c r="AD4189" s="23"/>
      <c r="AE4189" s="23"/>
      <c r="AF4189" s="23"/>
      <c r="AG4189" s="23"/>
      <c r="AH4189" s="23"/>
      <c r="AI4189" s="49"/>
    </row>
    <row r="4190" spans="1:35">
      <c r="A4190" s="23"/>
      <c r="B4190" s="42"/>
      <c r="C4190" s="49"/>
      <c r="E4190" s="49"/>
      <c r="G4190" s="43"/>
      <c r="H4190" s="44"/>
      <c r="L4190" s="42"/>
      <c r="M4190" s="42"/>
      <c r="N4190" s="25"/>
      <c r="O4190" s="54"/>
      <c r="P4190"/>
      <c r="Q4190" s="25"/>
      <c r="R4190" s="54"/>
      <c r="W4190" s="23"/>
      <c r="X4190" s="23"/>
      <c r="Y4190" s="23"/>
      <c r="Z4190" s="43"/>
      <c r="AA4190" s="23"/>
      <c r="AB4190" s="23"/>
      <c r="AC4190" s="23"/>
      <c r="AD4190" s="23"/>
      <c r="AE4190" s="23"/>
      <c r="AF4190" s="23"/>
      <c r="AG4190" s="23"/>
      <c r="AH4190" s="23"/>
      <c r="AI4190" s="49"/>
    </row>
    <row r="4191" spans="1:35">
      <c r="A4191" s="23"/>
      <c r="B4191" s="42"/>
      <c r="C4191" s="49"/>
      <c r="E4191" s="49"/>
      <c r="G4191" s="43"/>
      <c r="H4191" s="44"/>
      <c r="L4191" s="42"/>
      <c r="M4191" s="42"/>
      <c r="N4191" s="25"/>
      <c r="O4191" s="54"/>
      <c r="P4191"/>
      <c r="Q4191" s="25"/>
      <c r="R4191" s="54"/>
      <c r="W4191" s="23"/>
      <c r="X4191" s="23"/>
      <c r="Y4191" s="23"/>
      <c r="Z4191" s="43"/>
      <c r="AA4191" s="23"/>
      <c r="AB4191" s="23"/>
      <c r="AC4191" s="23"/>
      <c r="AD4191" s="23"/>
      <c r="AE4191" s="23"/>
      <c r="AF4191" s="23"/>
      <c r="AG4191" s="23"/>
      <c r="AH4191" s="23"/>
      <c r="AI4191" s="49"/>
    </row>
    <row r="4192" spans="1:35">
      <c r="A4192" s="23"/>
      <c r="B4192" s="42"/>
      <c r="C4192" s="49"/>
      <c r="E4192" s="49"/>
      <c r="G4192" s="43"/>
      <c r="H4192" s="44"/>
      <c r="L4192" s="42"/>
      <c r="M4192" s="42"/>
      <c r="N4192" s="25"/>
      <c r="O4192" s="54"/>
      <c r="P4192"/>
      <c r="Q4192" s="25"/>
      <c r="R4192" s="54"/>
      <c r="W4192" s="23"/>
      <c r="X4192" s="23"/>
      <c r="Y4192" s="23"/>
      <c r="Z4192" s="43"/>
      <c r="AA4192" s="23"/>
      <c r="AB4192" s="23"/>
      <c r="AC4192" s="23"/>
      <c r="AD4192" s="23"/>
      <c r="AE4192" s="23"/>
      <c r="AF4192" s="23"/>
      <c r="AG4192" s="23"/>
      <c r="AH4192" s="23"/>
      <c r="AI4192" s="49"/>
    </row>
    <row r="4193" spans="1:35">
      <c r="A4193" s="23"/>
      <c r="B4193" s="42"/>
      <c r="C4193" s="49"/>
      <c r="E4193" s="49"/>
      <c r="G4193" s="43"/>
      <c r="H4193" s="44"/>
      <c r="L4193" s="42"/>
      <c r="M4193" s="42"/>
      <c r="N4193" s="25"/>
      <c r="O4193" s="54"/>
      <c r="P4193"/>
      <c r="Q4193" s="25"/>
      <c r="R4193" s="54"/>
      <c r="W4193" s="23"/>
      <c r="X4193" s="23"/>
      <c r="Y4193" s="23"/>
      <c r="Z4193" s="43"/>
      <c r="AA4193" s="23"/>
      <c r="AB4193" s="23"/>
      <c r="AC4193" s="23"/>
      <c r="AD4193" s="23"/>
      <c r="AE4193" s="23"/>
      <c r="AF4193" s="23"/>
      <c r="AG4193" s="23"/>
      <c r="AH4193" s="23"/>
      <c r="AI4193" s="49"/>
    </row>
    <row r="4194" spans="1:35">
      <c r="A4194" s="23"/>
      <c r="B4194" s="42"/>
      <c r="C4194" s="49"/>
      <c r="E4194" s="49"/>
      <c r="G4194" s="43"/>
      <c r="H4194" s="44"/>
      <c r="L4194" s="42"/>
      <c r="M4194" s="42"/>
      <c r="N4194" s="25"/>
      <c r="O4194" s="54"/>
      <c r="P4194"/>
      <c r="Q4194" s="25"/>
      <c r="R4194" s="54"/>
      <c r="W4194" s="23"/>
      <c r="X4194" s="23"/>
      <c r="Y4194" s="23"/>
      <c r="Z4194" s="43"/>
      <c r="AA4194" s="23"/>
      <c r="AB4194" s="23"/>
      <c r="AC4194" s="23"/>
      <c r="AD4194" s="23"/>
      <c r="AE4194" s="23"/>
      <c r="AF4194" s="23"/>
      <c r="AG4194" s="23"/>
      <c r="AH4194" s="23"/>
      <c r="AI4194" s="49"/>
    </row>
    <row r="4195" spans="1:35">
      <c r="A4195" s="23"/>
      <c r="B4195" s="42"/>
      <c r="C4195" s="49"/>
      <c r="E4195" s="49"/>
      <c r="G4195" s="43"/>
      <c r="H4195" s="44"/>
      <c r="L4195" s="42"/>
      <c r="M4195" s="42"/>
      <c r="N4195" s="25"/>
      <c r="O4195" s="54"/>
      <c r="P4195"/>
      <c r="Q4195" s="25"/>
      <c r="R4195" s="54"/>
      <c r="W4195" s="23"/>
      <c r="X4195" s="23"/>
      <c r="Y4195" s="23"/>
      <c r="Z4195" s="43"/>
      <c r="AA4195" s="23"/>
      <c r="AB4195" s="23"/>
      <c r="AC4195" s="23"/>
      <c r="AD4195" s="23"/>
      <c r="AE4195" s="23"/>
      <c r="AF4195" s="23"/>
      <c r="AG4195" s="23"/>
      <c r="AH4195" s="23"/>
      <c r="AI4195" s="49"/>
    </row>
    <row r="4196" spans="1:35">
      <c r="A4196" s="23"/>
      <c r="B4196" s="42"/>
      <c r="C4196" s="49"/>
      <c r="E4196" s="49"/>
      <c r="G4196" s="43"/>
      <c r="H4196" s="44"/>
      <c r="L4196" s="42"/>
      <c r="M4196" s="42"/>
      <c r="N4196" s="25"/>
      <c r="O4196" s="54"/>
      <c r="P4196"/>
      <c r="Q4196" s="25"/>
      <c r="R4196" s="54"/>
      <c r="W4196" s="23"/>
      <c r="X4196" s="23"/>
      <c r="Y4196" s="23"/>
      <c r="Z4196" s="43"/>
      <c r="AA4196" s="23"/>
      <c r="AB4196" s="23"/>
      <c r="AC4196" s="23"/>
      <c r="AD4196" s="23"/>
      <c r="AE4196" s="23"/>
      <c r="AF4196" s="23"/>
      <c r="AG4196" s="23"/>
      <c r="AH4196" s="23"/>
      <c r="AI4196" s="49"/>
    </row>
    <row r="4197" spans="1:35">
      <c r="A4197" s="23"/>
      <c r="B4197" s="42"/>
      <c r="C4197" s="49"/>
      <c r="E4197" s="49"/>
      <c r="G4197" s="43"/>
      <c r="H4197" s="44"/>
      <c r="L4197" s="42"/>
      <c r="M4197" s="42"/>
      <c r="N4197" s="25"/>
      <c r="O4197" s="54"/>
      <c r="P4197"/>
      <c r="Q4197" s="25"/>
      <c r="R4197" s="54"/>
      <c r="W4197" s="23"/>
      <c r="X4197" s="23"/>
      <c r="Y4197" s="23"/>
      <c r="Z4197" s="43"/>
      <c r="AA4197" s="23"/>
      <c r="AB4197" s="23"/>
      <c r="AC4197" s="23"/>
      <c r="AD4197" s="23"/>
      <c r="AE4197" s="23"/>
      <c r="AF4197" s="23"/>
      <c r="AG4197" s="23"/>
      <c r="AH4197" s="23"/>
      <c r="AI4197" s="49"/>
    </row>
    <row r="4198" spans="1:35">
      <c r="A4198" s="23"/>
      <c r="B4198" s="42"/>
      <c r="C4198" s="49"/>
      <c r="E4198" s="49"/>
      <c r="G4198" s="43"/>
      <c r="H4198" s="44"/>
      <c r="L4198" s="42"/>
      <c r="M4198" s="42"/>
      <c r="N4198" s="25"/>
      <c r="O4198" s="54"/>
      <c r="P4198"/>
      <c r="Q4198" s="25"/>
      <c r="R4198" s="54"/>
      <c r="W4198" s="23"/>
      <c r="X4198" s="23"/>
      <c r="Y4198" s="23"/>
      <c r="Z4198" s="43"/>
      <c r="AA4198" s="23"/>
      <c r="AB4198" s="23"/>
      <c r="AC4198" s="23"/>
      <c r="AD4198" s="23"/>
      <c r="AE4198" s="23"/>
      <c r="AF4198" s="23"/>
      <c r="AG4198" s="23"/>
      <c r="AH4198" s="23"/>
      <c r="AI4198" s="49"/>
    </row>
    <row r="4199" spans="1:35">
      <c r="A4199" s="23"/>
      <c r="B4199" s="42"/>
      <c r="C4199" s="49"/>
      <c r="E4199" s="49"/>
      <c r="G4199" s="43"/>
      <c r="H4199" s="44"/>
      <c r="L4199" s="42"/>
      <c r="M4199" s="42"/>
      <c r="N4199" s="25"/>
      <c r="O4199" s="54"/>
      <c r="P4199"/>
      <c r="Q4199" s="25"/>
      <c r="R4199" s="54"/>
      <c r="W4199" s="23"/>
      <c r="X4199" s="23"/>
      <c r="Y4199" s="23"/>
      <c r="Z4199" s="43"/>
      <c r="AA4199" s="23"/>
      <c r="AB4199" s="23"/>
      <c r="AC4199" s="23"/>
      <c r="AD4199" s="23"/>
      <c r="AE4199" s="23"/>
      <c r="AF4199" s="23"/>
      <c r="AG4199" s="23"/>
      <c r="AH4199" s="23"/>
      <c r="AI4199" s="49"/>
    </row>
    <row r="4200" spans="1:35">
      <c r="A4200" s="23"/>
      <c r="B4200" s="42"/>
      <c r="C4200" s="49"/>
      <c r="E4200" s="49"/>
      <c r="G4200" s="43"/>
      <c r="H4200" s="44"/>
      <c r="L4200" s="42"/>
      <c r="M4200" s="42"/>
      <c r="N4200" s="25"/>
      <c r="O4200" s="54"/>
      <c r="P4200"/>
      <c r="Q4200" s="25"/>
      <c r="R4200" s="54"/>
      <c r="W4200" s="23"/>
      <c r="X4200" s="23"/>
      <c r="Y4200" s="23"/>
      <c r="Z4200" s="43"/>
      <c r="AA4200" s="23"/>
      <c r="AB4200" s="23"/>
      <c r="AC4200" s="23"/>
      <c r="AD4200" s="23"/>
      <c r="AE4200" s="23"/>
      <c r="AF4200" s="23"/>
      <c r="AG4200" s="23"/>
      <c r="AH4200" s="23"/>
      <c r="AI4200" s="49"/>
    </row>
    <row r="4201" spans="1:35">
      <c r="A4201" s="23"/>
      <c r="B4201" s="42"/>
      <c r="C4201" s="49"/>
      <c r="E4201" s="49"/>
      <c r="G4201" s="43"/>
      <c r="H4201" s="44"/>
      <c r="L4201" s="42"/>
      <c r="M4201" s="42"/>
      <c r="N4201" s="25"/>
      <c r="O4201" s="54"/>
      <c r="P4201"/>
      <c r="Q4201" s="25"/>
      <c r="R4201" s="54"/>
      <c r="W4201" s="23"/>
      <c r="X4201" s="23"/>
      <c r="Y4201" s="23"/>
      <c r="Z4201" s="43"/>
      <c r="AA4201" s="23"/>
      <c r="AB4201" s="23"/>
      <c r="AC4201" s="23"/>
      <c r="AD4201" s="23"/>
      <c r="AE4201" s="23"/>
      <c r="AF4201" s="23"/>
      <c r="AG4201" s="23"/>
      <c r="AH4201" s="23"/>
      <c r="AI4201" s="49"/>
    </row>
    <row r="4202" spans="1:35">
      <c r="A4202" s="23"/>
      <c r="B4202" s="42"/>
      <c r="C4202" s="49"/>
      <c r="E4202" s="49"/>
      <c r="G4202" s="43"/>
      <c r="H4202" s="44"/>
      <c r="L4202" s="42"/>
      <c r="M4202" s="42"/>
      <c r="N4202" s="25"/>
      <c r="O4202" s="54"/>
      <c r="P4202"/>
      <c r="Q4202" s="25"/>
      <c r="R4202" s="54"/>
      <c r="W4202" s="23"/>
      <c r="X4202" s="23"/>
      <c r="Y4202" s="23"/>
      <c r="Z4202" s="43"/>
      <c r="AA4202" s="23"/>
      <c r="AB4202" s="23"/>
      <c r="AC4202" s="23"/>
      <c r="AD4202" s="23"/>
      <c r="AE4202" s="23"/>
      <c r="AF4202" s="23"/>
      <c r="AG4202" s="23"/>
      <c r="AH4202" s="23"/>
      <c r="AI4202" s="49"/>
    </row>
    <row r="4203" spans="1:35">
      <c r="A4203" s="23"/>
      <c r="B4203" s="42"/>
      <c r="C4203" s="49"/>
      <c r="E4203" s="49"/>
      <c r="G4203" s="43"/>
      <c r="H4203" s="44"/>
      <c r="L4203" s="42"/>
      <c r="M4203" s="42"/>
      <c r="N4203" s="25"/>
      <c r="O4203" s="54"/>
      <c r="P4203"/>
      <c r="Q4203" s="25"/>
      <c r="R4203" s="54"/>
      <c r="W4203" s="23"/>
      <c r="X4203" s="23"/>
      <c r="Y4203" s="23"/>
      <c r="Z4203" s="43"/>
      <c r="AA4203" s="23"/>
      <c r="AB4203" s="23"/>
      <c r="AC4203" s="23"/>
      <c r="AD4203" s="23"/>
      <c r="AE4203" s="23"/>
      <c r="AF4203" s="23"/>
      <c r="AG4203" s="23"/>
      <c r="AH4203" s="23"/>
      <c r="AI4203" s="49"/>
    </row>
    <row r="4204" spans="1:35">
      <c r="A4204" s="23"/>
      <c r="B4204" s="42"/>
      <c r="C4204" s="49"/>
      <c r="E4204" s="49"/>
      <c r="G4204" s="43"/>
      <c r="H4204" s="44"/>
      <c r="L4204" s="42"/>
      <c r="M4204" s="42"/>
      <c r="N4204" s="25"/>
      <c r="O4204" s="54"/>
      <c r="P4204"/>
      <c r="Q4204" s="25"/>
      <c r="R4204" s="54"/>
      <c r="W4204" s="23"/>
      <c r="X4204" s="23"/>
      <c r="Y4204" s="23"/>
      <c r="Z4204" s="43"/>
      <c r="AA4204" s="23"/>
      <c r="AB4204" s="23"/>
      <c r="AC4204" s="23"/>
      <c r="AD4204" s="23"/>
      <c r="AE4204" s="23"/>
      <c r="AF4204" s="23"/>
      <c r="AG4204" s="23"/>
      <c r="AH4204" s="23"/>
      <c r="AI4204" s="49"/>
    </row>
    <row r="4205" spans="1:35">
      <c r="A4205" s="23"/>
      <c r="B4205" s="42"/>
      <c r="C4205" s="49"/>
      <c r="E4205" s="49"/>
      <c r="G4205" s="43"/>
      <c r="H4205" s="44"/>
      <c r="L4205" s="42"/>
      <c r="M4205" s="42"/>
      <c r="N4205" s="25"/>
      <c r="O4205" s="54"/>
      <c r="P4205"/>
      <c r="Q4205" s="25"/>
      <c r="R4205" s="54"/>
      <c r="W4205" s="23"/>
      <c r="X4205" s="23"/>
      <c r="Y4205" s="23"/>
      <c r="Z4205" s="43"/>
      <c r="AA4205" s="23"/>
      <c r="AB4205" s="23"/>
      <c r="AC4205" s="23"/>
      <c r="AD4205" s="23"/>
      <c r="AE4205" s="23"/>
      <c r="AF4205" s="23"/>
      <c r="AG4205" s="23"/>
      <c r="AH4205" s="23"/>
      <c r="AI4205" s="49"/>
    </row>
    <row r="4206" spans="1:35">
      <c r="A4206" s="23"/>
      <c r="B4206" s="42"/>
      <c r="C4206" s="49"/>
      <c r="E4206" s="49"/>
      <c r="G4206" s="43"/>
      <c r="H4206" s="44"/>
      <c r="L4206" s="42"/>
      <c r="M4206" s="42"/>
      <c r="N4206" s="25"/>
      <c r="O4206" s="54"/>
      <c r="P4206"/>
      <c r="Q4206" s="25"/>
      <c r="R4206" s="54"/>
      <c r="W4206" s="23"/>
      <c r="X4206" s="23"/>
      <c r="Y4206" s="23"/>
      <c r="Z4206" s="43"/>
      <c r="AA4206" s="23"/>
      <c r="AB4206" s="23"/>
      <c r="AC4206" s="23"/>
      <c r="AD4206" s="23"/>
      <c r="AE4206" s="23"/>
      <c r="AF4206" s="23"/>
      <c r="AG4206" s="23"/>
      <c r="AH4206" s="23"/>
      <c r="AI4206" s="49"/>
    </row>
    <row r="4207" spans="1:35">
      <c r="A4207" s="23"/>
      <c r="B4207" s="42"/>
      <c r="C4207" s="49"/>
      <c r="E4207" s="49"/>
      <c r="G4207" s="43"/>
      <c r="H4207" s="44"/>
      <c r="L4207" s="42"/>
      <c r="M4207" s="42"/>
      <c r="N4207" s="25"/>
      <c r="O4207" s="54"/>
      <c r="P4207"/>
      <c r="Q4207" s="25"/>
      <c r="R4207" s="54"/>
      <c r="W4207" s="23"/>
      <c r="X4207" s="23"/>
      <c r="Y4207" s="23"/>
      <c r="Z4207" s="43"/>
      <c r="AA4207" s="23"/>
      <c r="AB4207" s="23"/>
      <c r="AC4207" s="23"/>
      <c r="AD4207" s="23"/>
      <c r="AE4207" s="23"/>
      <c r="AF4207" s="23"/>
      <c r="AG4207" s="23"/>
      <c r="AH4207" s="23"/>
      <c r="AI4207" s="49"/>
    </row>
    <row r="4208" spans="1:35">
      <c r="A4208" s="23"/>
      <c r="B4208" s="42"/>
      <c r="C4208" s="49"/>
      <c r="E4208" s="49"/>
      <c r="G4208" s="43"/>
      <c r="H4208" s="44"/>
      <c r="L4208" s="42"/>
      <c r="M4208" s="42"/>
      <c r="N4208" s="25"/>
      <c r="O4208" s="54"/>
      <c r="P4208"/>
      <c r="Q4208" s="25"/>
      <c r="R4208" s="54"/>
      <c r="W4208" s="23"/>
      <c r="X4208" s="23"/>
      <c r="Y4208" s="23"/>
      <c r="Z4208" s="43"/>
      <c r="AA4208" s="23"/>
      <c r="AB4208" s="23"/>
      <c r="AC4208" s="23"/>
      <c r="AD4208" s="23"/>
      <c r="AE4208" s="23"/>
      <c r="AF4208" s="23"/>
      <c r="AG4208" s="23"/>
      <c r="AH4208" s="23"/>
      <c r="AI4208" s="49"/>
    </row>
    <row r="4209" spans="1:35">
      <c r="A4209" s="23"/>
      <c r="B4209" s="42"/>
      <c r="C4209" s="49"/>
      <c r="E4209" s="49"/>
      <c r="G4209" s="43"/>
      <c r="H4209" s="44"/>
      <c r="L4209" s="42"/>
      <c r="M4209" s="42"/>
      <c r="N4209" s="25"/>
      <c r="O4209" s="54"/>
      <c r="P4209"/>
      <c r="Q4209" s="25"/>
      <c r="R4209" s="54"/>
      <c r="W4209" s="23"/>
      <c r="X4209" s="23"/>
      <c r="Y4209" s="23"/>
      <c r="Z4209" s="43"/>
      <c r="AA4209" s="23"/>
      <c r="AB4209" s="23"/>
      <c r="AC4209" s="23"/>
      <c r="AD4209" s="23"/>
      <c r="AE4209" s="23"/>
      <c r="AF4209" s="23"/>
      <c r="AG4209" s="23"/>
      <c r="AH4209" s="23"/>
      <c r="AI4209" s="49"/>
    </row>
    <row r="4210" spans="1:35">
      <c r="A4210" s="23"/>
      <c r="B4210" s="42"/>
      <c r="C4210" s="49"/>
      <c r="E4210" s="49"/>
      <c r="G4210" s="43"/>
      <c r="H4210" s="44"/>
      <c r="L4210" s="42"/>
      <c r="M4210" s="42"/>
      <c r="N4210" s="25"/>
      <c r="O4210" s="54"/>
      <c r="P4210"/>
      <c r="Q4210" s="25"/>
      <c r="R4210" s="54"/>
      <c r="W4210" s="23"/>
      <c r="X4210" s="23"/>
      <c r="Y4210" s="23"/>
      <c r="Z4210" s="43"/>
      <c r="AA4210" s="23"/>
      <c r="AB4210" s="23"/>
      <c r="AC4210" s="23"/>
      <c r="AD4210" s="23"/>
      <c r="AE4210" s="23"/>
      <c r="AF4210" s="23"/>
      <c r="AG4210" s="23"/>
      <c r="AH4210" s="23"/>
      <c r="AI4210" s="49"/>
    </row>
    <row r="4211" spans="1:35">
      <c r="A4211" s="23"/>
      <c r="B4211" s="42"/>
      <c r="C4211" s="49"/>
      <c r="E4211" s="49"/>
      <c r="G4211" s="43"/>
      <c r="H4211" s="44"/>
      <c r="L4211" s="42"/>
      <c r="M4211" s="42"/>
      <c r="N4211" s="25"/>
      <c r="O4211" s="54"/>
      <c r="P4211"/>
      <c r="Q4211" s="25"/>
      <c r="R4211" s="54"/>
      <c r="W4211" s="23"/>
      <c r="X4211" s="23"/>
      <c r="Y4211" s="23"/>
      <c r="Z4211" s="43"/>
      <c r="AA4211" s="23"/>
      <c r="AB4211" s="23"/>
      <c r="AC4211" s="23"/>
      <c r="AD4211" s="23"/>
      <c r="AE4211" s="23"/>
      <c r="AF4211" s="23"/>
      <c r="AG4211" s="23"/>
      <c r="AH4211" s="23"/>
      <c r="AI4211" s="49"/>
    </row>
    <row r="4212" spans="1:35">
      <c r="A4212" s="23"/>
      <c r="B4212" s="42"/>
      <c r="C4212" s="49"/>
      <c r="E4212" s="49"/>
      <c r="G4212" s="43"/>
      <c r="H4212" s="44"/>
      <c r="L4212" s="42"/>
      <c r="M4212" s="42"/>
      <c r="N4212" s="25"/>
      <c r="O4212" s="54"/>
      <c r="P4212"/>
      <c r="Q4212" s="25"/>
      <c r="R4212" s="54"/>
      <c r="W4212" s="23"/>
      <c r="X4212" s="23"/>
      <c r="Y4212" s="23"/>
      <c r="Z4212" s="43"/>
      <c r="AA4212" s="23"/>
      <c r="AB4212" s="23"/>
      <c r="AC4212" s="23"/>
      <c r="AD4212" s="23"/>
      <c r="AE4212" s="23"/>
      <c r="AF4212" s="23"/>
      <c r="AG4212" s="23"/>
      <c r="AH4212" s="23"/>
      <c r="AI4212" s="49"/>
    </row>
    <row r="4213" spans="1:35">
      <c r="A4213" s="23"/>
      <c r="B4213" s="42"/>
      <c r="C4213" s="49"/>
      <c r="E4213" s="49"/>
      <c r="G4213" s="43"/>
      <c r="H4213" s="44"/>
      <c r="L4213" s="42"/>
      <c r="M4213" s="42"/>
      <c r="N4213" s="25"/>
      <c r="O4213" s="54"/>
      <c r="P4213"/>
      <c r="Q4213" s="25"/>
      <c r="R4213" s="54"/>
      <c r="W4213" s="23"/>
      <c r="X4213" s="23"/>
      <c r="Y4213" s="23"/>
      <c r="Z4213" s="43"/>
      <c r="AA4213" s="23"/>
      <c r="AB4213" s="23"/>
      <c r="AC4213" s="23"/>
      <c r="AD4213" s="23"/>
      <c r="AE4213" s="23"/>
      <c r="AF4213" s="23"/>
      <c r="AG4213" s="23"/>
      <c r="AH4213" s="23"/>
      <c r="AI4213" s="49"/>
    </row>
    <row r="4214" spans="1:35">
      <c r="A4214" s="23"/>
      <c r="B4214" s="42"/>
      <c r="C4214" s="49"/>
      <c r="E4214" s="49"/>
      <c r="G4214" s="43"/>
      <c r="H4214" s="44"/>
      <c r="L4214" s="42"/>
      <c r="M4214" s="42"/>
      <c r="N4214" s="25"/>
      <c r="O4214" s="54"/>
      <c r="P4214"/>
      <c r="Q4214" s="25"/>
      <c r="R4214" s="54"/>
      <c r="W4214" s="23"/>
      <c r="X4214" s="23"/>
      <c r="Y4214" s="23"/>
      <c r="Z4214" s="43"/>
      <c r="AA4214" s="23"/>
      <c r="AB4214" s="23"/>
      <c r="AC4214" s="23"/>
      <c r="AD4214" s="23"/>
      <c r="AE4214" s="23"/>
      <c r="AF4214" s="23"/>
      <c r="AG4214" s="23"/>
      <c r="AH4214" s="23"/>
      <c r="AI4214" s="49"/>
    </row>
    <row r="4215" spans="1:35">
      <c r="A4215" s="23"/>
      <c r="B4215" s="42"/>
      <c r="G4215" s="43"/>
      <c r="H4215" s="44"/>
      <c r="L4215" s="42"/>
      <c r="M4215" s="42"/>
      <c r="N4215" s="25"/>
      <c r="O4215" s="54"/>
      <c r="P4215"/>
      <c r="Q4215" s="25"/>
      <c r="R4215" s="54"/>
      <c r="W4215" s="23"/>
      <c r="X4215" s="23"/>
      <c r="Y4215" s="23"/>
      <c r="Z4215" s="43"/>
      <c r="AA4215" s="23"/>
      <c r="AB4215" s="23"/>
      <c r="AC4215" s="23"/>
      <c r="AD4215" s="23"/>
      <c r="AE4215" s="23"/>
      <c r="AF4215" s="23"/>
      <c r="AG4215" s="23"/>
      <c r="AH4215" s="23"/>
      <c r="AI4215" s="23"/>
    </row>
    <row r="4216" spans="1:35">
      <c r="A4216" s="23"/>
      <c r="B4216" s="42"/>
      <c r="C4216" s="49"/>
      <c r="E4216" s="49"/>
      <c r="G4216" s="43"/>
      <c r="H4216" s="44"/>
      <c r="L4216" s="42"/>
      <c r="M4216" s="42"/>
      <c r="N4216" s="25"/>
      <c r="O4216" s="54"/>
      <c r="P4216"/>
      <c r="Q4216" s="25"/>
      <c r="R4216" s="54"/>
      <c r="W4216" s="23"/>
      <c r="X4216" s="23"/>
      <c r="Y4216" s="23"/>
      <c r="Z4216" s="43"/>
      <c r="AA4216" s="23"/>
      <c r="AB4216" s="23"/>
      <c r="AC4216" s="23"/>
      <c r="AD4216" s="23"/>
      <c r="AE4216" s="23"/>
      <c r="AF4216" s="23"/>
      <c r="AG4216" s="23"/>
      <c r="AH4216" s="23"/>
      <c r="AI4216" s="49"/>
    </row>
    <row r="4217" spans="1:35">
      <c r="A4217" s="23"/>
      <c r="B4217" s="42"/>
      <c r="G4217" s="43"/>
      <c r="H4217" s="44"/>
      <c r="L4217" s="42"/>
      <c r="M4217" s="42"/>
      <c r="N4217" s="25"/>
      <c r="O4217" s="54"/>
      <c r="P4217"/>
      <c r="Q4217" s="25"/>
      <c r="R4217" s="54"/>
      <c r="W4217" s="23"/>
      <c r="X4217" s="23"/>
      <c r="Y4217" s="23"/>
      <c r="Z4217" s="43"/>
      <c r="AA4217" s="23"/>
      <c r="AB4217" s="23"/>
      <c r="AC4217" s="23"/>
      <c r="AD4217" s="23"/>
      <c r="AE4217" s="23"/>
      <c r="AF4217" s="23"/>
      <c r="AG4217" s="23"/>
      <c r="AH4217" s="23"/>
      <c r="AI4217" s="23"/>
    </row>
    <row r="4218" spans="1:35">
      <c r="A4218" s="23"/>
      <c r="B4218" s="42"/>
      <c r="G4218" s="43"/>
      <c r="H4218" s="44"/>
      <c r="L4218" s="42"/>
      <c r="M4218" s="42"/>
      <c r="N4218" s="25"/>
      <c r="O4218" s="54"/>
      <c r="P4218"/>
      <c r="Q4218" s="25"/>
      <c r="R4218" s="54"/>
      <c r="W4218" s="23"/>
      <c r="X4218" s="23"/>
      <c r="Y4218" s="23"/>
      <c r="Z4218" s="43"/>
      <c r="AA4218" s="23"/>
      <c r="AB4218" s="23"/>
      <c r="AC4218" s="23"/>
      <c r="AD4218" s="23"/>
      <c r="AE4218" s="23"/>
      <c r="AF4218" s="23"/>
      <c r="AG4218" s="23"/>
      <c r="AH4218" s="23"/>
      <c r="AI4218" s="23"/>
    </row>
    <row r="4219" spans="1:35">
      <c r="A4219" s="23"/>
      <c r="B4219" s="42"/>
      <c r="G4219" s="43"/>
      <c r="H4219" s="44"/>
      <c r="L4219" s="42"/>
      <c r="M4219" s="42"/>
      <c r="N4219" s="25"/>
      <c r="O4219" s="54"/>
      <c r="P4219"/>
      <c r="Q4219" s="25"/>
      <c r="R4219" s="54"/>
      <c r="W4219" s="23"/>
      <c r="X4219" s="23"/>
      <c r="Y4219" s="23"/>
      <c r="Z4219" s="43"/>
      <c r="AA4219" s="23"/>
      <c r="AB4219" s="23"/>
      <c r="AC4219" s="23"/>
      <c r="AD4219" s="23"/>
      <c r="AE4219" s="23"/>
      <c r="AF4219" s="23"/>
      <c r="AG4219" s="23"/>
      <c r="AH4219" s="23"/>
      <c r="AI4219" s="23"/>
    </row>
    <row r="4220" spans="1:35">
      <c r="A4220" s="23"/>
      <c r="B4220" s="42"/>
      <c r="G4220" s="43"/>
      <c r="H4220" s="44"/>
      <c r="L4220" s="42"/>
      <c r="M4220" s="42"/>
      <c r="N4220" s="25"/>
      <c r="O4220" s="54"/>
      <c r="P4220"/>
      <c r="Q4220" s="25"/>
      <c r="R4220" s="54"/>
      <c r="W4220" s="23"/>
      <c r="X4220" s="23"/>
      <c r="Y4220" s="23"/>
      <c r="Z4220" s="43"/>
      <c r="AA4220" s="23"/>
      <c r="AB4220" s="23"/>
      <c r="AC4220" s="23"/>
      <c r="AD4220" s="23"/>
      <c r="AE4220" s="23"/>
      <c r="AF4220" s="23"/>
      <c r="AG4220" s="23"/>
      <c r="AH4220" s="23"/>
      <c r="AI4220" s="23"/>
    </row>
    <row r="4221" spans="1:35">
      <c r="A4221" s="23"/>
      <c r="B4221" s="42"/>
      <c r="G4221" s="43"/>
      <c r="H4221" s="44"/>
      <c r="L4221" s="42"/>
      <c r="M4221" s="42"/>
      <c r="N4221" s="25"/>
      <c r="O4221" s="54"/>
      <c r="P4221"/>
      <c r="Q4221" s="25"/>
      <c r="R4221" s="54"/>
      <c r="W4221" s="23"/>
      <c r="X4221" s="23"/>
      <c r="Y4221" s="23"/>
      <c r="Z4221" s="43"/>
      <c r="AA4221" s="23"/>
      <c r="AB4221" s="23"/>
      <c r="AC4221" s="23"/>
      <c r="AD4221" s="23"/>
      <c r="AE4221" s="23"/>
      <c r="AF4221" s="23"/>
      <c r="AG4221" s="23"/>
      <c r="AH4221" s="23"/>
      <c r="AI4221" s="23"/>
    </row>
    <row r="4222" spans="1:35">
      <c r="A4222" s="23"/>
      <c r="B4222" s="42"/>
      <c r="C4222" s="49"/>
      <c r="E4222" s="49"/>
      <c r="G4222" s="43"/>
      <c r="H4222" s="44"/>
      <c r="L4222" s="42"/>
      <c r="M4222" s="42"/>
      <c r="N4222" s="25"/>
      <c r="O4222" s="54"/>
      <c r="P4222"/>
      <c r="Q4222" s="25"/>
      <c r="R4222" s="54"/>
      <c r="W4222" s="23"/>
      <c r="X4222" s="23"/>
      <c r="Y4222" s="23"/>
      <c r="Z4222" s="43"/>
      <c r="AA4222" s="23"/>
      <c r="AB4222" s="23"/>
      <c r="AC4222" s="23"/>
      <c r="AD4222" s="23"/>
      <c r="AE4222" s="23"/>
      <c r="AF4222" s="23"/>
      <c r="AG4222" s="23"/>
      <c r="AH4222" s="23"/>
      <c r="AI4222" s="49"/>
    </row>
    <row r="4223" spans="1:35">
      <c r="A4223" s="23"/>
      <c r="B4223" s="42"/>
      <c r="C4223" s="49"/>
      <c r="E4223" s="49"/>
      <c r="G4223" s="43"/>
      <c r="H4223" s="44"/>
      <c r="L4223" s="42"/>
      <c r="M4223" s="42"/>
      <c r="N4223" s="25"/>
      <c r="O4223" s="54"/>
      <c r="P4223"/>
      <c r="Q4223" s="25"/>
      <c r="R4223" s="54"/>
      <c r="W4223" s="23"/>
      <c r="X4223" s="23"/>
      <c r="Y4223" s="23"/>
      <c r="Z4223" s="43"/>
      <c r="AA4223" s="23"/>
      <c r="AB4223" s="23"/>
      <c r="AC4223" s="23"/>
      <c r="AD4223" s="23"/>
      <c r="AE4223" s="23"/>
      <c r="AF4223" s="23"/>
      <c r="AG4223" s="23"/>
      <c r="AH4223" s="23"/>
      <c r="AI4223" s="49"/>
    </row>
    <row r="4224" spans="1:35">
      <c r="A4224" s="23"/>
      <c r="B4224" s="42"/>
      <c r="C4224" s="49"/>
      <c r="E4224" s="49"/>
      <c r="G4224" s="43"/>
      <c r="H4224" s="44"/>
      <c r="L4224" s="42"/>
      <c r="M4224" s="42"/>
      <c r="N4224" s="25"/>
      <c r="O4224" s="54"/>
      <c r="P4224"/>
      <c r="Q4224" s="25"/>
      <c r="R4224" s="54"/>
      <c r="W4224" s="23"/>
      <c r="X4224" s="23"/>
      <c r="Y4224" s="23"/>
      <c r="Z4224" s="43"/>
      <c r="AA4224" s="23"/>
      <c r="AB4224" s="23"/>
      <c r="AC4224" s="23"/>
      <c r="AD4224" s="23"/>
      <c r="AE4224" s="23"/>
      <c r="AF4224" s="23"/>
      <c r="AG4224" s="23"/>
      <c r="AH4224" s="23"/>
      <c r="AI4224" s="49"/>
    </row>
    <row r="4225" spans="1:35">
      <c r="A4225" s="23"/>
      <c r="B4225" s="42"/>
      <c r="G4225" s="43"/>
      <c r="H4225" s="44"/>
      <c r="L4225" s="42"/>
      <c r="M4225" s="42"/>
      <c r="N4225" s="25"/>
      <c r="O4225" s="54"/>
      <c r="P4225"/>
      <c r="Q4225" s="25"/>
      <c r="R4225" s="54"/>
      <c r="W4225" s="23"/>
      <c r="X4225" s="23"/>
      <c r="Y4225" s="23"/>
      <c r="Z4225" s="43"/>
      <c r="AA4225" s="23"/>
      <c r="AB4225" s="23"/>
      <c r="AC4225" s="23"/>
      <c r="AD4225" s="23"/>
      <c r="AE4225" s="23"/>
      <c r="AF4225" s="23"/>
      <c r="AG4225" s="23"/>
      <c r="AH4225" s="23"/>
      <c r="AI4225" s="23"/>
    </row>
    <row r="4226" spans="1:35">
      <c r="A4226" s="23"/>
      <c r="B4226" s="42"/>
      <c r="C4226" s="49"/>
      <c r="E4226" s="49"/>
      <c r="G4226" s="43"/>
      <c r="H4226" s="44"/>
      <c r="L4226" s="42"/>
      <c r="M4226" s="42"/>
      <c r="N4226" s="25"/>
      <c r="O4226" s="54"/>
      <c r="P4226"/>
      <c r="Q4226" s="25"/>
      <c r="R4226" s="54"/>
      <c r="W4226" s="23"/>
      <c r="X4226" s="23"/>
      <c r="Y4226" s="23"/>
      <c r="Z4226" s="43"/>
      <c r="AA4226" s="23"/>
      <c r="AB4226" s="23"/>
      <c r="AC4226" s="23"/>
      <c r="AD4226" s="23"/>
      <c r="AE4226" s="23"/>
      <c r="AF4226" s="23"/>
      <c r="AG4226" s="23"/>
      <c r="AH4226" s="23"/>
      <c r="AI4226" s="49"/>
    </row>
    <row r="4227" spans="1:35">
      <c r="A4227" s="23"/>
      <c r="B4227" s="42"/>
      <c r="G4227" s="43"/>
      <c r="H4227" s="44"/>
      <c r="L4227" s="42"/>
      <c r="M4227" s="42"/>
      <c r="N4227" s="25"/>
      <c r="O4227" s="54"/>
      <c r="P4227"/>
      <c r="Q4227" s="25"/>
      <c r="R4227" s="54"/>
      <c r="W4227" s="23"/>
      <c r="X4227" s="23"/>
      <c r="Y4227" s="23"/>
      <c r="Z4227" s="43"/>
      <c r="AA4227" s="23"/>
      <c r="AB4227" s="23"/>
      <c r="AC4227" s="23"/>
      <c r="AD4227" s="23"/>
      <c r="AE4227" s="23"/>
      <c r="AF4227" s="23"/>
      <c r="AG4227" s="23"/>
      <c r="AH4227" s="23"/>
      <c r="AI4227" s="23"/>
    </row>
    <row r="4228" spans="1:35">
      <c r="A4228" s="23"/>
      <c r="B4228" s="42"/>
      <c r="C4228" s="49"/>
      <c r="E4228" s="49"/>
      <c r="G4228" s="43"/>
      <c r="H4228" s="44"/>
      <c r="L4228" s="42"/>
      <c r="M4228" s="42"/>
      <c r="N4228" s="25"/>
      <c r="O4228" s="54"/>
      <c r="P4228"/>
      <c r="Q4228" s="25"/>
      <c r="R4228" s="54"/>
      <c r="W4228" s="23"/>
      <c r="X4228" s="23"/>
      <c r="Y4228" s="23"/>
      <c r="Z4228" s="43"/>
      <c r="AA4228" s="23"/>
      <c r="AB4228" s="23"/>
      <c r="AC4228" s="23"/>
      <c r="AD4228" s="23"/>
      <c r="AE4228" s="23"/>
      <c r="AF4228" s="23"/>
      <c r="AG4228" s="23"/>
      <c r="AH4228" s="23"/>
      <c r="AI4228" s="49"/>
    </row>
    <row r="4229" spans="1:35">
      <c r="A4229" s="23"/>
      <c r="B4229" s="42"/>
      <c r="G4229" s="43"/>
      <c r="H4229" s="44"/>
      <c r="L4229" s="42"/>
      <c r="M4229" s="42"/>
      <c r="N4229" s="25"/>
      <c r="O4229" s="54"/>
      <c r="P4229"/>
      <c r="Q4229" s="25"/>
      <c r="R4229" s="54"/>
      <c r="W4229" s="23"/>
      <c r="X4229" s="23"/>
      <c r="Y4229" s="23"/>
      <c r="Z4229" s="43"/>
      <c r="AA4229" s="23"/>
      <c r="AB4229" s="23"/>
      <c r="AC4229" s="23"/>
      <c r="AD4229" s="23"/>
      <c r="AE4229" s="23"/>
      <c r="AF4229" s="23"/>
      <c r="AG4229" s="23"/>
      <c r="AH4229" s="23"/>
      <c r="AI4229" s="23"/>
    </row>
    <row r="4230" spans="1:35">
      <c r="A4230" s="23"/>
      <c r="B4230" s="42"/>
      <c r="G4230" s="43"/>
      <c r="H4230" s="44"/>
      <c r="L4230" s="42"/>
      <c r="M4230" s="42"/>
      <c r="N4230" s="25"/>
      <c r="O4230" s="54"/>
      <c r="P4230"/>
      <c r="Q4230" s="25"/>
      <c r="R4230" s="54"/>
      <c r="W4230" s="23"/>
      <c r="X4230" s="23"/>
      <c r="Y4230" s="23"/>
      <c r="Z4230" s="43"/>
      <c r="AA4230" s="23"/>
      <c r="AB4230" s="23"/>
      <c r="AC4230" s="23"/>
      <c r="AD4230" s="23"/>
      <c r="AE4230" s="23"/>
      <c r="AF4230" s="23"/>
      <c r="AG4230" s="23"/>
      <c r="AH4230" s="23"/>
      <c r="AI4230" s="23"/>
    </row>
    <row r="4231" spans="1:35">
      <c r="A4231" s="23"/>
      <c r="B4231" s="42"/>
      <c r="G4231" s="43"/>
      <c r="H4231" s="44"/>
      <c r="L4231" s="42"/>
      <c r="M4231" s="42"/>
      <c r="N4231" s="25"/>
      <c r="O4231" s="54"/>
      <c r="P4231"/>
      <c r="Q4231" s="25"/>
      <c r="R4231" s="54"/>
      <c r="W4231" s="23"/>
      <c r="X4231" s="23"/>
      <c r="Y4231" s="23"/>
      <c r="Z4231" s="43"/>
      <c r="AA4231" s="23"/>
      <c r="AB4231" s="23"/>
      <c r="AC4231" s="23"/>
      <c r="AD4231" s="23"/>
      <c r="AE4231" s="23"/>
      <c r="AF4231" s="23"/>
      <c r="AG4231" s="23"/>
      <c r="AH4231" s="23"/>
      <c r="AI4231" s="23"/>
    </row>
    <row r="4232" spans="1:35">
      <c r="A4232" s="23"/>
      <c r="B4232" s="42"/>
      <c r="C4232" s="49"/>
      <c r="E4232" s="49"/>
      <c r="G4232" s="43"/>
      <c r="H4232" s="44"/>
      <c r="L4232" s="42"/>
      <c r="M4232" s="42"/>
      <c r="N4232" s="25"/>
      <c r="O4232" s="54"/>
      <c r="P4232"/>
      <c r="Q4232" s="25"/>
      <c r="R4232" s="54"/>
      <c r="W4232" s="23"/>
      <c r="X4232" s="23"/>
      <c r="Y4232" s="23"/>
      <c r="Z4232" s="43"/>
      <c r="AA4232" s="23"/>
      <c r="AB4232" s="23"/>
      <c r="AC4232" s="23"/>
      <c r="AD4232" s="23"/>
      <c r="AE4232" s="23"/>
      <c r="AF4232" s="23"/>
      <c r="AG4232" s="23"/>
      <c r="AH4232" s="23"/>
      <c r="AI4232" s="49"/>
    </row>
    <row r="4233" spans="1:35">
      <c r="A4233" s="23"/>
      <c r="B4233" s="42"/>
      <c r="G4233" s="43"/>
      <c r="H4233" s="44"/>
      <c r="L4233" s="42"/>
      <c r="M4233" s="42"/>
      <c r="N4233" s="25"/>
      <c r="O4233" s="54"/>
      <c r="P4233"/>
      <c r="Q4233" s="25"/>
      <c r="R4233" s="54"/>
      <c r="W4233" s="23"/>
      <c r="X4233" s="23"/>
      <c r="Y4233" s="23"/>
      <c r="Z4233" s="43"/>
      <c r="AA4233" s="23"/>
      <c r="AB4233" s="23"/>
      <c r="AC4233" s="23"/>
      <c r="AD4233" s="23"/>
      <c r="AE4233" s="23"/>
      <c r="AF4233" s="23"/>
      <c r="AG4233" s="23"/>
      <c r="AH4233" s="23"/>
      <c r="AI4233" s="23"/>
    </row>
    <row r="4234" spans="1:35">
      <c r="A4234" s="23"/>
      <c r="B4234" s="42"/>
      <c r="G4234" s="43"/>
      <c r="H4234" s="44"/>
      <c r="L4234" s="42"/>
      <c r="M4234" s="42"/>
      <c r="N4234" s="25"/>
      <c r="O4234" s="54"/>
      <c r="P4234"/>
      <c r="Q4234" s="25"/>
      <c r="R4234" s="54"/>
      <c r="W4234" s="23"/>
      <c r="X4234" s="23"/>
      <c r="Y4234" s="23"/>
      <c r="Z4234" s="43"/>
      <c r="AA4234" s="23"/>
      <c r="AB4234" s="23"/>
      <c r="AC4234" s="23"/>
      <c r="AD4234" s="23"/>
      <c r="AE4234" s="23"/>
      <c r="AF4234" s="23"/>
      <c r="AG4234" s="23"/>
      <c r="AH4234" s="23"/>
      <c r="AI4234" s="23"/>
    </row>
    <row r="4235" spans="1:35">
      <c r="A4235" s="23"/>
      <c r="B4235" s="42"/>
      <c r="C4235" s="49"/>
      <c r="E4235" s="49"/>
      <c r="G4235" s="43"/>
      <c r="H4235" s="44"/>
      <c r="L4235" s="42"/>
      <c r="M4235" s="42"/>
      <c r="N4235" s="25"/>
      <c r="O4235" s="54"/>
      <c r="P4235"/>
      <c r="Q4235" s="25"/>
      <c r="R4235" s="54"/>
      <c r="W4235" s="23"/>
      <c r="X4235" s="23"/>
      <c r="Y4235" s="23"/>
      <c r="Z4235" s="43"/>
      <c r="AA4235" s="23"/>
      <c r="AB4235" s="23"/>
      <c r="AC4235" s="23"/>
      <c r="AD4235" s="23"/>
      <c r="AE4235" s="23"/>
      <c r="AF4235" s="23"/>
      <c r="AG4235" s="23"/>
      <c r="AH4235" s="23"/>
      <c r="AI4235" s="49"/>
    </row>
    <row r="4236" spans="1:35">
      <c r="A4236" s="23"/>
      <c r="B4236" s="42"/>
      <c r="C4236" s="49"/>
      <c r="E4236" s="49"/>
      <c r="G4236" s="43"/>
      <c r="H4236" s="44"/>
      <c r="L4236" s="42"/>
      <c r="M4236" s="42"/>
      <c r="N4236" s="25"/>
      <c r="O4236" s="54"/>
      <c r="P4236"/>
      <c r="Q4236" s="25"/>
      <c r="R4236" s="54"/>
      <c r="W4236" s="23"/>
      <c r="X4236" s="23"/>
      <c r="Y4236" s="23"/>
      <c r="Z4236" s="43"/>
      <c r="AA4236" s="23"/>
      <c r="AB4236" s="23"/>
      <c r="AC4236" s="23"/>
      <c r="AD4236" s="23"/>
      <c r="AE4236" s="23"/>
      <c r="AF4236" s="23"/>
      <c r="AG4236" s="23"/>
      <c r="AH4236" s="23"/>
      <c r="AI4236" s="49"/>
    </row>
    <row r="4237" spans="1:35">
      <c r="A4237" s="23"/>
      <c r="B4237" s="42"/>
      <c r="G4237" s="43"/>
      <c r="H4237" s="44"/>
      <c r="L4237" s="42"/>
      <c r="M4237" s="42"/>
      <c r="N4237" s="25"/>
      <c r="O4237" s="54"/>
      <c r="P4237"/>
      <c r="Q4237" s="25"/>
      <c r="R4237" s="54"/>
      <c r="W4237" s="23"/>
      <c r="X4237" s="23"/>
      <c r="Y4237" s="23"/>
      <c r="Z4237" s="43"/>
      <c r="AA4237" s="23"/>
      <c r="AB4237" s="23"/>
      <c r="AC4237" s="23"/>
      <c r="AD4237" s="23"/>
      <c r="AE4237" s="23"/>
      <c r="AF4237" s="23"/>
      <c r="AG4237" s="23"/>
      <c r="AH4237" s="23"/>
      <c r="AI4237" s="23"/>
    </row>
    <row r="4238" spans="1:35">
      <c r="A4238" s="23"/>
      <c r="B4238" s="42"/>
      <c r="G4238" s="43"/>
      <c r="H4238" s="44"/>
      <c r="L4238" s="42"/>
      <c r="M4238" s="42"/>
      <c r="N4238" s="25"/>
      <c r="O4238" s="54"/>
      <c r="P4238"/>
      <c r="Q4238" s="25"/>
      <c r="R4238" s="54"/>
      <c r="W4238" s="23"/>
      <c r="X4238" s="23"/>
      <c r="Y4238" s="23"/>
      <c r="Z4238" s="43"/>
      <c r="AA4238" s="23"/>
      <c r="AB4238" s="23"/>
      <c r="AC4238" s="23"/>
      <c r="AD4238" s="23"/>
      <c r="AE4238" s="23"/>
      <c r="AF4238" s="23"/>
      <c r="AG4238" s="23"/>
      <c r="AH4238" s="23"/>
      <c r="AI4238" s="23"/>
    </row>
    <row r="4239" spans="1:35">
      <c r="A4239" s="23"/>
      <c r="B4239" s="42"/>
      <c r="G4239" s="43"/>
      <c r="H4239" s="44"/>
      <c r="L4239" s="42"/>
      <c r="M4239" s="42"/>
      <c r="N4239" s="25"/>
      <c r="O4239" s="54"/>
      <c r="P4239"/>
      <c r="Q4239" s="25"/>
      <c r="R4239" s="54"/>
      <c r="W4239" s="23"/>
      <c r="X4239" s="23"/>
      <c r="Y4239" s="23"/>
      <c r="Z4239" s="43"/>
      <c r="AA4239" s="23"/>
      <c r="AB4239" s="23"/>
      <c r="AC4239" s="23"/>
      <c r="AD4239" s="23"/>
      <c r="AE4239" s="23"/>
      <c r="AF4239" s="23"/>
      <c r="AG4239" s="23"/>
      <c r="AH4239" s="23"/>
      <c r="AI4239" s="23"/>
    </row>
    <row r="4240" spans="1:35">
      <c r="A4240" s="23"/>
      <c r="B4240" s="42"/>
      <c r="C4240" s="49"/>
      <c r="E4240" s="49"/>
      <c r="G4240" s="43"/>
      <c r="H4240" s="44"/>
      <c r="L4240" s="42"/>
      <c r="M4240" s="42"/>
      <c r="N4240" s="25"/>
      <c r="O4240" s="54"/>
      <c r="P4240"/>
      <c r="Q4240" s="25"/>
      <c r="R4240" s="54"/>
      <c r="W4240" s="23"/>
      <c r="X4240" s="23"/>
      <c r="Y4240" s="23"/>
      <c r="Z4240" s="43"/>
      <c r="AA4240" s="23"/>
      <c r="AB4240" s="23"/>
      <c r="AC4240" s="23"/>
      <c r="AD4240" s="23"/>
      <c r="AE4240" s="23"/>
      <c r="AF4240" s="23"/>
      <c r="AG4240" s="23"/>
      <c r="AH4240" s="23"/>
      <c r="AI4240" s="49"/>
    </row>
    <row r="4241" spans="1:35">
      <c r="A4241" s="23"/>
      <c r="B4241" s="42"/>
      <c r="G4241" s="43"/>
      <c r="H4241" s="44"/>
      <c r="L4241" s="42"/>
      <c r="M4241" s="42"/>
      <c r="N4241" s="25"/>
      <c r="O4241" s="54"/>
      <c r="P4241"/>
      <c r="Q4241" s="25"/>
      <c r="R4241" s="54"/>
      <c r="W4241" s="23"/>
      <c r="X4241" s="23"/>
      <c r="Y4241" s="23"/>
      <c r="Z4241" s="43"/>
      <c r="AA4241" s="23"/>
      <c r="AB4241" s="23"/>
      <c r="AC4241" s="23"/>
      <c r="AD4241" s="23"/>
      <c r="AE4241" s="23"/>
      <c r="AF4241" s="23"/>
      <c r="AG4241" s="23"/>
      <c r="AH4241" s="23"/>
      <c r="AI4241" s="23"/>
    </row>
    <row r="4242" spans="1:35">
      <c r="A4242" s="23"/>
      <c r="B4242" s="42"/>
      <c r="G4242" s="43"/>
      <c r="H4242" s="44"/>
      <c r="L4242" s="42"/>
      <c r="M4242" s="42"/>
      <c r="N4242" s="25"/>
      <c r="O4242" s="54"/>
      <c r="P4242"/>
      <c r="Q4242" s="25"/>
      <c r="R4242" s="54"/>
      <c r="W4242" s="23"/>
      <c r="X4242" s="23"/>
      <c r="Y4242" s="23"/>
      <c r="Z4242" s="43"/>
      <c r="AA4242" s="23"/>
      <c r="AB4242" s="23"/>
      <c r="AC4242" s="23"/>
      <c r="AD4242" s="23"/>
      <c r="AE4242" s="23"/>
      <c r="AF4242" s="23"/>
      <c r="AG4242" s="23"/>
      <c r="AH4242" s="23"/>
      <c r="AI4242" s="23"/>
    </row>
    <row r="4243" spans="1:35">
      <c r="A4243" s="23"/>
      <c r="B4243" s="42"/>
      <c r="C4243" s="49"/>
      <c r="E4243" s="49"/>
      <c r="G4243" s="43"/>
      <c r="H4243" s="44"/>
      <c r="L4243" s="42"/>
      <c r="M4243" s="42"/>
      <c r="N4243" s="25"/>
      <c r="O4243" s="54"/>
      <c r="P4243"/>
      <c r="Q4243" s="25"/>
      <c r="R4243" s="54"/>
      <c r="W4243" s="23"/>
      <c r="X4243" s="23"/>
      <c r="Y4243" s="23"/>
      <c r="Z4243" s="43"/>
      <c r="AA4243" s="23"/>
      <c r="AB4243" s="23"/>
      <c r="AC4243" s="23"/>
      <c r="AD4243" s="23"/>
      <c r="AE4243" s="23"/>
      <c r="AF4243" s="23"/>
      <c r="AG4243" s="23"/>
      <c r="AH4243" s="23"/>
      <c r="AI4243" s="49"/>
    </row>
    <row r="4244" spans="1:35">
      <c r="A4244" s="23"/>
      <c r="B4244" s="42"/>
      <c r="C4244" s="49"/>
      <c r="E4244" s="49"/>
      <c r="G4244" s="43"/>
      <c r="H4244" s="44"/>
      <c r="L4244" s="42"/>
      <c r="M4244" s="42"/>
      <c r="N4244" s="25"/>
      <c r="O4244" s="54"/>
      <c r="P4244"/>
      <c r="Q4244" s="25"/>
      <c r="R4244" s="54"/>
      <c r="W4244" s="23"/>
      <c r="X4244" s="23"/>
      <c r="Y4244" s="23"/>
      <c r="Z4244" s="43"/>
      <c r="AA4244" s="23"/>
      <c r="AB4244" s="23"/>
      <c r="AC4244" s="23"/>
      <c r="AD4244" s="23"/>
      <c r="AE4244" s="23"/>
      <c r="AF4244" s="23"/>
      <c r="AG4244" s="23"/>
      <c r="AH4244" s="23"/>
      <c r="AI4244" s="49"/>
    </row>
    <row r="4245" spans="1:35">
      <c r="A4245" s="23"/>
      <c r="B4245" s="42"/>
      <c r="G4245" s="43"/>
      <c r="H4245" s="44"/>
      <c r="L4245" s="42"/>
      <c r="M4245" s="42"/>
      <c r="N4245" s="25"/>
      <c r="O4245" s="54"/>
      <c r="P4245"/>
      <c r="Q4245" s="25"/>
      <c r="R4245" s="54"/>
      <c r="W4245" s="23"/>
      <c r="X4245" s="23"/>
      <c r="Y4245" s="23"/>
      <c r="Z4245" s="43"/>
      <c r="AA4245" s="23"/>
      <c r="AB4245" s="23"/>
      <c r="AC4245" s="23"/>
      <c r="AD4245" s="23"/>
      <c r="AE4245" s="23"/>
      <c r="AF4245" s="23"/>
      <c r="AG4245" s="23"/>
      <c r="AH4245" s="23"/>
      <c r="AI4245" s="23"/>
    </row>
    <row r="4246" spans="1:35">
      <c r="A4246" s="23"/>
      <c r="B4246" s="42"/>
      <c r="G4246" s="43"/>
      <c r="H4246" s="44"/>
      <c r="L4246" s="42"/>
      <c r="M4246" s="42"/>
      <c r="N4246" s="25"/>
      <c r="O4246" s="54"/>
      <c r="P4246"/>
      <c r="Q4246" s="25"/>
      <c r="R4246" s="54"/>
      <c r="W4246" s="23"/>
      <c r="X4246" s="23"/>
      <c r="Y4246" s="23"/>
      <c r="Z4246" s="43"/>
      <c r="AA4246" s="23"/>
      <c r="AB4246" s="23"/>
      <c r="AC4246" s="23"/>
      <c r="AD4246" s="23"/>
      <c r="AE4246" s="23"/>
      <c r="AF4246" s="23"/>
      <c r="AG4246" s="23"/>
      <c r="AH4246" s="23"/>
      <c r="AI4246" s="23"/>
    </row>
    <row r="4247" spans="1:35">
      <c r="A4247" s="23"/>
      <c r="B4247" s="42"/>
      <c r="C4247" s="49"/>
      <c r="E4247" s="49"/>
      <c r="G4247" s="43"/>
      <c r="H4247" s="44"/>
      <c r="L4247" s="42"/>
      <c r="M4247" s="42"/>
      <c r="N4247" s="25"/>
      <c r="O4247" s="54"/>
      <c r="P4247"/>
      <c r="Q4247" s="25"/>
      <c r="R4247" s="54"/>
      <c r="W4247" s="23"/>
      <c r="X4247" s="23"/>
      <c r="Y4247" s="23"/>
      <c r="Z4247" s="43"/>
      <c r="AA4247" s="23"/>
      <c r="AB4247" s="23"/>
      <c r="AC4247" s="23"/>
      <c r="AD4247" s="23"/>
      <c r="AE4247" s="23"/>
      <c r="AF4247" s="23"/>
      <c r="AG4247" s="23"/>
      <c r="AH4247" s="23"/>
      <c r="AI4247" s="49"/>
    </row>
    <row r="4248" spans="1:35">
      <c r="A4248" s="23"/>
      <c r="B4248" s="42"/>
      <c r="C4248" s="49"/>
      <c r="E4248" s="49"/>
      <c r="G4248" s="43"/>
      <c r="H4248" s="44"/>
      <c r="L4248" s="42"/>
      <c r="M4248" s="42"/>
      <c r="N4248" s="25"/>
      <c r="O4248" s="54"/>
      <c r="P4248"/>
      <c r="Q4248" s="25"/>
      <c r="R4248" s="54"/>
      <c r="W4248" s="23"/>
      <c r="X4248" s="23"/>
      <c r="Y4248" s="23"/>
      <c r="Z4248" s="43"/>
      <c r="AA4248" s="23"/>
      <c r="AB4248" s="23"/>
      <c r="AC4248" s="23"/>
      <c r="AD4248" s="23"/>
      <c r="AE4248" s="23"/>
      <c r="AF4248" s="23"/>
      <c r="AG4248" s="23"/>
      <c r="AH4248" s="23"/>
      <c r="AI4248" s="49"/>
    </row>
    <row r="4249" spans="1:35">
      <c r="A4249" s="23"/>
      <c r="B4249" s="42"/>
      <c r="C4249" s="49"/>
      <c r="E4249" s="49"/>
      <c r="G4249" s="43"/>
      <c r="H4249" s="44"/>
      <c r="L4249" s="42"/>
      <c r="M4249" s="42"/>
      <c r="N4249" s="25"/>
      <c r="O4249" s="54"/>
      <c r="P4249"/>
      <c r="Q4249" s="25"/>
      <c r="R4249" s="54"/>
      <c r="W4249" s="23"/>
      <c r="X4249" s="23"/>
      <c r="Y4249" s="23"/>
      <c r="Z4249" s="43"/>
      <c r="AA4249" s="23"/>
      <c r="AB4249" s="23"/>
      <c r="AC4249" s="23"/>
      <c r="AD4249" s="23"/>
      <c r="AE4249" s="23"/>
      <c r="AF4249" s="23"/>
      <c r="AG4249" s="23"/>
      <c r="AH4249" s="23"/>
      <c r="AI4249" s="49"/>
    </row>
    <row r="4250" spans="1:35">
      <c r="A4250" s="23"/>
      <c r="B4250" s="42"/>
      <c r="C4250" s="49"/>
      <c r="E4250" s="49"/>
      <c r="G4250" s="43"/>
      <c r="H4250" s="44"/>
      <c r="L4250" s="42"/>
      <c r="M4250" s="42"/>
      <c r="N4250" s="25"/>
      <c r="O4250" s="54"/>
      <c r="P4250"/>
      <c r="Q4250" s="25"/>
      <c r="R4250" s="54"/>
      <c r="W4250" s="23"/>
      <c r="X4250" s="23"/>
      <c r="Y4250" s="23"/>
      <c r="Z4250" s="43"/>
      <c r="AA4250" s="23"/>
      <c r="AB4250" s="23"/>
      <c r="AC4250" s="23"/>
      <c r="AD4250" s="23"/>
      <c r="AE4250" s="23"/>
      <c r="AF4250" s="23"/>
      <c r="AG4250" s="23"/>
      <c r="AH4250" s="23"/>
      <c r="AI4250" s="49"/>
    </row>
    <row r="4251" spans="1:35">
      <c r="A4251" s="23"/>
      <c r="B4251" s="42"/>
      <c r="C4251" s="49"/>
      <c r="E4251" s="49"/>
      <c r="G4251" s="43"/>
      <c r="H4251" s="44"/>
      <c r="L4251" s="42"/>
      <c r="M4251" s="42"/>
      <c r="N4251" s="25"/>
      <c r="O4251" s="54"/>
      <c r="P4251"/>
      <c r="Q4251" s="25"/>
      <c r="R4251" s="54"/>
      <c r="W4251" s="23"/>
      <c r="X4251" s="23"/>
      <c r="Y4251" s="23"/>
      <c r="Z4251" s="43"/>
      <c r="AA4251" s="23"/>
      <c r="AB4251" s="23"/>
      <c r="AC4251" s="23"/>
      <c r="AD4251" s="23"/>
      <c r="AE4251" s="23"/>
      <c r="AF4251" s="23"/>
      <c r="AG4251" s="23"/>
      <c r="AH4251" s="23"/>
      <c r="AI4251" s="49"/>
    </row>
    <row r="4252" spans="1:35">
      <c r="A4252" s="23"/>
      <c r="B4252" s="42"/>
      <c r="C4252" s="49"/>
      <c r="E4252" s="49"/>
      <c r="G4252" s="43"/>
      <c r="H4252" s="44"/>
      <c r="L4252" s="42"/>
      <c r="M4252" s="42"/>
      <c r="N4252" s="25"/>
      <c r="O4252" s="54"/>
      <c r="P4252"/>
      <c r="Q4252" s="25"/>
      <c r="R4252" s="54"/>
      <c r="W4252" s="23"/>
      <c r="X4252" s="23"/>
      <c r="Y4252" s="23"/>
      <c r="Z4252" s="43"/>
      <c r="AA4252" s="23"/>
      <c r="AB4252" s="23"/>
      <c r="AC4252" s="23"/>
      <c r="AD4252" s="23"/>
      <c r="AE4252" s="23"/>
      <c r="AF4252" s="23"/>
      <c r="AG4252" s="23"/>
      <c r="AH4252" s="23"/>
      <c r="AI4252" s="49"/>
    </row>
    <row r="4253" spans="1:35">
      <c r="A4253" s="23"/>
      <c r="B4253" s="42"/>
      <c r="G4253" s="43"/>
      <c r="H4253" s="44"/>
      <c r="L4253" s="42"/>
      <c r="M4253" s="42"/>
      <c r="N4253" s="25"/>
      <c r="O4253" s="54"/>
      <c r="P4253"/>
      <c r="Q4253" s="25"/>
      <c r="R4253" s="54"/>
      <c r="W4253" s="23"/>
      <c r="X4253" s="23"/>
      <c r="Y4253" s="23"/>
      <c r="Z4253" s="43"/>
      <c r="AA4253" s="23"/>
      <c r="AB4253" s="23"/>
      <c r="AC4253" s="23"/>
      <c r="AD4253" s="23"/>
      <c r="AE4253" s="23"/>
      <c r="AF4253" s="23"/>
      <c r="AG4253" s="23"/>
      <c r="AH4253" s="23"/>
      <c r="AI4253" s="23"/>
    </row>
    <row r="4254" spans="1:35">
      <c r="A4254" s="23"/>
      <c r="B4254" s="42"/>
      <c r="G4254" s="43"/>
      <c r="H4254" s="44"/>
      <c r="L4254" s="42"/>
      <c r="M4254" s="42"/>
      <c r="N4254" s="25"/>
      <c r="O4254" s="54"/>
      <c r="P4254"/>
      <c r="Q4254" s="25"/>
      <c r="R4254" s="54"/>
      <c r="W4254" s="23"/>
      <c r="X4254" s="23"/>
      <c r="Y4254" s="23"/>
      <c r="Z4254" s="43"/>
      <c r="AA4254" s="23"/>
      <c r="AB4254" s="23"/>
      <c r="AC4254" s="23"/>
      <c r="AD4254" s="23"/>
      <c r="AE4254" s="23"/>
      <c r="AF4254" s="23"/>
      <c r="AG4254" s="23"/>
      <c r="AH4254" s="23"/>
      <c r="AI4254" s="23"/>
    </row>
    <row r="4255" spans="1:35">
      <c r="A4255" s="23"/>
      <c r="B4255" s="42"/>
      <c r="G4255" s="43"/>
      <c r="H4255" s="44"/>
      <c r="L4255" s="42"/>
      <c r="M4255" s="42"/>
      <c r="N4255" s="25"/>
      <c r="O4255" s="54"/>
      <c r="P4255"/>
      <c r="Q4255" s="25"/>
      <c r="R4255" s="54"/>
      <c r="W4255" s="23"/>
      <c r="X4255" s="23"/>
      <c r="Y4255" s="23"/>
      <c r="Z4255" s="43"/>
      <c r="AA4255" s="23"/>
      <c r="AB4255" s="23"/>
      <c r="AC4255" s="23"/>
      <c r="AD4255" s="23"/>
      <c r="AE4255" s="23"/>
      <c r="AF4255" s="23"/>
      <c r="AG4255" s="23"/>
      <c r="AH4255" s="23"/>
      <c r="AI4255" s="23"/>
    </row>
    <row r="4256" spans="1:35">
      <c r="A4256" s="23"/>
      <c r="B4256" s="42"/>
      <c r="C4256" s="49"/>
      <c r="E4256" s="49"/>
      <c r="G4256" s="43"/>
      <c r="H4256" s="44"/>
      <c r="L4256" s="42"/>
      <c r="M4256" s="42"/>
      <c r="N4256" s="25"/>
      <c r="O4256" s="54"/>
      <c r="P4256"/>
      <c r="Q4256" s="25"/>
      <c r="R4256" s="54"/>
      <c r="W4256" s="23"/>
      <c r="X4256" s="23"/>
      <c r="Y4256" s="23"/>
      <c r="Z4256" s="43"/>
      <c r="AA4256" s="23"/>
      <c r="AB4256" s="23"/>
      <c r="AC4256" s="23"/>
      <c r="AD4256" s="23"/>
      <c r="AE4256" s="23"/>
      <c r="AF4256" s="23"/>
      <c r="AG4256" s="23"/>
      <c r="AH4256" s="23"/>
      <c r="AI4256" s="49"/>
    </row>
    <row r="4257" spans="1:35">
      <c r="A4257" s="23"/>
      <c r="B4257" s="42"/>
      <c r="C4257" s="49"/>
      <c r="E4257" s="49"/>
      <c r="G4257" s="43"/>
      <c r="H4257" s="44"/>
      <c r="L4257" s="42"/>
      <c r="M4257" s="42"/>
      <c r="N4257" s="25"/>
      <c r="O4257" s="54"/>
      <c r="P4257"/>
      <c r="Q4257" s="25"/>
      <c r="R4257" s="54"/>
      <c r="W4257" s="23"/>
      <c r="X4257" s="23"/>
      <c r="Y4257" s="23"/>
      <c r="Z4257" s="43"/>
      <c r="AA4257" s="23"/>
      <c r="AB4257" s="23"/>
      <c r="AC4257" s="23"/>
      <c r="AD4257" s="23"/>
      <c r="AE4257" s="23"/>
      <c r="AF4257" s="23"/>
      <c r="AG4257" s="23"/>
      <c r="AH4257" s="23"/>
      <c r="AI4257" s="49"/>
    </row>
    <row r="4258" spans="1:35">
      <c r="A4258" s="23"/>
      <c r="B4258" s="42"/>
      <c r="C4258" s="49"/>
      <c r="E4258" s="49"/>
      <c r="G4258" s="43"/>
      <c r="H4258" s="44"/>
      <c r="L4258" s="42"/>
      <c r="M4258" s="42"/>
      <c r="N4258" s="25"/>
      <c r="O4258" s="54"/>
      <c r="P4258"/>
      <c r="Q4258" s="25"/>
      <c r="R4258" s="54"/>
      <c r="W4258" s="23"/>
      <c r="X4258" s="23"/>
      <c r="Y4258" s="23"/>
      <c r="Z4258" s="43"/>
      <c r="AA4258" s="23"/>
      <c r="AB4258" s="23"/>
      <c r="AC4258" s="23"/>
      <c r="AD4258" s="23"/>
      <c r="AE4258" s="23"/>
      <c r="AF4258" s="23"/>
      <c r="AG4258" s="23"/>
      <c r="AH4258" s="23"/>
      <c r="AI4258" s="49"/>
    </row>
    <row r="4259" spans="1:35">
      <c r="A4259" s="23"/>
      <c r="B4259" s="42"/>
      <c r="G4259" s="43"/>
      <c r="H4259" s="44"/>
      <c r="L4259" s="42"/>
      <c r="M4259" s="42"/>
      <c r="N4259" s="25"/>
      <c r="O4259" s="54"/>
      <c r="P4259"/>
      <c r="Q4259" s="25"/>
      <c r="R4259" s="54"/>
      <c r="W4259" s="23"/>
      <c r="X4259" s="23"/>
      <c r="Y4259" s="23"/>
      <c r="Z4259" s="43"/>
      <c r="AA4259" s="23"/>
      <c r="AB4259" s="23"/>
      <c r="AC4259" s="23"/>
      <c r="AD4259" s="23"/>
      <c r="AE4259" s="23"/>
      <c r="AF4259" s="23"/>
      <c r="AG4259" s="23"/>
      <c r="AH4259" s="23"/>
      <c r="AI4259" s="23"/>
    </row>
    <row r="4260" spans="1:35">
      <c r="A4260" s="23"/>
      <c r="B4260" s="42"/>
      <c r="G4260" s="43"/>
      <c r="H4260" s="44"/>
      <c r="L4260" s="42"/>
      <c r="M4260" s="42"/>
      <c r="N4260" s="25"/>
      <c r="O4260" s="54"/>
      <c r="P4260"/>
      <c r="Q4260" s="25"/>
      <c r="R4260" s="54"/>
      <c r="W4260" s="23"/>
      <c r="X4260" s="23"/>
      <c r="Y4260" s="23"/>
      <c r="Z4260" s="43"/>
      <c r="AA4260" s="23"/>
      <c r="AB4260" s="23"/>
      <c r="AC4260" s="23"/>
      <c r="AD4260" s="23"/>
      <c r="AE4260" s="23"/>
      <c r="AF4260" s="23"/>
      <c r="AG4260" s="23"/>
      <c r="AH4260" s="23"/>
      <c r="AI4260" s="23"/>
    </row>
    <row r="4261" spans="1:35">
      <c r="A4261" s="23"/>
      <c r="B4261" s="42"/>
      <c r="C4261" s="49"/>
      <c r="E4261" s="49"/>
      <c r="G4261" s="43"/>
      <c r="H4261" s="44"/>
      <c r="L4261" s="42"/>
      <c r="M4261" s="42"/>
      <c r="N4261" s="25"/>
      <c r="O4261" s="54"/>
      <c r="P4261"/>
      <c r="Q4261" s="25"/>
      <c r="R4261" s="54"/>
      <c r="W4261" s="23"/>
      <c r="X4261" s="23"/>
      <c r="Y4261" s="23"/>
      <c r="Z4261" s="43"/>
      <c r="AA4261" s="23"/>
      <c r="AB4261" s="23"/>
      <c r="AC4261" s="23"/>
      <c r="AD4261" s="23"/>
      <c r="AE4261" s="23"/>
      <c r="AF4261" s="23"/>
      <c r="AG4261" s="23"/>
      <c r="AH4261" s="23"/>
      <c r="AI4261" s="49"/>
    </row>
    <row r="4262" spans="1:35">
      <c r="A4262" s="23"/>
      <c r="B4262" s="42"/>
      <c r="G4262" s="43"/>
      <c r="H4262" s="44"/>
      <c r="L4262" s="42"/>
      <c r="M4262" s="42"/>
      <c r="N4262" s="25"/>
      <c r="O4262" s="54"/>
      <c r="P4262"/>
      <c r="Q4262" s="25"/>
      <c r="R4262" s="54"/>
      <c r="W4262" s="23"/>
      <c r="X4262" s="23"/>
      <c r="Y4262" s="23"/>
      <c r="Z4262" s="43"/>
      <c r="AA4262" s="23"/>
      <c r="AB4262" s="23"/>
      <c r="AC4262" s="23"/>
      <c r="AD4262" s="23"/>
      <c r="AE4262" s="23"/>
      <c r="AF4262" s="23"/>
      <c r="AG4262" s="23"/>
      <c r="AH4262" s="23"/>
      <c r="AI4262" s="23"/>
    </row>
    <row r="4263" spans="1:35">
      <c r="A4263" s="23"/>
      <c r="B4263" s="42"/>
      <c r="G4263" s="43"/>
      <c r="H4263" s="44"/>
      <c r="L4263" s="42"/>
      <c r="M4263" s="42"/>
      <c r="N4263" s="25"/>
      <c r="O4263" s="54"/>
      <c r="P4263"/>
      <c r="Q4263" s="25"/>
      <c r="R4263" s="54"/>
      <c r="W4263" s="23"/>
      <c r="X4263" s="23"/>
      <c r="Y4263" s="23"/>
      <c r="Z4263" s="43"/>
      <c r="AA4263" s="23"/>
      <c r="AB4263" s="23"/>
      <c r="AC4263" s="23"/>
      <c r="AD4263" s="23"/>
      <c r="AE4263" s="23"/>
      <c r="AF4263" s="23"/>
      <c r="AG4263" s="23"/>
      <c r="AH4263" s="23"/>
      <c r="AI4263" s="23"/>
    </row>
    <row r="4264" spans="1:35">
      <c r="A4264" s="23"/>
      <c r="B4264" s="42"/>
      <c r="G4264" s="43"/>
      <c r="H4264" s="44"/>
      <c r="L4264" s="42"/>
      <c r="M4264" s="42"/>
      <c r="N4264" s="25"/>
      <c r="O4264" s="54"/>
      <c r="P4264"/>
      <c r="Q4264" s="25"/>
      <c r="R4264" s="54"/>
      <c r="W4264" s="23"/>
      <c r="X4264" s="23"/>
      <c r="Y4264" s="23"/>
      <c r="Z4264" s="43"/>
      <c r="AA4264" s="23"/>
      <c r="AB4264" s="23"/>
      <c r="AC4264" s="23"/>
      <c r="AD4264" s="23"/>
      <c r="AE4264" s="23"/>
      <c r="AF4264" s="23"/>
      <c r="AG4264" s="23"/>
      <c r="AH4264" s="23"/>
      <c r="AI4264" s="23"/>
    </row>
    <row r="4265" spans="1:35">
      <c r="A4265" s="23"/>
      <c r="B4265" s="42"/>
      <c r="C4265" s="49"/>
      <c r="E4265" s="49"/>
      <c r="G4265" s="43"/>
      <c r="H4265" s="44"/>
      <c r="L4265" s="42"/>
      <c r="M4265" s="42"/>
      <c r="N4265" s="25"/>
      <c r="O4265" s="54"/>
      <c r="P4265"/>
      <c r="Q4265" s="25"/>
      <c r="R4265" s="54"/>
      <c r="W4265" s="23"/>
      <c r="X4265" s="23"/>
      <c r="Y4265" s="23"/>
      <c r="Z4265" s="43"/>
      <c r="AA4265" s="23"/>
      <c r="AB4265" s="23"/>
      <c r="AC4265" s="23"/>
      <c r="AD4265" s="23"/>
      <c r="AE4265" s="23"/>
      <c r="AF4265" s="23"/>
      <c r="AG4265" s="23"/>
      <c r="AH4265" s="23"/>
      <c r="AI4265" s="49"/>
    </row>
    <row r="4266" spans="1:35">
      <c r="A4266" s="23"/>
      <c r="B4266" s="42"/>
      <c r="C4266" s="49"/>
      <c r="E4266" s="49"/>
      <c r="G4266" s="43"/>
      <c r="H4266" s="44"/>
      <c r="L4266" s="42"/>
      <c r="M4266" s="42"/>
      <c r="N4266" s="25"/>
      <c r="O4266" s="54"/>
      <c r="P4266"/>
      <c r="Q4266" s="25"/>
      <c r="R4266" s="54"/>
      <c r="W4266" s="23"/>
      <c r="X4266" s="23"/>
      <c r="Y4266" s="23"/>
      <c r="Z4266" s="43"/>
      <c r="AA4266" s="23"/>
      <c r="AB4266" s="23"/>
      <c r="AC4266" s="23"/>
      <c r="AD4266" s="23"/>
      <c r="AE4266" s="23"/>
      <c r="AF4266" s="23"/>
      <c r="AG4266" s="23"/>
      <c r="AH4266" s="23"/>
      <c r="AI4266" s="49"/>
    </row>
    <row r="4267" spans="1:35">
      <c r="A4267" s="23"/>
      <c r="B4267" s="42"/>
      <c r="C4267" s="49"/>
      <c r="E4267" s="49"/>
      <c r="G4267" s="43"/>
      <c r="H4267" s="44"/>
      <c r="L4267" s="42"/>
      <c r="M4267" s="42"/>
      <c r="N4267" s="25"/>
      <c r="O4267" s="54"/>
      <c r="P4267"/>
      <c r="Q4267" s="25"/>
      <c r="R4267" s="54"/>
      <c r="W4267" s="23"/>
      <c r="X4267" s="23"/>
      <c r="Y4267" s="23"/>
      <c r="Z4267" s="43"/>
      <c r="AA4267" s="23"/>
      <c r="AB4267" s="23"/>
      <c r="AC4267" s="23"/>
      <c r="AD4267" s="23"/>
      <c r="AE4267" s="23"/>
      <c r="AF4267" s="23"/>
      <c r="AG4267" s="23"/>
      <c r="AH4267" s="23"/>
      <c r="AI4267" s="49"/>
    </row>
    <row r="4268" spans="1:35">
      <c r="A4268" s="23"/>
      <c r="B4268" s="42"/>
      <c r="C4268" s="49"/>
      <c r="E4268" s="49"/>
      <c r="G4268" s="43"/>
      <c r="H4268" s="44"/>
      <c r="L4268" s="42"/>
      <c r="M4268" s="42"/>
      <c r="N4268" s="25"/>
      <c r="O4268" s="54"/>
      <c r="P4268"/>
      <c r="Q4268" s="25"/>
      <c r="R4268" s="54"/>
      <c r="W4268" s="23"/>
      <c r="X4268" s="23"/>
      <c r="Y4268" s="23"/>
      <c r="Z4268" s="43"/>
      <c r="AA4268" s="23"/>
      <c r="AB4268" s="23"/>
      <c r="AC4268" s="23"/>
      <c r="AD4268" s="23"/>
      <c r="AE4268" s="23"/>
      <c r="AF4268" s="23"/>
      <c r="AG4268" s="23"/>
      <c r="AH4268" s="23"/>
      <c r="AI4268" s="49"/>
    </row>
    <row r="4269" spans="1:35">
      <c r="A4269" s="23"/>
      <c r="B4269" s="42"/>
      <c r="G4269" s="43"/>
      <c r="H4269" s="44"/>
      <c r="L4269" s="42"/>
      <c r="M4269" s="42"/>
      <c r="N4269" s="25"/>
      <c r="O4269" s="54"/>
      <c r="P4269"/>
      <c r="Q4269" s="25"/>
      <c r="R4269" s="54"/>
      <c r="W4269" s="23"/>
      <c r="X4269" s="23"/>
      <c r="Y4269" s="23"/>
      <c r="Z4269" s="43"/>
      <c r="AA4269" s="23"/>
      <c r="AB4269" s="23"/>
      <c r="AC4269" s="23"/>
      <c r="AD4269" s="23"/>
      <c r="AE4269" s="23"/>
      <c r="AF4269" s="23"/>
      <c r="AG4269" s="23"/>
      <c r="AH4269" s="23"/>
      <c r="AI4269" s="23"/>
    </row>
    <row r="4270" spans="1:35">
      <c r="A4270" s="23"/>
      <c r="B4270" s="42"/>
      <c r="C4270" s="49"/>
      <c r="E4270" s="49"/>
      <c r="G4270" s="43"/>
      <c r="H4270" s="44"/>
      <c r="L4270" s="42"/>
      <c r="M4270" s="42"/>
      <c r="N4270" s="25"/>
      <c r="O4270" s="54"/>
      <c r="P4270"/>
      <c r="Q4270" s="25"/>
      <c r="R4270" s="54"/>
      <c r="W4270" s="23"/>
      <c r="X4270" s="23"/>
      <c r="Y4270" s="23"/>
      <c r="Z4270" s="43"/>
      <c r="AA4270" s="23"/>
      <c r="AB4270" s="23"/>
      <c r="AC4270" s="23"/>
      <c r="AD4270" s="23"/>
      <c r="AE4270" s="23"/>
      <c r="AF4270" s="23"/>
      <c r="AG4270" s="23"/>
      <c r="AH4270" s="23"/>
      <c r="AI4270" s="49"/>
    </row>
    <row r="4271" spans="1:35">
      <c r="A4271" s="23"/>
      <c r="B4271" s="42"/>
      <c r="C4271" s="49"/>
      <c r="E4271" s="49"/>
      <c r="G4271" s="43"/>
      <c r="H4271" s="44"/>
      <c r="L4271" s="42"/>
      <c r="M4271" s="42"/>
      <c r="N4271" s="25"/>
      <c r="O4271" s="54"/>
      <c r="P4271"/>
      <c r="Q4271" s="25"/>
      <c r="R4271" s="54"/>
      <c r="W4271" s="23"/>
      <c r="X4271" s="23"/>
      <c r="Y4271" s="23"/>
      <c r="Z4271" s="43"/>
      <c r="AA4271" s="23"/>
      <c r="AB4271" s="23"/>
      <c r="AC4271" s="23"/>
      <c r="AD4271" s="23"/>
      <c r="AE4271" s="23"/>
      <c r="AF4271" s="23"/>
      <c r="AG4271" s="23"/>
      <c r="AH4271" s="23"/>
      <c r="AI4271" s="49"/>
    </row>
    <row r="4272" spans="1:35">
      <c r="A4272" s="23"/>
      <c r="B4272" s="42"/>
      <c r="G4272" s="43"/>
      <c r="H4272" s="44"/>
      <c r="L4272" s="42"/>
      <c r="M4272" s="42"/>
      <c r="N4272" s="25"/>
      <c r="O4272" s="54"/>
      <c r="P4272"/>
      <c r="Q4272" s="25"/>
      <c r="R4272" s="54"/>
      <c r="W4272" s="23"/>
      <c r="X4272" s="23"/>
      <c r="Y4272" s="23"/>
      <c r="Z4272" s="43"/>
      <c r="AA4272" s="23"/>
      <c r="AB4272" s="23"/>
      <c r="AC4272" s="23"/>
      <c r="AD4272" s="23"/>
      <c r="AE4272" s="23"/>
      <c r="AF4272" s="23"/>
      <c r="AG4272" s="23"/>
      <c r="AH4272" s="23"/>
      <c r="AI4272" s="23"/>
    </row>
    <row r="4273" spans="1:35">
      <c r="A4273" s="23"/>
      <c r="B4273" s="42"/>
      <c r="C4273" s="49"/>
      <c r="E4273" s="49"/>
      <c r="G4273" s="43"/>
      <c r="H4273" s="44"/>
      <c r="L4273" s="42"/>
      <c r="M4273" s="42"/>
      <c r="N4273" s="25"/>
      <c r="O4273" s="54"/>
      <c r="P4273"/>
      <c r="Q4273" s="25"/>
      <c r="R4273" s="54"/>
      <c r="W4273" s="23"/>
      <c r="X4273" s="23"/>
      <c r="Y4273" s="23"/>
      <c r="Z4273" s="43"/>
      <c r="AA4273" s="23"/>
      <c r="AB4273" s="23"/>
      <c r="AC4273" s="23"/>
      <c r="AD4273" s="23"/>
      <c r="AE4273" s="23"/>
      <c r="AF4273" s="23"/>
      <c r="AG4273" s="23"/>
      <c r="AH4273" s="23"/>
      <c r="AI4273" s="49"/>
    </row>
    <row r="4274" spans="1:35">
      <c r="A4274" s="23"/>
      <c r="B4274" s="42"/>
      <c r="G4274" s="43"/>
      <c r="H4274" s="44"/>
      <c r="L4274" s="42"/>
      <c r="M4274" s="42"/>
      <c r="N4274" s="25"/>
      <c r="O4274" s="54"/>
      <c r="P4274"/>
      <c r="Q4274" s="25"/>
      <c r="R4274" s="54"/>
      <c r="W4274" s="23"/>
      <c r="X4274" s="23"/>
      <c r="Y4274" s="23"/>
      <c r="Z4274" s="43"/>
      <c r="AA4274" s="23"/>
      <c r="AB4274" s="23"/>
      <c r="AC4274" s="23"/>
      <c r="AD4274" s="23"/>
      <c r="AE4274" s="23"/>
      <c r="AF4274" s="23"/>
      <c r="AG4274" s="23"/>
      <c r="AH4274" s="23"/>
      <c r="AI4274" s="23"/>
    </row>
    <row r="4275" spans="1:35">
      <c r="A4275" s="23"/>
      <c r="B4275" s="42"/>
      <c r="G4275" s="43"/>
      <c r="H4275" s="44"/>
      <c r="L4275" s="42"/>
      <c r="M4275" s="42"/>
      <c r="N4275" s="25"/>
      <c r="O4275" s="54"/>
      <c r="P4275"/>
      <c r="Q4275" s="25"/>
      <c r="R4275" s="54"/>
      <c r="W4275" s="23"/>
      <c r="X4275" s="23"/>
      <c r="Y4275" s="23"/>
      <c r="Z4275" s="43"/>
      <c r="AA4275" s="23"/>
      <c r="AB4275" s="23"/>
      <c r="AC4275" s="23"/>
      <c r="AD4275" s="23"/>
      <c r="AE4275" s="23"/>
      <c r="AF4275" s="23"/>
      <c r="AG4275" s="23"/>
      <c r="AH4275" s="23"/>
      <c r="AI4275" s="23"/>
    </row>
    <row r="4276" spans="1:35">
      <c r="A4276" s="23"/>
      <c r="B4276" s="42"/>
      <c r="G4276" s="43"/>
      <c r="H4276" s="44"/>
      <c r="L4276" s="42"/>
      <c r="M4276" s="42"/>
      <c r="N4276" s="25"/>
      <c r="O4276" s="54"/>
      <c r="P4276"/>
      <c r="Q4276" s="25"/>
      <c r="R4276" s="54"/>
      <c r="W4276" s="23"/>
      <c r="X4276" s="23"/>
      <c r="Y4276" s="23"/>
      <c r="Z4276" s="43"/>
      <c r="AA4276" s="23"/>
      <c r="AB4276" s="23"/>
      <c r="AC4276" s="23"/>
      <c r="AD4276" s="23"/>
      <c r="AE4276" s="23"/>
      <c r="AF4276" s="23"/>
      <c r="AG4276" s="23"/>
      <c r="AH4276" s="23"/>
      <c r="AI4276" s="23"/>
    </row>
    <row r="4277" spans="1:35">
      <c r="A4277" s="23"/>
      <c r="B4277" s="42"/>
      <c r="C4277" s="49"/>
      <c r="E4277" s="49"/>
      <c r="G4277" s="43"/>
      <c r="H4277" s="44"/>
      <c r="L4277" s="42"/>
      <c r="M4277" s="42"/>
      <c r="N4277" s="25"/>
      <c r="O4277" s="54"/>
      <c r="P4277"/>
      <c r="Q4277" s="25"/>
      <c r="R4277" s="54"/>
      <c r="W4277" s="23"/>
      <c r="X4277" s="23"/>
      <c r="Y4277" s="23"/>
      <c r="Z4277" s="43"/>
      <c r="AA4277" s="23"/>
      <c r="AB4277" s="23"/>
      <c r="AC4277" s="23"/>
      <c r="AD4277" s="23"/>
      <c r="AE4277" s="23"/>
      <c r="AF4277" s="23"/>
      <c r="AG4277" s="23"/>
      <c r="AH4277" s="23"/>
      <c r="AI4277" s="49"/>
    </row>
    <row r="4278" spans="1:35">
      <c r="A4278" s="23"/>
      <c r="B4278" s="42"/>
      <c r="G4278" s="43"/>
      <c r="H4278" s="44"/>
      <c r="L4278" s="42"/>
      <c r="M4278" s="42"/>
      <c r="N4278" s="25"/>
      <c r="O4278" s="54"/>
      <c r="P4278"/>
      <c r="Q4278" s="25"/>
      <c r="R4278" s="54"/>
      <c r="W4278" s="23"/>
      <c r="X4278" s="23"/>
      <c r="Y4278" s="23"/>
      <c r="Z4278" s="43"/>
      <c r="AA4278" s="23"/>
      <c r="AB4278" s="23"/>
      <c r="AC4278" s="23"/>
      <c r="AD4278" s="23"/>
      <c r="AE4278" s="23"/>
      <c r="AF4278" s="23"/>
      <c r="AG4278" s="23"/>
      <c r="AH4278" s="23"/>
      <c r="AI4278" s="23"/>
    </row>
    <row r="4279" spans="1:35">
      <c r="A4279" s="23"/>
      <c r="B4279" s="42"/>
      <c r="G4279" s="43"/>
      <c r="H4279" s="44"/>
      <c r="L4279" s="42"/>
      <c r="M4279" s="42"/>
      <c r="N4279" s="25"/>
      <c r="O4279" s="54"/>
      <c r="P4279"/>
      <c r="Q4279" s="25"/>
      <c r="R4279" s="54"/>
      <c r="W4279" s="23"/>
      <c r="X4279" s="23"/>
      <c r="Y4279" s="23"/>
      <c r="Z4279" s="43"/>
      <c r="AA4279" s="23"/>
      <c r="AB4279" s="23"/>
      <c r="AC4279" s="23"/>
      <c r="AD4279" s="23"/>
      <c r="AE4279" s="23"/>
      <c r="AF4279" s="23"/>
      <c r="AG4279" s="23"/>
      <c r="AH4279" s="23"/>
      <c r="AI4279" s="23"/>
    </row>
    <row r="4280" spans="1:35">
      <c r="A4280" s="23"/>
      <c r="B4280" s="42"/>
      <c r="G4280" s="43"/>
      <c r="H4280" s="44"/>
      <c r="L4280" s="42"/>
      <c r="M4280" s="42"/>
      <c r="N4280" s="25"/>
      <c r="O4280" s="54"/>
      <c r="P4280"/>
      <c r="Q4280" s="25"/>
      <c r="R4280" s="54"/>
      <c r="W4280" s="23"/>
      <c r="X4280" s="23"/>
      <c r="Y4280" s="23"/>
      <c r="Z4280" s="43"/>
      <c r="AA4280" s="23"/>
      <c r="AB4280" s="23"/>
      <c r="AC4280" s="23"/>
      <c r="AD4280" s="23"/>
      <c r="AE4280" s="23"/>
      <c r="AF4280" s="23"/>
      <c r="AG4280" s="23"/>
      <c r="AH4280" s="23"/>
      <c r="AI4280" s="23"/>
    </row>
    <row r="4281" spans="1:35">
      <c r="A4281" s="23"/>
      <c r="B4281" s="42"/>
      <c r="G4281" s="43"/>
      <c r="H4281" s="44"/>
      <c r="L4281" s="42"/>
      <c r="M4281" s="42"/>
      <c r="N4281" s="25"/>
      <c r="O4281" s="54"/>
      <c r="P4281"/>
      <c r="Q4281" s="25"/>
      <c r="R4281" s="54"/>
      <c r="W4281" s="23"/>
      <c r="X4281" s="23"/>
      <c r="Y4281" s="23"/>
      <c r="Z4281" s="43"/>
      <c r="AA4281" s="23"/>
      <c r="AB4281" s="23"/>
      <c r="AC4281" s="23"/>
      <c r="AD4281" s="23"/>
      <c r="AE4281" s="23"/>
      <c r="AF4281" s="23"/>
      <c r="AG4281" s="23"/>
      <c r="AH4281" s="23"/>
      <c r="AI4281" s="23"/>
    </row>
    <row r="4282" spans="1:35">
      <c r="A4282" s="23"/>
      <c r="B4282" s="42"/>
      <c r="C4282" s="49"/>
      <c r="E4282" s="49"/>
      <c r="G4282" s="43"/>
      <c r="H4282" s="44"/>
      <c r="L4282" s="42"/>
      <c r="M4282" s="42"/>
      <c r="N4282" s="25"/>
      <c r="O4282" s="54"/>
      <c r="P4282"/>
      <c r="Q4282" s="25"/>
      <c r="R4282" s="54"/>
      <c r="W4282" s="23"/>
      <c r="X4282" s="23"/>
      <c r="Y4282" s="23"/>
      <c r="Z4282" s="43"/>
      <c r="AA4282" s="23"/>
      <c r="AB4282" s="23"/>
      <c r="AC4282" s="23"/>
      <c r="AD4282" s="23"/>
      <c r="AE4282" s="23"/>
      <c r="AF4282" s="23"/>
      <c r="AG4282" s="23"/>
      <c r="AH4282" s="23"/>
      <c r="AI4282" s="49"/>
    </row>
    <row r="4283" spans="1:35">
      <c r="A4283" s="23"/>
      <c r="B4283" s="42"/>
      <c r="G4283" s="43"/>
      <c r="H4283" s="44"/>
      <c r="L4283" s="42"/>
      <c r="M4283" s="42"/>
      <c r="N4283" s="25"/>
      <c r="O4283" s="54"/>
      <c r="P4283"/>
      <c r="Q4283" s="25"/>
      <c r="R4283" s="54"/>
      <c r="W4283" s="23"/>
      <c r="X4283" s="23"/>
      <c r="Y4283" s="23"/>
      <c r="Z4283" s="43"/>
      <c r="AA4283" s="23"/>
      <c r="AB4283" s="23"/>
      <c r="AC4283" s="23"/>
      <c r="AD4283" s="23"/>
      <c r="AE4283" s="23"/>
      <c r="AF4283" s="23"/>
      <c r="AG4283" s="23"/>
      <c r="AH4283" s="23"/>
      <c r="AI4283" s="23"/>
    </row>
    <row r="4284" spans="1:35">
      <c r="A4284" s="23"/>
      <c r="B4284" s="42"/>
      <c r="G4284" s="43"/>
      <c r="H4284" s="44"/>
      <c r="L4284" s="42"/>
      <c r="M4284" s="42"/>
      <c r="N4284" s="25"/>
      <c r="O4284" s="54"/>
      <c r="P4284"/>
      <c r="Q4284" s="25"/>
      <c r="R4284" s="54"/>
      <c r="W4284" s="23"/>
      <c r="X4284" s="23"/>
      <c r="Y4284" s="23"/>
      <c r="Z4284" s="43"/>
      <c r="AA4284" s="23"/>
      <c r="AB4284" s="23"/>
      <c r="AC4284" s="23"/>
      <c r="AD4284" s="23"/>
      <c r="AE4284" s="23"/>
      <c r="AF4284" s="23"/>
      <c r="AG4284" s="23"/>
      <c r="AH4284" s="23"/>
      <c r="AI4284" s="23"/>
    </row>
    <row r="4285" spans="1:35">
      <c r="A4285" s="23"/>
      <c r="B4285" s="42"/>
      <c r="C4285" s="49"/>
      <c r="E4285" s="49"/>
      <c r="G4285" s="43"/>
      <c r="H4285" s="44"/>
      <c r="L4285" s="42"/>
      <c r="M4285" s="42"/>
      <c r="N4285" s="25"/>
      <c r="O4285" s="54"/>
      <c r="P4285"/>
      <c r="Q4285" s="25"/>
      <c r="R4285" s="54"/>
      <c r="W4285" s="23"/>
      <c r="X4285" s="23"/>
      <c r="Y4285" s="23"/>
      <c r="Z4285" s="43"/>
      <c r="AA4285" s="23"/>
      <c r="AB4285" s="23"/>
      <c r="AC4285" s="23"/>
      <c r="AD4285" s="23"/>
      <c r="AE4285" s="23"/>
      <c r="AF4285" s="23"/>
      <c r="AG4285" s="23"/>
      <c r="AH4285" s="23"/>
      <c r="AI4285" s="50"/>
    </row>
    <row r="4286" spans="1:35">
      <c r="A4286" s="23"/>
      <c r="B4286" s="42"/>
      <c r="G4286" s="43"/>
      <c r="H4286" s="44"/>
      <c r="L4286" s="42"/>
      <c r="M4286" s="42"/>
      <c r="N4286" s="25"/>
      <c r="O4286" s="54"/>
      <c r="P4286"/>
      <c r="Q4286" s="25"/>
      <c r="R4286" s="54"/>
      <c r="W4286" s="23"/>
      <c r="X4286" s="23"/>
      <c r="Y4286" s="23"/>
      <c r="Z4286" s="43"/>
      <c r="AA4286" s="23"/>
      <c r="AB4286" s="23"/>
      <c r="AC4286" s="23"/>
      <c r="AD4286" s="23"/>
      <c r="AE4286" s="23"/>
      <c r="AF4286" s="23"/>
      <c r="AG4286" s="23"/>
      <c r="AH4286" s="23"/>
      <c r="AI4286" s="23"/>
    </row>
    <row r="4287" spans="1:35">
      <c r="A4287" s="23"/>
      <c r="B4287" s="42"/>
      <c r="G4287" s="43"/>
      <c r="H4287" s="44"/>
      <c r="L4287" s="42"/>
      <c r="M4287" s="42"/>
      <c r="N4287" s="25"/>
      <c r="O4287" s="54"/>
      <c r="P4287"/>
      <c r="Q4287" s="25"/>
      <c r="R4287" s="54"/>
      <c r="W4287" s="23"/>
      <c r="X4287" s="23"/>
      <c r="Y4287" s="23"/>
      <c r="Z4287" s="43"/>
      <c r="AA4287" s="23"/>
      <c r="AB4287" s="23"/>
      <c r="AC4287" s="23"/>
      <c r="AD4287" s="23"/>
      <c r="AE4287" s="23"/>
      <c r="AF4287" s="23"/>
      <c r="AG4287" s="23"/>
      <c r="AH4287" s="23"/>
      <c r="AI4287" s="23"/>
    </row>
    <row r="4288" spans="1:35">
      <c r="A4288" s="23"/>
      <c r="B4288" s="42"/>
      <c r="G4288" s="43"/>
      <c r="H4288" s="44"/>
      <c r="L4288" s="42"/>
      <c r="M4288" s="42"/>
      <c r="N4288" s="25"/>
      <c r="O4288" s="54"/>
      <c r="P4288"/>
      <c r="Q4288" s="25"/>
      <c r="R4288" s="54"/>
      <c r="W4288" s="23"/>
      <c r="X4288" s="23"/>
      <c r="Y4288" s="23"/>
      <c r="Z4288" s="43"/>
      <c r="AA4288" s="23"/>
      <c r="AB4288" s="23"/>
      <c r="AC4288" s="23"/>
      <c r="AD4288" s="23"/>
      <c r="AE4288" s="23"/>
      <c r="AF4288" s="23"/>
      <c r="AG4288" s="23"/>
      <c r="AH4288" s="23"/>
      <c r="AI4288" s="23"/>
    </row>
    <row r="4289" spans="1:35">
      <c r="A4289" s="23"/>
      <c r="B4289" s="42"/>
      <c r="G4289" s="43"/>
      <c r="H4289" s="44"/>
      <c r="L4289" s="42"/>
      <c r="M4289" s="42"/>
      <c r="N4289" s="25"/>
      <c r="O4289" s="54"/>
      <c r="P4289"/>
      <c r="Q4289" s="25"/>
      <c r="R4289" s="54"/>
      <c r="W4289" s="23"/>
      <c r="X4289" s="23"/>
      <c r="Y4289" s="23"/>
      <c r="Z4289" s="43"/>
      <c r="AA4289" s="23"/>
      <c r="AB4289" s="23"/>
      <c r="AC4289" s="23"/>
      <c r="AD4289" s="23"/>
      <c r="AE4289" s="23"/>
      <c r="AF4289" s="23"/>
      <c r="AG4289" s="23"/>
      <c r="AH4289" s="23"/>
      <c r="AI4289" s="23"/>
    </row>
    <row r="4290" spans="1:35">
      <c r="A4290" s="23"/>
      <c r="B4290" s="42"/>
      <c r="G4290" s="43"/>
      <c r="H4290" s="44"/>
      <c r="L4290" s="42"/>
      <c r="M4290" s="42"/>
      <c r="N4290" s="25"/>
      <c r="O4290" s="54"/>
      <c r="P4290"/>
      <c r="Q4290" s="25"/>
      <c r="R4290" s="54"/>
      <c r="W4290" s="23"/>
      <c r="X4290" s="23"/>
      <c r="Y4290" s="23"/>
      <c r="Z4290" s="43"/>
      <c r="AA4290" s="23"/>
      <c r="AB4290" s="23"/>
      <c r="AC4290" s="23"/>
      <c r="AD4290" s="23"/>
      <c r="AE4290" s="23"/>
      <c r="AF4290" s="23"/>
      <c r="AG4290" s="23"/>
      <c r="AH4290" s="23"/>
      <c r="AI4290" s="23"/>
    </row>
    <row r="4291" spans="1:35">
      <c r="A4291" s="23"/>
      <c r="B4291" s="42"/>
      <c r="G4291" s="43"/>
      <c r="H4291" s="44"/>
      <c r="L4291" s="42"/>
      <c r="M4291" s="42"/>
      <c r="N4291" s="25"/>
      <c r="O4291" s="54"/>
      <c r="P4291"/>
      <c r="Q4291" s="25"/>
      <c r="R4291" s="54"/>
      <c r="W4291" s="23"/>
      <c r="X4291" s="23"/>
      <c r="Y4291" s="23"/>
      <c r="Z4291" s="43"/>
      <c r="AA4291" s="23"/>
      <c r="AB4291" s="23"/>
      <c r="AC4291" s="23"/>
      <c r="AD4291" s="23"/>
      <c r="AE4291" s="23"/>
      <c r="AF4291" s="23"/>
      <c r="AG4291" s="23"/>
      <c r="AH4291" s="23"/>
      <c r="AI4291" s="23"/>
    </row>
    <row r="4292" spans="1:35">
      <c r="A4292" s="23"/>
      <c r="B4292" s="42"/>
      <c r="G4292" s="43"/>
      <c r="H4292" s="44"/>
      <c r="L4292" s="42"/>
      <c r="M4292" s="42"/>
      <c r="N4292" s="25"/>
      <c r="O4292" s="54"/>
      <c r="P4292"/>
      <c r="Q4292" s="25"/>
      <c r="R4292" s="54"/>
      <c r="W4292" s="23"/>
      <c r="X4292" s="23"/>
      <c r="Y4292" s="23"/>
      <c r="Z4292" s="43"/>
      <c r="AA4292" s="23"/>
      <c r="AB4292" s="23"/>
      <c r="AC4292" s="23"/>
      <c r="AD4292" s="23"/>
      <c r="AE4292" s="23"/>
      <c r="AF4292" s="23"/>
      <c r="AG4292" s="23"/>
      <c r="AH4292" s="23"/>
      <c r="AI4292" s="23"/>
    </row>
    <row r="4293" spans="1:35">
      <c r="A4293" s="23"/>
      <c r="B4293" s="42"/>
      <c r="G4293" s="43"/>
      <c r="H4293" s="44"/>
      <c r="L4293" s="42"/>
      <c r="M4293" s="42"/>
      <c r="N4293" s="25"/>
      <c r="O4293" s="54"/>
      <c r="P4293"/>
      <c r="Q4293" s="25"/>
      <c r="R4293" s="54"/>
      <c r="W4293" s="23"/>
      <c r="X4293" s="23"/>
      <c r="Y4293" s="23"/>
      <c r="Z4293" s="43"/>
      <c r="AA4293" s="23"/>
      <c r="AB4293" s="23"/>
      <c r="AC4293" s="23"/>
      <c r="AD4293" s="23"/>
      <c r="AE4293" s="23"/>
      <c r="AF4293" s="23"/>
      <c r="AG4293" s="23"/>
      <c r="AH4293" s="23"/>
      <c r="AI4293" s="23"/>
    </row>
    <row r="4294" spans="1:35">
      <c r="A4294" s="23"/>
      <c r="B4294" s="42"/>
      <c r="G4294" s="43"/>
      <c r="H4294" s="44"/>
      <c r="L4294" s="42"/>
      <c r="M4294" s="42"/>
      <c r="N4294" s="25"/>
      <c r="O4294" s="54"/>
      <c r="P4294"/>
      <c r="Q4294" s="25"/>
      <c r="R4294" s="54"/>
      <c r="W4294" s="23"/>
      <c r="X4294" s="23"/>
      <c r="Y4294" s="23"/>
      <c r="Z4294" s="43"/>
      <c r="AA4294" s="23"/>
      <c r="AB4294" s="23"/>
      <c r="AC4294" s="23"/>
      <c r="AD4294" s="23"/>
      <c r="AE4294" s="23"/>
      <c r="AF4294" s="23"/>
      <c r="AG4294" s="23"/>
      <c r="AH4294" s="23"/>
      <c r="AI4294" s="23"/>
    </row>
    <row r="4295" spans="1:35">
      <c r="A4295" s="23"/>
      <c r="B4295" s="42"/>
      <c r="G4295" s="43"/>
      <c r="H4295" s="44"/>
      <c r="L4295" s="42"/>
      <c r="M4295" s="42"/>
      <c r="N4295" s="25"/>
      <c r="O4295" s="54"/>
      <c r="P4295"/>
      <c r="Q4295" s="25"/>
      <c r="R4295" s="54"/>
      <c r="W4295" s="23"/>
      <c r="X4295" s="23"/>
      <c r="Y4295" s="23"/>
      <c r="Z4295" s="43"/>
      <c r="AA4295" s="23"/>
      <c r="AB4295" s="23"/>
      <c r="AC4295" s="23"/>
      <c r="AD4295" s="23"/>
      <c r="AE4295" s="23"/>
      <c r="AF4295" s="23"/>
      <c r="AG4295" s="23"/>
      <c r="AH4295" s="23"/>
      <c r="AI4295" s="23"/>
    </row>
    <row r="4296" spans="1:35">
      <c r="A4296" s="23"/>
      <c r="B4296" s="42"/>
      <c r="G4296" s="43"/>
      <c r="H4296" s="44"/>
      <c r="L4296" s="42"/>
      <c r="M4296" s="42"/>
      <c r="N4296" s="25"/>
      <c r="O4296" s="54"/>
      <c r="P4296"/>
      <c r="Q4296" s="25"/>
      <c r="R4296" s="54"/>
      <c r="W4296" s="23"/>
      <c r="X4296" s="23"/>
      <c r="Y4296" s="23"/>
      <c r="Z4296" s="43"/>
      <c r="AA4296" s="23"/>
      <c r="AB4296" s="23"/>
      <c r="AC4296" s="23"/>
      <c r="AD4296" s="23"/>
      <c r="AE4296" s="23"/>
      <c r="AF4296" s="23"/>
      <c r="AG4296" s="23"/>
      <c r="AH4296" s="23"/>
      <c r="AI4296" s="23"/>
    </row>
    <row r="4297" spans="1:35">
      <c r="A4297" s="23"/>
      <c r="B4297" s="42"/>
      <c r="G4297" s="43"/>
      <c r="H4297" s="44"/>
      <c r="L4297" s="42"/>
      <c r="M4297" s="42"/>
      <c r="N4297" s="25"/>
      <c r="O4297" s="54"/>
      <c r="P4297"/>
      <c r="Q4297" s="25"/>
      <c r="R4297" s="54"/>
      <c r="W4297" s="23"/>
      <c r="X4297" s="23"/>
      <c r="Y4297" s="23"/>
      <c r="Z4297" s="43"/>
      <c r="AA4297" s="23"/>
      <c r="AB4297" s="23"/>
      <c r="AC4297" s="23"/>
      <c r="AD4297" s="23"/>
      <c r="AE4297" s="23"/>
      <c r="AF4297" s="23"/>
      <c r="AG4297" s="23"/>
      <c r="AH4297" s="23"/>
      <c r="AI4297" s="23"/>
    </row>
    <row r="4298" spans="1:35">
      <c r="A4298" s="23"/>
      <c r="B4298" s="42"/>
      <c r="G4298" s="43"/>
      <c r="H4298" s="44"/>
      <c r="L4298" s="42"/>
      <c r="M4298" s="42"/>
      <c r="N4298" s="25"/>
      <c r="O4298" s="54"/>
      <c r="P4298"/>
      <c r="Q4298" s="25"/>
      <c r="R4298" s="54"/>
      <c r="W4298" s="23"/>
      <c r="X4298" s="23"/>
      <c r="Y4298" s="23"/>
      <c r="Z4298" s="43"/>
      <c r="AA4298" s="23"/>
      <c r="AB4298" s="23"/>
      <c r="AC4298" s="23"/>
      <c r="AD4298" s="23"/>
      <c r="AE4298" s="23"/>
      <c r="AF4298" s="23"/>
      <c r="AG4298" s="23"/>
      <c r="AH4298" s="23"/>
      <c r="AI4298" s="23"/>
    </row>
    <row r="4299" spans="1:35">
      <c r="A4299" s="23"/>
      <c r="B4299" s="42"/>
      <c r="G4299" s="43"/>
      <c r="H4299" s="44"/>
      <c r="L4299" s="42"/>
      <c r="M4299" s="42"/>
      <c r="N4299" s="25"/>
      <c r="O4299" s="54"/>
      <c r="P4299"/>
      <c r="Q4299" s="25"/>
      <c r="R4299" s="54"/>
      <c r="W4299" s="23"/>
      <c r="X4299" s="23"/>
      <c r="Y4299" s="23"/>
      <c r="Z4299" s="43"/>
      <c r="AA4299" s="23"/>
      <c r="AB4299" s="23"/>
      <c r="AC4299" s="23"/>
      <c r="AD4299" s="23"/>
      <c r="AE4299" s="23"/>
      <c r="AF4299" s="23"/>
      <c r="AG4299" s="23"/>
      <c r="AH4299" s="23"/>
      <c r="AI4299" s="23"/>
    </row>
    <row r="4300" spans="1:35">
      <c r="A4300" s="23"/>
      <c r="B4300" s="42"/>
      <c r="G4300" s="43"/>
      <c r="H4300" s="44"/>
      <c r="L4300" s="42"/>
      <c r="M4300" s="42"/>
      <c r="N4300" s="25"/>
      <c r="O4300" s="54"/>
      <c r="P4300"/>
      <c r="Q4300" s="25"/>
      <c r="R4300" s="54"/>
      <c r="W4300" s="23"/>
      <c r="X4300" s="23"/>
      <c r="Y4300" s="23"/>
      <c r="Z4300" s="43"/>
      <c r="AA4300" s="23"/>
      <c r="AB4300" s="23"/>
      <c r="AC4300" s="23"/>
      <c r="AD4300" s="23"/>
      <c r="AE4300" s="23"/>
      <c r="AF4300" s="23"/>
      <c r="AG4300" s="23"/>
      <c r="AH4300" s="23"/>
      <c r="AI4300" s="23"/>
    </row>
    <row r="4301" spans="1:35">
      <c r="A4301" s="23"/>
      <c r="B4301" s="42"/>
      <c r="G4301" s="43"/>
      <c r="H4301" s="44"/>
      <c r="L4301" s="42"/>
      <c r="M4301" s="42"/>
      <c r="N4301" s="25"/>
      <c r="O4301" s="54"/>
      <c r="P4301"/>
      <c r="Q4301" s="25"/>
      <c r="R4301" s="54"/>
      <c r="W4301" s="23"/>
      <c r="X4301" s="23"/>
      <c r="Y4301" s="23"/>
      <c r="Z4301" s="43"/>
      <c r="AA4301" s="23"/>
      <c r="AB4301" s="23"/>
      <c r="AC4301" s="23"/>
      <c r="AD4301" s="23"/>
      <c r="AE4301" s="23"/>
      <c r="AF4301" s="23"/>
      <c r="AG4301" s="23"/>
      <c r="AH4301" s="23"/>
      <c r="AI4301" s="23"/>
    </row>
    <row r="4302" spans="1:35">
      <c r="A4302" s="23"/>
      <c r="B4302" s="42"/>
      <c r="G4302" s="43"/>
      <c r="H4302" s="44"/>
      <c r="L4302" s="42"/>
      <c r="M4302" s="42"/>
      <c r="N4302" s="25"/>
      <c r="O4302" s="54"/>
      <c r="P4302"/>
      <c r="Q4302" s="25"/>
      <c r="R4302" s="54"/>
      <c r="W4302" s="23"/>
      <c r="X4302" s="23"/>
      <c r="Y4302" s="23"/>
      <c r="Z4302" s="43"/>
      <c r="AA4302" s="23"/>
      <c r="AB4302" s="23"/>
      <c r="AC4302" s="23"/>
      <c r="AD4302" s="23"/>
      <c r="AE4302" s="23"/>
      <c r="AF4302" s="23"/>
      <c r="AG4302" s="23"/>
      <c r="AH4302" s="23"/>
      <c r="AI4302" s="23"/>
    </row>
    <row r="4303" spans="1:35">
      <c r="A4303" s="23"/>
      <c r="B4303" s="42"/>
      <c r="C4303" s="49"/>
      <c r="E4303" s="49"/>
      <c r="G4303" s="43"/>
      <c r="H4303" s="44"/>
      <c r="L4303" s="42"/>
      <c r="M4303" s="42"/>
      <c r="N4303" s="25"/>
      <c r="O4303" s="54"/>
      <c r="P4303"/>
      <c r="Q4303" s="25"/>
      <c r="R4303" s="54"/>
      <c r="W4303" s="23"/>
      <c r="X4303" s="23"/>
      <c r="Y4303" s="23"/>
      <c r="Z4303" s="43"/>
      <c r="AA4303" s="23"/>
      <c r="AB4303" s="23"/>
      <c r="AC4303" s="23"/>
      <c r="AD4303" s="23"/>
      <c r="AE4303" s="23"/>
      <c r="AF4303" s="23"/>
      <c r="AG4303" s="23"/>
      <c r="AH4303" s="23"/>
      <c r="AI4303" s="49"/>
    </row>
    <row r="4304" spans="1:35">
      <c r="A4304" s="23"/>
      <c r="B4304" s="42"/>
      <c r="G4304" s="43"/>
      <c r="H4304" s="44"/>
      <c r="L4304" s="42"/>
      <c r="M4304" s="42"/>
      <c r="N4304" s="25"/>
      <c r="O4304" s="54"/>
      <c r="P4304"/>
      <c r="Q4304" s="25"/>
      <c r="R4304" s="54"/>
      <c r="W4304" s="23"/>
      <c r="X4304" s="23"/>
      <c r="Y4304" s="23"/>
      <c r="Z4304" s="43"/>
      <c r="AA4304" s="23"/>
      <c r="AB4304" s="23"/>
      <c r="AC4304" s="23"/>
      <c r="AD4304" s="23"/>
      <c r="AE4304" s="23"/>
      <c r="AF4304" s="23"/>
      <c r="AG4304" s="23"/>
      <c r="AH4304" s="23"/>
      <c r="AI4304" s="23"/>
    </row>
    <row r="4305" spans="1:35">
      <c r="A4305" s="23"/>
      <c r="B4305" s="42"/>
      <c r="G4305" s="43"/>
      <c r="H4305" s="44"/>
      <c r="L4305" s="42"/>
      <c r="M4305" s="42"/>
      <c r="N4305" s="25"/>
      <c r="O4305" s="54"/>
      <c r="P4305"/>
      <c r="Q4305" s="25"/>
      <c r="R4305" s="54"/>
      <c r="W4305" s="23"/>
      <c r="X4305" s="23"/>
      <c r="Y4305" s="23"/>
      <c r="Z4305" s="43"/>
      <c r="AA4305" s="23"/>
      <c r="AB4305" s="23"/>
      <c r="AC4305" s="23"/>
      <c r="AD4305" s="23"/>
      <c r="AE4305" s="23"/>
      <c r="AF4305" s="23"/>
      <c r="AG4305" s="23"/>
      <c r="AH4305" s="23"/>
      <c r="AI4305" s="23"/>
    </row>
    <row r="4306" spans="1:35">
      <c r="A4306" s="23"/>
      <c r="B4306" s="42"/>
      <c r="G4306" s="43"/>
      <c r="H4306" s="44"/>
      <c r="L4306" s="42"/>
      <c r="M4306" s="42"/>
      <c r="N4306" s="25"/>
      <c r="O4306" s="54"/>
      <c r="P4306"/>
      <c r="Q4306" s="25"/>
      <c r="R4306" s="54"/>
      <c r="W4306" s="23"/>
      <c r="X4306" s="23"/>
      <c r="Y4306" s="23"/>
      <c r="Z4306" s="43"/>
      <c r="AA4306" s="23"/>
      <c r="AB4306" s="23"/>
      <c r="AC4306" s="23"/>
      <c r="AD4306" s="23"/>
      <c r="AE4306" s="23"/>
      <c r="AF4306" s="23"/>
      <c r="AG4306" s="23"/>
      <c r="AH4306" s="23"/>
      <c r="AI4306" s="23"/>
    </row>
    <row r="4307" spans="1:35">
      <c r="A4307" s="23"/>
      <c r="B4307" s="42"/>
      <c r="G4307" s="43"/>
      <c r="H4307" s="44"/>
      <c r="L4307" s="42"/>
      <c r="M4307" s="42"/>
      <c r="N4307" s="25"/>
      <c r="O4307" s="54"/>
      <c r="P4307"/>
      <c r="Q4307" s="25"/>
      <c r="R4307" s="54"/>
      <c r="W4307" s="23"/>
      <c r="X4307" s="23"/>
      <c r="Y4307" s="23"/>
      <c r="Z4307" s="43"/>
      <c r="AA4307" s="23"/>
      <c r="AB4307" s="23"/>
      <c r="AC4307" s="23"/>
      <c r="AD4307" s="23"/>
      <c r="AE4307" s="23"/>
      <c r="AF4307" s="23"/>
      <c r="AG4307" s="23"/>
      <c r="AH4307" s="23"/>
      <c r="AI4307" s="23"/>
    </row>
    <row r="4308" spans="1:35">
      <c r="A4308" s="23"/>
      <c r="B4308" s="42"/>
      <c r="G4308" s="43"/>
      <c r="H4308" s="44"/>
      <c r="L4308" s="42"/>
      <c r="M4308" s="42"/>
      <c r="N4308" s="25"/>
      <c r="O4308" s="54"/>
      <c r="P4308"/>
      <c r="Q4308" s="25"/>
      <c r="R4308" s="54"/>
      <c r="W4308" s="23"/>
      <c r="X4308" s="23"/>
      <c r="Y4308" s="23"/>
      <c r="Z4308" s="43"/>
      <c r="AA4308" s="23"/>
      <c r="AB4308" s="23"/>
      <c r="AC4308" s="23"/>
      <c r="AD4308" s="23"/>
      <c r="AE4308" s="23"/>
      <c r="AF4308" s="23"/>
      <c r="AG4308" s="23"/>
      <c r="AH4308" s="23"/>
      <c r="AI4308" s="23"/>
    </row>
    <row r="4309" spans="1:35">
      <c r="A4309" s="23"/>
      <c r="B4309" s="42"/>
      <c r="G4309" s="43"/>
      <c r="H4309" s="44"/>
      <c r="L4309" s="42"/>
      <c r="M4309" s="42"/>
      <c r="N4309" s="25"/>
      <c r="O4309" s="54"/>
      <c r="P4309"/>
      <c r="Q4309" s="25"/>
      <c r="R4309" s="54"/>
      <c r="W4309" s="23"/>
      <c r="X4309" s="23"/>
      <c r="Y4309" s="23"/>
      <c r="Z4309" s="43"/>
      <c r="AA4309" s="23"/>
      <c r="AB4309" s="23"/>
      <c r="AC4309" s="23"/>
      <c r="AD4309" s="23"/>
      <c r="AE4309" s="23"/>
      <c r="AF4309" s="23"/>
      <c r="AG4309" s="23"/>
      <c r="AH4309" s="23"/>
      <c r="AI4309" s="23"/>
    </row>
    <row r="4310" spans="1:35">
      <c r="A4310" s="23"/>
      <c r="B4310" s="42"/>
      <c r="G4310" s="43"/>
      <c r="H4310" s="44"/>
      <c r="L4310" s="42"/>
      <c r="M4310" s="42"/>
      <c r="N4310" s="25"/>
      <c r="O4310" s="54"/>
      <c r="P4310"/>
      <c r="Q4310" s="25"/>
      <c r="R4310" s="54"/>
      <c r="W4310" s="23"/>
      <c r="X4310" s="23"/>
      <c r="Y4310" s="23"/>
      <c r="Z4310" s="43"/>
      <c r="AA4310" s="23"/>
      <c r="AB4310" s="23"/>
      <c r="AC4310" s="23"/>
      <c r="AD4310" s="23"/>
      <c r="AE4310" s="23"/>
      <c r="AF4310" s="23"/>
      <c r="AG4310" s="23"/>
      <c r="AH4310" s="23"/>
      <c r="AI4310" s="23"/>
    </row>
    <row r="4311" spans="1:35">
      <c r="A4311" s="23"/>
      <c r="B4311" s="42"/>
      <c r="G4311" s="43"/>
      <c r="H4311" s="44"/>
      <c r="L4311" s="42"/>
      <c r="M4311" s="42"/>
      <c r="N4311" s="25"/>
      <c r="O4311" s="54"/>
      <c r="P4311"/>
      <c r="Q4311" s="25"/>
      <c r="R4311" s="54"/>
      <c r="W4311" s="23"/>
      <c r="X4311" s="23"/>
      <c r="Y4311" s="23"/>
      <c r="Z4311" s="43"/>
      <c r="AA4311" s="23"/>
      <c r="AB4311" s="23"/>
      <c r="AC4311" s="23"/>
      <c r="AD4311" s="23"/>
      <c r="AE4311" s="23"/>
      <c r="AF4311" s="23"/>
      <c r="AG4311" s="23"/>
      <c r="AH4311" s="23"/>
      <c r="AI4311" s="23"/>
    </row>
    <row r="4312" spans="1:35">
      <c r="A4312" s="23"/>
      <c r="B4312" s="42"/>
      <c r="G4312" s="43"/>
      <c r="H4312" s="44"/>
      <c r="L4312" s="42"/>
      <c r="M4312" s="42"/>
      <c r="N4312" s="25"/>
      <c r="O4312" s="54"/>
      <c r="P4312"/>
      <c r="Q4312" s="25"/>
      <c r="R4312" s="54"/>
      <c r="W4312" s="23"/>
      <c r="X4312" s="23"/>
      <c r="Y4312" s="23"/>
      <c r="Z4312" s="43"/>
      <c r="AA4312" s="23"/>
      <c r="AB4312" s="23"/>
      <c r="AC4312" s="23"/>
      <c r="AD4312" s="23"/>
      <c r="AE4312" s="23"/>
      <c r="AF4312" s="23"/>
      <c r="AG4312" s="23"/>
      <c r="AH4312" s="23"/>
      <c r="AI4312" s="23"/>
    </row>
    <row r="4313" spans="1:35">
      <c r="A4313" s="23"/>
      <c r="B4313" s="42"/>
      <c r="G4313" s="43"/>
      <c r="H4313" s="44"/>
      <c r="L4313" s="42"/>
      <c r="M4313" s="42"/>
      <c r="N4313" s="25"/>
      <c r="O4313" s="54"/>
      <c r="P4313"/>
      <c r="Q4313" s="25"/>
      <c r="R4313" s="54"/>
      <c r="W4313" s="23"/>
      <c r="X4313" s="23"/>
      <c r="Y4313" s="23"/>
      <c r="Z4313" s="43"/>
      <c r="AA4313" s="23"/>
      <c r="AB4313" s="23"/>
      <c r="AC4313" s="23"/>
      <c r="AD4313" s="23"/>
      <c r="AE4313" s="23"/>
      <c r="AF4313" s="23"/>
      <c r="AG4313" s="23"/>
      <c r="AH4313" s="23"/>
      <c r="AI4313" s="23"/>
    </row>
    <row r="4314" spans="1:35">
      <c r="A4314" s="23"/>
      <c r="B4314" s="42"/>
      <c r="G4314" s="43"/>
      <c r="H4314" s="44"/>
      <c r="L4314" s="42"/>
      <c r="M4314" s="42"/>
      <c r="N4314" s="25"/>
      <c r="O4314" s="54"/>
      <c r="P4314"/>
      <c r="Q4314" s="25"/>
      <c r="R4314" s="54"/>
      <c r="W4314" s="23"/>
      <c r="X4314" s="23"/>
      <c r="Y4314" s="23"/>
      <c r="Z4314" s="43"/>
      <c r="AA4314" s="23"/>
      <c r="AB4314" s="23"/>
      <c r="AC4314" s="23"/>
      <c r="AD4314" s="23"/>
      <c r="AE4314" s="23"/>
      <c r="AF4314" s="23"/>
      <c r="AG4314" s="23"/>
      <c r="AH4314" s="23"/>
      <c r="AI4314" s="23"/>
    </row>
    <row r="4315" spans="1:35">
      <c r="A4315" s="23"/>
      <c r="B4315" s="42"/>
      <c r="G4315" s="43"/>
      <c r="H4315" s="44"/>
      <c r="L4315" s="42"/>
      <c r="M4315" s="42"/>
      <c r="N4315" s="25"/>
      <c r="O4315" s="54"/>
      <c r="P4315"/>
      <c r="Q4315" s="25"/>
      <c r="R4315" s="54"/>
      <c r="W4315" s="23"/>
      <c r="X4315" s="23"/>
      <c r="Y4315" s="23"/>
      <c r="Z4315" s="43"/>
      <c r="AA4315" s="23"/>
      <c r="AB4315" s="23"/>
      <c r="AC4315" s="23"/>
      <c r="AD4315" s="23"/>
      <c r="AE4315" s="23"/>
      <c r="AF4315" s="23"/>
      <c r="AG4315" s="23"/>
      <c r="AH4315" s="23"/>
      <c r="AI4315" s="23"/>
    </row>
    <row r="4316" spans="1:35">
      <c r="A4316" s="23"/>
      <c r="B4316" s="42"/>
      <c r="G4316" s="43"/>
      <c r="H4316" s="44"/>
      <c r="L4316" s="42"/>
      <c r="M4316" s="42"/>
      <c r="N4316" s="25"/>
      <c r="O4316" s="54"/>
      <c r="P4316"/>
      <c r="Q4316" s="25"/>
      <c r="R4316" s="54"/>
      <c r="W4316" s="23"/>
      <c r="X4316" s="23"/>
      <c r="Y4316" s="23"/>
      <c r="Z4316" s="43"/>
      <c r="AA4316" s="23"/>
      <c r="AB4316" s="23"/>
      <c r="AC4316" s="23"/>
      <c r="AD4316" s="23"/>
      <c r="AE4316" s="23"/>
      <c r="AF4316" s="23"/>
      <c r="AG4316" s="23"/>
      <c r="AH4316" s="23"/>
      <c r="AI4316" s="23"/>
    </row>
    <row r="4317" spans="1:35">
      <c r="A4317" s="23"/>
      <c r="B4317" s="42"/>
      <c r="G4317" s="43"/>
      <c r="H4317" s="44"/>
      <c r="L4317" s="42"/>
      <c r="M4317" s="42"/>
      <c r="N4317" s="25"/>
      <c r="O4317" s="54"/>
      <c r="P4317"/>
      <c r="Q4317" s="25"/>
      <c r="R4317" s="54"/>
      <c r="W4317" s="23"/>
      <c r="X4317" s="23"/>
      <c r="Y4317" s="23"/>
      <c r="Z4317" s="43"/>
      <c r="AA4317" s="23"/>
      <c r="AB4317" s="23"/>
      <c r="AC4317" s="23"/>
      <c r="AD4317" s="23"/>
      <c r="AE4317" s="23"/>
      <c r="AF4317" s="23"/>
      <c r="AG4317" s="23"/>
      <c r="AH4317" s="23"/>
      <c r="AI4317" s="23"/>
    </row>
    <row r="4318" spans="1:35">
      <c r="A4318" s="23"/>
      <c r="B4318" s="42"/>
      <c r="G4318" s="43"/>
      <c r="H4318" s="44"/>
      <c r="L4318" s="42"/>
      <c r="M4318" s="42"/>
      <c r="N4318" s="25"/>
      <c r="O4318" s="54"/>
      <c r="P4318"/>
      <c r="Q4318" s="25"/>
      <c r="R4318" s="54"/>
      <c r="W4318" s="23"/>
      <c r="X4318" s="23"/>
      <c r="Y4318" s="23"/>
      <c r="Z4318" s="43"/>
      <c r="AA4318" s="23"/>
      <c r="AB4318" s="23"/>
      <c r="AC4318" s="23"/>
      <c r="AD4318" s="23"/>
      <c r="AE4318" s="23"/>
      <c r="AF4318" s="23"/>
      <c r="AG4318" s="23"/>
      <c r="AH4318" s="23"/>
      <c r="AI4318" s="23"/>
    </row>
    <row r="4319" spans="1:35">
      <c r="A4319" s="23"/>
      <c r="B4319" s="42"/>
      <c r="G4319" s="43"/>
      <c r="H4319" s="44"/>
      <c r="L4319" s="42"/>
      <c r="M4319" s="42"/>
      <c r="N4319" s="25"/>
      <c r="O4319" s="54"/>
      <c r="P4319"/>
      <c r="Q4319" s="25"/>
      <c r="R4319" s="54"/>
      <c r="W4319" s="23"/>
      <c r="X4319" s="23"/>
      <c r="Y4319" s="23"/>
      <c r="Z4319" s="43"/>
      <c r="AA4319" s="23"/>
      <c r="AB4319" s="23"/>
      <c r="AC4319" s="23"/>
      <c r="AD4319" s="23"/>
      <c r="AE4319" s="23"/>
      <c r="AF4319" s="23"/>
      <c r="AG4319" s="23"/>
      <c r="AH4319" s="23"/>
      <c r="AI4319" s="23"/>
    </row>
    <row r="4320" spans="1:35">
      <c r="A4320" s="23"/>
      <c r="B4320" s="42"/>
      <c r="G4320" s="43"/>
      <c r="H4320" s="44"/>
      <c r="L4320" s="42"/>
      <c r="M4320" s="42"/>
      <c r="N4320" s="25"/>
      <c r="O4320" s="54"/>
      <c r="P4320"/>
      <c r="Q4320" s="25"/>
      <c r="R4320" s="54"/>
      <c r="W4320" s="23"/>
      <c r="X4320" s="23"/>
      <c r="Y4320" s="23"/>
      <c r="Z4320" s="43"/>
      <c r="AA4320" s="23"/>
      <c r="AB4320" s="23"/>
      <c r="AC4320" s="23"/>
      <c r="AD4320" s="23"/>
      <c r="AE4320" s="23"/>
      <c r="AF4320" s="23"/>
      <c r="AG4320" s="23"/>
      <c r="AH4320" s="23"/>
      <c r="AI4320" s="23"/>
    </row>
    <row r="4321" spans="1:35">
      <c r="A4321" s="23"/>
      <c r="B4321" s="42"/>
      <c r="G4321" s="43"/>
      <c r="H4321" s="44"/>
      <c r="L4321" s="42"/>
      <c r="M4321" s="42"/>
      <c r="N4321" s="25"/>
      <c r="O4321" s="54"/>
      <c r="P4321"/>
      <c r="Q4321" s="25"/>
      <c r="R4321" s="54"/>
      <c r="W4321" s="23"/>
      <c r="X4321" s="23"/>
      <c r="Y4321" s="23"/>
      <c r="Z4321" s="43"/>
      <c r="AA4321" s="23"/>
      <c r="AB4321" s="23"/>
      <c r="AC4321" s="23"/>
      <c r="AD4321" s="23"/>
      <c r="AE4321" s="23"/>
      <c r="AF4321" s="23"/>
      <c r="AG4321" s="23"/>
      <c r="AH4321" s="23"/>
      <c r="AI4321" s="23"/>
    </row>
    <row r="4322" spans="1:35">
      <c r="A4322" s="23"/>
      <c r="B4322" s="42"/>
      <c r="G4322" s="43"/>
      <c r="H4322" s="44"/>
      <c r="L4322" s="42"/>
      <c r="M4322" s="42"/>
      <c r="N4322" s="25"/>
      <c r="O4322" s="54"/>
      <c r="P4322"/>
      <c r="Q4322" s="25"/>
      <c r="R4322" s="54"/>
      <c r="W4322" s="23"/>
      <c r="X4322" s="23"/>
      <c r="Y4322" s="23"/>
      <c r="Z4322" s="43"/>
      <c r="AA4322" s="23"/>
      <c r="AB4322" s="23"/>
      <c r="AC4322" s="23"/>
      <c r="AD4322" s="23"/>
      <c r="AE4322" s="23"/>
      <c r="AF4322" s="23"/>
      <c r="AG4322" s="23"/>
      <c r="AH4322" s="23"/>
      <c r="AI4322" s="23"/>
    </row>
    <row r="4323" spans="1:35">
      <c r="A4323" s="23"/>
      <c r="B4323" s="42"/>
      <c r="G4323" s="43"/>
      <c r="H4323" s="44"/>
      <c r="L4323" s="42"/>
      <c r="M4323" s="42"/>
      <c r="N4323" s="25"/>
      <c r="O4323" s="54"/>
      <c r="P4323"/>
      <c r="Q4323" s="25"/>
      <c r="R4323" s="54"/>
      <c r="W4323" s="23"/>
      <c r="X4323" s="23"/>
      <c r="Y4323" s="23"/>
      <c r="Z4323" s="43"/>
      <c r="AA4323" s="23"/>
      <c r="AB4323" s="23"/>
      <c r="AC4323" s="23"/>
      <c r="AD4323" s="23"/>
      <c r="AE4323" s="23"/>
      <c r="AF4323" s="23"/>
      <c r="AG4323" s="23"/>
      <c r="AH4323" s="23"/>
      <c r="AI4323" s="23"/>
    </row>
    <row r="4324" spans="1:35">
      <c r="A4324" s="23"/>
      <c r="B4324" s="42"/>
      <c r="G4324" s="43"/>
      <c r="H4324" s="44"/>
      <c r="L4324" s="42"/>
      <c r="M4324" s="42"/>
      <c r="N4324" s="25"/>
      <c r="O4324" s="54"/>
      <c r="P4324"/>
      <c r="Q4324" s="25"/>
      <c r="R4324" s="54"/>
      <c r="W4324" s="23"/>
      <c r="X4324" s="23"/>
      <c r="Y4324" s="23"/>
      <c r="Z4324" s="43"/>
      <c r="AA4324" s="23"/>
      <c r="AB4324" s="23"/>
      <c r="AC4324" s="23"/>
      <c r="AD4324" s="23"/>
      <c r="AE4324" s="23"/>
      <c r="AF4324" s="23"/>
      <c r="AG4324" s="23"/>
      <c r="AH4324" s="23"/>
      <c r="AI4324" s="23"/>
    </row>
    <row r="4325" spans="1:35">
      <c r="A4325" s="23"/>
      <c r="B4325" s="42"/>
      <c r="G4325" s="43"/>
      <c r="H4325" s="44"/>
      <c r="L4325" s="42"/>
      <c r="M4325" s="42"/>
      <c r="N4325" s="25"/>
      <c r="O4325" s="54"/>
      <c r="P4325"/>
      <c r="Q4325" s="25"/>
      <c r="R4325" s="54"/>
      <c r="W4325" s="23"/>
      <c r="X4325" s="23"/>
      <c r="Y4325" s="23"/>
      <c r="Z4325" s="43"/>
      <c r="AA4325" s="23"/>
      <c r="AB4325" s="23"/>
      <c r="AC4325" s="23"/>
      <c r="AD4325" s="23"/>
      <c r="AE4325" s="23"/>
      <c r="AF4325" s="23"/>
      <c r="AG4325" s="23"/>
      <c r="AH4325" s="23"/>
      <c r="AI4325" s="23"/>
    </row>
    <row r="4326" spans="1:35">
      <c r="A4326" s="23"/>
      <c r="B4326" s="42"/>
      <c r="G4326" s="43"/>
      <c r="H4326" s="44"/>
      <c r="L4326" s="42"/>
      <c r="M4326" s="42"/>
      <c r="N4326" s="25"/>
      <c r="O4326" s="54"/>
      <c r="P4326"/>
      <c r="Q4326" s="25"/>
      <c r="R4326" s="54"/>
      <c r="W4326" s="23"/>
      <c r="X4326" s="23"/>
      <c r="Y4326" s="23"/>
      <c r="Z4326" s="43"/>
      <c r="AA4326" s="23"/>
      <c r="AB4326" s="23"/>
      <c r="AC4326" s="23"/>
      <c r="AD4326" s="23"/>
      <c r="AE4326" s="23"/>
      <c r="AF4326" s="23"/>
      <c r="AG4326" s="23"/>
      <c r="AH4326" s="23"/>
      <c r="AI4326" s="23"/>
    </row>
    <row r="4327" spans="1:35">
      <c r="A4327" s="23"/>
      <c r="B4327" s="42"/>
      <c r="G4327" s="43"/>
      <c r="H4327" s="44"/>
      <c r="L4327" s="42"/>
      <c r="M4327" s="42"/>
      <c r="N4327" s="25"/>
      <c r="O4327" s="54"/>
      <c r="P4327"/>
      <c r="Q4327" s="25"/>
      <c r="R4327" s="54"/>
      <c r="W4327" s="23"/>
      <c r="X4327" s="23"/>
      <c r="Y4327" s="23"/>
      <c r="Z4327" s="43"/>
      <c r="AA4327" s="23"/>
      <c r="AB4327" s="23"/>
      <c r="AC4327" s="23"/>
      <c r="AD4327" s="23"/>
      <c r="AE4327" s="23"/>
      <c r="AF4327" s="23"/>
      <c r="AG4327" s="23"/>
      <c r="AH4327" s="23"/>
      <c r="AI4327" s="23"/>
    </row>
    <row r="4328" spans="1:35">
      <c r="A4328" s="23"/>
      <c r="B4328" s="42"/>
      <c r="G4328" s="43"/>
      <c r="H4328" s="44"/>
      <c r="L4328" s="42"/>
      <c r="M4328" s="42"/>
      <c r="N4328" s="25"/>
      <c r="O4328" s="54"/>
      <c r="P4328"/>
      <c r="Q4328" s="25"/>
      <c r="R4328" s="54"/>
      <c r="W4328" s="23"/>
      <c r="X4328" s="23"/>
      <c r="Y4328" s="23"/>
      <c r="Z4328" s="43"/>
      <c r="AA4328" s="23"/>
      <c r="AB4328" s="23"/>
      <c r="AC4328" s="23"/>
      <c r="AD4328" s="23"/>
      <c r="AE4328" s="23"/>
      <c r="AF4328" s="23"/>
      <c r="AG4328" s="23"/>
      <c r="AH4328" s="23"/>
      <c r="AI4328" s="23"/>
    </row>
    <row r="4329" spans="1:35">
      <c r="A4329" s="23"/>
      <c r="B4329" s="42"/>
      <c r="G4329" s="43"/>
      <c r="H4329" s="44"/>
      <c r="L4329" s="42"/>
      <c r="M4329" s="42"/>
      <c r="N4329" s="25"/>
      <c r="O4329" s="54"/>
      <c r="P4329"/>
      <c r="Q4329" s="25"/>
      <c r="R4329" s="54"/>
      <c r="W4329" s="23"/>
      <c r="X4329" s="23"/>
      <c r="Y4329" s="23"/>
      <c r="Z4329" s="43"/>
      <c r="AA4329" s="23"/>
      <c r="AB4329" s="23"/>
      <c r="AC4329" s="23"/>
      <c r="AD4329" s="23"/>
      <c r="AE4329" s="23"/>
      <c r="AF4329" s="23"/>
      <c r="AG4329" s="23"/>
      <c r="AH4329" s="23"/>
      <c r="AI4329" s="23"/>
    </row>
    <row r="4330" spans="1:35">
      <c r="A4330" s="23"/>
      <c r="B4330" s="42"/>
      <c r="G4330" s="43"/>
      <c r="H4330" s="44"/>
      <c r="L4330" s="42"/>
      <c r="M4330" s="42"/>
      <c r="N4330" s="25"/>
      <c r="O4330" s="54"/>
      <c r="P4330"/>
      <c r="Q4330" s="25"/>
      <c r="R4330" s="54"/>
      <c r="W4330" s="23"/>
      <c r="X4330" s="23"/>
      <c r="Y4330" s="23"/>
      <c r="Z4330" s="43"/>
      <c r="AA4330" s="23"/>
      <c r="AB4330" s="23"/>
      <c r="AC4330" s="23"/>
      <c r="AD4330" s="23"/>
      <c r="AE4330" s="23"/>
      <c r="AF4330" s="23"/>
      <c r="AG4330" s="23"/>
      <c r="AH4330" s="23"/>
      <c r="AI4330" s="23"/>
    </row>
    <row r="4331" spans="1:35">
      <c r="A4331" s="23"/>
      <c r="B4331" s="42"/>
      <c r="G4331" s="43"/>
      <c r="H4331" s="44"/>
      <c r="L4331" s="42"/>
      <c r="M4331" s="42"/>
      <c r="N4331" s="25"/>
      <c r="O4331" s="54"/>
      <c r="P4331"/>
      <c r="Q4331" s="25"/>
      <c r="R4331" s="54"/>
      <c r="W4331" s="23"/>
      <c r="X4331" s="23"/>
      <c r="Y4331" s="23"/>
      <c r="Z4331" s="43"/>
      <c r="AA4331" s="23"/>
      <c r="AB4331" s="23"/>
      <c r="AC4331" s="23"/>
      <c r="AD4331" s="23"/>
      <c r="AE4331" s="23"/>
      <c r="AF4331" s="23"/>
      <c r="AG4331" s="23"/>
      <c r="AH4331" s="23"/>
      <c r="AI4331" s="23"/>
    </row>
    <row r="4332" spans="1:35">
      <c r="A4332" s="23"/>
      <c r="B4332" s="42"/>
      <c r="G4332" s="43"/>
      <c r="H4332" s="44"/>
      <c r="L4332" s="42"/>
      <c r="M4332" s="42"/>
      <c r="N4332" s="25"/>
      <c r="O4332" s="54"/>
      <c r="P4332"/>
      <c r="Q4332" s="25"/>
      <c r="R4332" s="54"/>
      <c r="W4332" s="23"/>
      <c r="X4332" s="23"/>
      <c r="Y4332" s="23"/>
      <c r="Z4332" s="43"/>
      <c r="AA4332" s="23"/>
      <c r="AB4332" s="23"/>
      <c r="AC4332" s="23"/>
      <c r="AD4332" s="23"/>
      <c r="AE4332" s="23"/>
      <c r="AF4332" s="23"/>
      <c r="AG4332" s="23"/>
      <c r="AH4332" s="23"/>
      <c r="AI4332" s="23"/>
    </row>
    <row r="4333" spans="1:35">
      <c r="A4333" s="23"/>
      <c r="B4333" s="42"/>
      <c r="G4333" s="43"/>
      <c r="H4333" s="44"/>
      <c r="L4333" s="42"/>
      <c r="M4333" s="42"/>
      <c r="N4333" s="25"/>
      <c r="O4333" s="54"/>
      <c r="P4333"/>
      <c r="Q4333" s="25"/>
      <c r="R4333" s="54"/>
      <c r="W4333" s="23"/>
      <c r="X4333" s="23"/>
      <c r="Y4333" s="23"/>
      <c r="Z4333" s="43"/>
      <c r="AA4333" s="23"/>
      <c r="AB4333" s="23"/>
      <c r="AC4333" s="23"/>
      <c r="AD4333" s="23"/>
      <c r="AE4333" s="23"/>
      <c r="AF4333" s="23"/>
      <c r="AG4333" s="23"/>
      <c r="AH4333" s="23"/>
      <c r="AI4333" s="23"/>
    </row>
    <row r="4334" spans="1:35">
      <c r="A4334" s="23"/>
      <c r="B4334" s="42"/>
      <c r="G4334" s="43"/>
      <c r="H4334" s="44"/>
      <c r="L4334" s="42"/>
      <c r="M4334" s="42"/>
      <c r="N4334" s="25"/>
      <c r="O4334" s="54"/>
      <c r="P4334"/>
      <c r="Q4334" s="25"/>
      <c r="R4334" s="54"/>
      <c r="W4334" s="23"/>
      <c r="X4334" s="23"/>
      <c r="Y4334" s="23"/>
      <c r="Z4334" s="43"/>
      <c r="AA4334" s="23"/>
      <c r="AB4334" s="23"/>
      <c r="AC4334" s="23"/>
      <c r="AD4334" s="23"/>
      <c r="AE4334" s="23"/>
      <c r="AF4334" s="23"/>
      <c r="AG4334" s="23"/>
      <c r="AH4334" s="23"/>
      <c r="AI4334" s="23"/>
    </row>
    <row r="4335" spans="1:35">
      <c r="A4335" s="23"/>
      <c r="B4335" s="42"/>
      <c r="G4335" s="43"/>
      <c r="H4335" s="44"/>
      <c r="L4335" s="42"/>
      <c r="M4335" s="42"/>
      <c r="N4335" s="25"/>
      <c r="O4335" s="54"/>
      <c r="P4335"/>
      <c r="Q4335" s="25"/>
      <c r="R4335" s="54"/>
      <c r="W4335" s="23"/>
      <c r="X4335" s="23"/>
      <c r="Y4335" s="23"/>
      <c r="Z4335" s="43"/>
      <c r="AA4335" s="23"/>
      <c r="AB4335" s="23"/>
      <c r="AC4335" s="23"/>
      <c r="AD4335" s="23"/>
      <c r="AE4335" s="23"/>
      <c r="AF4335" s="23"/>
      <c r="AG4335" s="23"/>
      <c r="AH4335" s="23"/>
      <c r="AI4335" s="23"/>
    </row>
    <row r="4336" spans="1:35">
      <c r="A4336" s="23"/>
      <c r="B4336" s="42"/>
      <c r="G4336" s="43"/>
      <c r="H4336" s="44"/>
      <c r="L4336" s="42"/>
      <c r="M4336" s="42"/>
      <c r="N4336" s="25"/>
      <c r="O4336" s="54"/>
      <c r="P4336"/>
      <c r="Q4336" s="25"/>
      <c r="R4336" s="54"/>
      <c r="W4336" s="23"/>
      <c r="X4336" s="23"/>
      <c r="Y4336" s="23"/>
      <c r="Z4336" s="43"/>
      <c r="AA4336" s="23"/>
      <c r="AB4336" s="23"/>
      <c r="AC4336" s="23"/>
      <c r="AD4336" s="23"/>
      <c r="AE4336" s="23"/>
      <c r="AF4336" s="23"/>
      <c r="AG4336" s="23"/>
      <c r="AH4336" s="23"/>
      <c r="AI4336" s="23"/>
    </row>
    <row r="4337" spans="1:35">
      <c r="A4337" s="23"/>
      <c r="B4337" s="42"/>
      <c r="G4337" s="43"/>
      <c r="H4337" s="44"/>
      <c r="L4337" s="42"/>
      <c r="M4337" s="42"/>
      <c r="N4337" s="25"/>
      <c r="O4337" s="54"/>
      <c r="P4337"/>
      <c r="Q4337" s="25"/>
      <c r="R4337" s="54"/>
      <c r="W4337" s="23"/>
      <c r="X4337" s="23"/>
      <c r="Y4337" s="23"/>
      <c r="Z4337" s="43"/>
      <c r="AA4337" s="23"/>
      <c r="AB4337" s="23"/>
      <c r="AC4337" s="23"/>
      <c r="AD4337" s="23"/>
      <c r="AE4337" s="23"/>
      <c r="AF4337" s="23"/>
      <c r="AG4337" s="23"/>
      <c r="AH4337" s="23"/>
      <c r="AI4337" s="23"/>
    </row>
    <row r="4338" spans="1:35">
      <c r="A4338" s="23"/>
      <c r="B4338" s="42"/>
      <c r="G4338" s="43"/>
      <c r="H4338" s="44"/>
      <c r="L4338" s="42"/>
      <c r="M4338" s="42"/>
      <c r="N4338" s="25"/>
      <c r="O4338" s="54"/>
      <c r="P4338"/>
      <c r="Q4338" s="25"/>
      <c r="R4338" s="54"/>
      <c r="W4338" s="23"/>
      <c r="X4338" s="23"/>
      <c r="Y4338" s="23"/>
      <c r="Z4338" s="43"/>
      <c r="AA4338" s="23"/>
      <c r="AB4338" s="23"/>
      <c r="AC4338" s="23"/>
      <c r="AD4338" s="23"/>
      <c r="AE4338" s="23"/>
      <c r="AF4338" s="23"/>
      <c r="AG4338" s="23"/>
      <c r="AH4338" s="23"/>
      <c r="AI4338" s="23"/>
    </row>
    <row r="4339" spans="1:35">
      <c r="A4339" s="23"/>
      <c r="B4339" s="42"/>
      <c r="G4339" s="43"/>
      <c r="H4339" s="44"/>
      <c r="L4339" s="42"/>
      <c r="M4339" s="42"/>
      <c r="N4339" s="25"/>
      <c r="O4339" s="54"/>
      <c r="P4339"/>
      <c r="Q4339" s="25"/>
      <c r="R4339" s="54"/>
      <c r="W4339" s="23"/>
      <c r="X4339" s="23"/>
      <c r="Y4339" s="23"/>
      <c r="Z4339" s="43"/>
      <c r="AA4339" s="23"/>
      <c r="AB4339" s="23"/>
      <c r="AC4339" s="23"/>
      <c r="AD4339" s="23"/>
      <c r="AE4339" s="23"/>
      <c r="AF4339" s="23"/>
      <c r="AG4339" s="23"/>
      <c r="AH4339" s="23"/>
      <c r="AI4339" s="23"/>
    </row>
    <row r="4340" spans="1:35">
      <c r="A4340" s="23"/>
      <c r="B4340" s="42"/>
      <c r="G4340" s="43"/>
      <c r="H4340" s="44"/>
      <c r="L4340" s="42"/>
      <c r="M4340" s="42"/>
      <c r="N4340" s="25"/>
      <c r="O4340" s="54"/>
      <c r="P4340"/>
      <c r="Q4340" s="25"/>
      <c r="R4340" s="54"/>
      <c r="W4340" s="23"/>
      <c r="X4340" s="23"/>
      <c r="Y4340" s="23"/>
      <c r="Z4340" s="43"/>
      <c r="AA4340" s="23"/>
      <c r="AB4340" s="23"/>
      <c r="AC4340" s="23"/>
      <c r="AD4340" s="23"/>
      <c r="AE4340" s="23"/>
      <c r="AF4340" s="23"/>
      <c r="AG4340" s="23"/>
      <c r="AH4340" s="23"/>
      <c r="AI4340" s="23"/>
    </row>
    <row r="4341" spans="1:35">
      <c r="A4341" s="23"/>
      <c r="B4341" s="42"/>
      <c r="G4341" s="43"/>
      <c r="H4341" s="44"/>
      <c r="L4341" s="42"/>
      <c r="M4341" s="42"/>
      <c r="N4341" s="25"/>
      <c r="O4341" s="54"/>
      <c r="P4341"/>
      <c r="Q4341" s="25"/>
      <c r="R4341" s="54"/>
      <c r="W4341" s="23"/>
      <c r="X4341" s="23"/>
      <c r="Y4341" s="23"/>
      <c r="Z4341" s="43"/>
      <c r="AA4341" s="23"/>
      <c r="AB4341" s="23"/>
      <c r="AC4341" s="23"/>
      <c r="AD4341" s="23"/>
      <c r="AE4341" s="23"/>
      <c r="AF4341" s="23"/>
      <c r="AG4341" s="23"/>
      <c r="AH4341" s="23"/>
      <c r="AI4341" s="23"/>
    </row>
    <row r="4342" spans="1:35">
      <c r="A4342" s="23"/>
      <c r="B4342" s="42"/>
      <c r="G4342" s="43"/>
      <c r="H4342" s="44"/>
      <c r="L4342" s="42"/>
      <c r="M4342" s="42"/>
      <c r="N4342" s="25"/>
      <c r="O4342" s="54"/>
      <c r="P4342"/>
      <c r="Q4342" s="25"/>
      <c r="R4342" s="54"/>
      <c r="W4342" s="23"/>
      <c r="X4342" s="23"/>
      <c r="Y4342" s="23"/>
      <c r="Z4342" s="43"/>
      <c r="AA4342" s="23"/>
      <c r="AB4342" s="23"/>
      <c r="AC4342" s="23"/>
      <c r="AD4342" s="23"/>
      <c r="AE4342" s="23"/>
      <c r="AF4342" s="23"/>
      <c r="AG4342" s="23"/>
      <c r="AH4342" s="23"/>
      <c r="AI4342" s="23"/>
    </row>
    <row r="4343" spans="1:35">
      <c r="A4343" s="23"/>
      <c r="B4343" s="42"/>
      <c r="G4343" s="43"/>
      <c r="H4343" s="44"/>
      <c r="L4343" s="42"/>
      <c r="M4343" s="42"/>
      <c r="N4343" s="25"/>
      <c r="O4343" s="54"/>
      <c r="P4343"/>
      <c r="Q4343" s="25"/>
      <c r="R4343" s="54"/>
      <c r="W4343" s="23"/>
      <c r="X4343" s="23"/>
      <c r="Y4343" s="23"/>
      <c r="Z4343" s="43"/>
      <c r="AA4343" s="23"/>
      <c r="AB4343" s="23"/>
      <c r="AC4343" s="23"/>
      <c r="AD4343" s="23"/>
      <c r="AE4343" s="23"/>
      <c r="AF4343" s="23"/>
      <c r="AG4343" s="23"/>
      <c r="AH4343" s="23"/>
      <c r="AI4343" s="23"/>
    </row>
    <row r="4344" spans="1:35">
      <c r="A4344" s="23"/>
      <c r="B4344" s="42"/>
      <c r="G4344" s="43"/>
      <c r="H4344" s="44"/>
      <c r="L4344" s="42"/>
      <c r="M4344" s="42"/>
      <c r="N4344" s="25"/>
      <c r="O4344" s="54"/>
      <c r="P4344"/>
      <c r="Q4344" s="25"/>
      <c r="R4344" s="54"/>
      <c r="W4344" s="23"/>
      <c r="X4344" s="23"/>
      <c r="Y4344" s="23"/>
      <c r="Z4344" s="43"/>
      <c r="AA4344" s="23"/>
      <c r="AB4344" s="23"/>
      <c r="AC4344" s="23"/>
      <c r="AD4344" s="23"/>
      <c r="AE4344" s="23"/>
      <c r="AF4344" s="23"/>
      <c r="AG4344" s="23"/>
      <c r="AH4344" s="23"/>
      <c r="AI4344" s="23"/>
    </row>
    <row r="4345" spans="1:35">
      <c r="A4345" s="23"/>
      <c r="B4345" s="42"/>
      <c r="G4345" s="43"/>
      <c r="H4345" s="44"/>
      <c r="L4345" s="42"/>
      <c r="M4345" s="42"/>
      <c r="N4345" s="25"/>
      <c r="O4345" s="54"/>
      <c r="P4345"/>
      <c r="Q4345" s="25"/>
      <c r="R4345" s="54"/>
      <c r="W4345" s="23"/>
      <c r="X4345" s="23"/>
      <c r="Y4345" s="23"/>
      <c r="Z4345" s="43"/>
      <c r="AA4345" s="23"/>
      <c r="AB4345" s="23"/>
      <c r="AC4345" s="23"/>
      <c r="AD4345" s="23"/>
      <c r="AE4345" s="23"/>
      <c r="AF4345" s="23"/>
      <c r="AG4345" s="23"/>
      <c r="AH4345" s="23"/>
      <c r="AI4345" s="23"/>
    </row>
    <row r="4346" spans="1:35">
      <c r="A4346" s="23"/>
      <c r="B4346" s="42"/>
      <c r="G4346" s="43"/>
      <c r="H4346" s="44"/>
      <c r="L4346" s="42"/>
      <c r="M4346" s="42"/>
      <c r="N4346" s="25"/>
      <c r="O4346" s="54"/>
      <c r="P4346"/>
      <c r="Q4346" s="25"/>
      <c r="R4346" s="54"/>
      <c r="W4346" s="23"/>
      <c r="X4346" s="23"/>
      <c r="Y4346" s="23"/>
      <c r="Z4346" s="43"/>
      <c r="AA4346" s="23"/>
      <c r="AB4346" s="23"/>
      <c r="AC4346" s="23"/>
      <c r="AD4346" s="23"/>
      <c r="AE4346" s="23"/>
      <c r="AF4346" s="23"/>
      <c r="AG4346" s="23"/>
      <c r="AH4346" s="23"/>
      <c r="AI4346" s="23"/>
    </row>
    <row r="4347" spans="1:35">
      <c r="A4347" s="23"/>
      <c r="B4347" s="42"/>
      <c r="G4347" s="43"/>
      <c r="H4347" s="44"/>
      <c r="L4347" s="42"/>
      <c r="M4347" s="42"/>
      <c r="N4347" s="25"/>
      <c r="O4347" s="54"/>
      <c r="P4347"/>
      <c r="Q4347" s="25"/>
      <c r="R4347" s="54"/>
      <c r="W4347" s="23"/>
      <c r="X4347" s="23"/>
      <c r="Y4347" s="23"/>
      <c r="Z4347" s="43"/>
      <c r="AA4347" s="23"/>
      <c r="AB4347" s="23"/>
      <c r="AC4347" s="23"/>
      <c r="AD4347" s="23"/>
      <c r="AE4347" s="23"/>
      <c r="AF4347" s="23"/>
      <c r="AG4347" s="23"/>
      <c r="AH4347" s="23"/>
      <c r="AI4347" s="23"/>
    </row>
    <row r="4348" spans="1:35">
      <c r="A4348" s="23"/>
      <c r="B4348" s="42"/>
      <c r="G4348" s="43"/>
      <c r="H4348" s="44"/>
      <c r="L4348" s="42"/>
      <c r="M4348" s="42"/>
      <c r="N4348" s="25"/>
      <c r="O4348" s="54"/>
      <c r="P4348"/>
      <c r="Q4348" s="25"/>
      <c r="R4348" s="54"/>
      <c r="W4348" s="23"/>
      <c r="X4348" s="23"/>
      <c r="Y4348" s="23"/>
      <c r="Z4348" s="43"/>
      <c r="AA4348" s="23"/>
      <c r="AB4348" s="23"/>
      <c r="AC4348" s="23"/>
      <c r="AD4348" s="23"/>
      <c r="AE4348" s="23"/>
      <c r="AF4348" s="23"/>
      <c r="AG4348" s="23"/>
      <c r="AH4348" s="23"/>
      <c r="AI4348" s="23"/>
    </row>
    <row r="4349" spans="1:35">
      <c r="A4349" s="23"/>
      <c r="B4349" s="42"/>
      <c r="G4349" s="43"/>
      <c r="H4349" s="44"/>
      <c r="L4349" s="42"/>
      <c r="M4349" s="42"/>
      <c r="N4349" s="25"/>
      <c r="O4349" s="54"/>
      <c r="P4349"/>
      <c r="Q4349" s="25"/>
      <c r="R4349" s="54"/>
      <c r="W4349" s="23"/>
      <c r="X4349" s="23"/>
      <c r="Y4349" s="23"/>
      <c r="Z4349" s="43"/>
      <c r="AA4349" s="23"/>
      <c r="AB4349" s="23"/>
      <c r="AC4349" s="23"/>
      <c r="AD4349" s="23"/>
      <c r="AE4349" s="23"/>
      <c r="AF4349" s="23"/>
      <c r="AG4349" s="23"/>
      <c r="AH4349" s="23"/>
      <c r="AI4349" s="23"/>
    </row>
    <row r="4350" spans="1:35">
      <c r="A4350" s="23"/>
      <c r="B4350" s="42"/>
      <c r="G4350" s="43"/>
      <c r="H4350" s="44"/>
      <c r="L4350" s="42"/>
      <c r="M4350" s="42"/>
      <c r="N4350" s="25"/>
      <c r="O4350" s="54"/>
      <c r="P4350"/>
      <c r="Q4350" s="25"/>
      <c r="R4350" s="54"/>
      <c r="W4350" s="23"/>
      <c r="X4350" s="23"/>
      <c r="Y4350" s="23"/>
      <c r="Z4350" s="43"/>
      <c r="AA4350" s="23"/>
      <c r="AB4350" s="23"/>
      <c r="AC4350" s="23"/>
      <c r="AD4350" s="23"/>
      <c r="AE4350" s="23"/>
      <c r="AF4350" s="23"/>
      <c r="AG4350" s="23"/>
      <c r="AH4350" s="23"/>
      <c r="AI4350" s="23"/>
    </row>
    <row r="4351" spans="1:35">
      <c r="A4351" s="23"/>
      <c r="B4351" s="42"/>
      <c r="G4351" s="43"/>
      <c r="H4351" s="44"/>
      <c r="L4351" s="42"/>
      <c r="M4351" s="42"/>
      <c r="N4351" s="25"/>
      <c r="O4351" s="54"/>
      <c r="P4351"/>
      <c r="Q4351" s="25"/>
      <c r="R4351" s="54"/>
      <c r="W4351" s="23"/>
      <c r="X4351" s="23"/>
      <c r="Y4351" s="23"/>
      <c r="Z4351" s="43"/>
      <c r="AA4351" s="23"/>
      <c r="AB4351" s="23"/>
      <c r="AC4351" s="23"/>
      <c r="AD4351" s="23"/>
      <c r="AE4351" s="23"/>
      <c r="AF4351" s="23"/>
      <c r="AG4351" s="23"/>
      <c r="AH4351" s="23"/>
      <c r="AI4351" s="23"/>
    </row>
    <row r="4352" spans="1:35">
      <c r="A4352" s="23"/>
      <c r="B4352" s="42"/>
      <c r="G4352" s="43"/>
      <c r="H4352" s="44"/>
      <c r="L4352" s="42"/>
      <c r="M4352" s="42"/>
      <c r="N4352" s="25"/>
      <c r="O4352" s="54"/>
      <c r="P4352"/>
      <c r="Q4352" s="25"/>
      <c r="R4352" s="54"/>
      <c r="W4352" s="23"/>
      <c r="X4352" s="23"/>
      <c r="Y4352" s="23"/>
      <c r="Z4352" s="43"/>
      <c r="AA4352" s="23"/>
      <c r="AB4352" s="23"/>
      <c r="AC4352" s="23"/>
      <c r="AD4352" s="23"/>
      <c r="AE4352" s="23"/>
      <c r="AF4352" s="23"/>
      <c r="AG4352" s="23"/>
      <c r="AH4352" s="23"/>
      <c r="AI4352" s="23"/>
    </row>
    <row r="4353" spans="1:35">
      <c r="A4353" s="23"/>
      <c r="B4353" s="42"/>
      <c r="G4353" s="43"/>
      <c r="H4353" s="44"/>
      <c r="L4353" s="42"/>
      <c r="M4353" s="42"/>
      <c r="N4353" s="25"/>
      <c r="O4353" s="54"/>
      <c r="P4353"/>
      <c r="Q4353" s="25"/>
      <c r="R4353" s="54"/>
      <c r="W4353" s="23"/>
      <c r="X4353" s="23"/>
      <c r="Y4353" s="23"/>
      <c r="Z4353" s="43"/>
      <c r="AA4353" s="23"/>
      <c r="AB4353" s="23"/>
      <c r="AC4353" s="23"/>
      <c r="AD4353" s="23"/>
      <c r="AE4353" s="23"/>
      <c r="AF4353" s="23"/>
      <c r="AG4353" s="23"/>
      <c r="AH4353" s="23"/>
      <c r="AI4353" s="23"/>
    </row>
    <row r="4354" spans="1:35">
      <c r="A4354" s="23"/>
      <c r="B4354" s="42"/>
      <c r="G4354" s="43"/>
      <c r="H4354" s="44"/>
      <c r="L4354" s="42"/>
      <c r="M4354" s="42"/>
      <c r="N4354" s="25"/>
      <c r="O4354" s="54"/>
      <c r="P4354"/>
      <c r="Q4354" s="25"/>
      <c r="R4354" s="54"/>
      <c r="W4354" s="23"/>
      <c r="X4354" s="23"/>
      <c r="Y4354" s="23"/>
      <c r="Z4354" s="43"/>
      <c r="AA4354" s="23"/>
      <c r="AB4354" s="23"/>
      <c r="AC4354" s="23"/>
      <c r="AD4354" s="23"/>
      <c r="AE4354" s="23"/>
      <c r="AF4354" s="23"/>
      <c r="AG4354" s="23"/>
      <c r="AH4354" s="23"/>
      <c r="AI4354" s="23"/>
    </row>
    <row r="4355" spans="1:35">
      <c r="A4355" s="23"/>
      <c r="B4355" s="42"/>
      <c r="G4355" s="43"/>
      <c r="H4355" s="44"/>
      <c r="L4355" s="42"/>
      <c r="M4355" s="42"/>
      <c r="N4355" s="25"/>
      <c r="O4355" s="54"/>
      <c r="P4355"/>
      <c r="Q4355" s="25"/>
      <c r="R4355" s="54"/>
      <c r="W4355" s="23"/>
      <c r="X4355" s="23"/>
      <c r="Y4355" s="23"/>
      <c r="Z4355" s="43"/>
      <c r="AA4355" s="23"/>
      <c r="AB4355" s="23"/>
      <c r="AC4355" s="23"/>
      <c r="AD4355" s="23"/>
      <c r="AE4355" s="23"/>
      <c r="AF4355" s="23"/>
      <c r="AG4355" s="23"/>
      <c r="AH4355" s="23"/>
      <c r="AI4355" s="23"/>
    </row>
    <row r="4356" spans="1:35">
      <c r="A4356" s="23"/>
      <c r="B4356" s="42"/>
      <c r="G4356" s="43"/>
      <c r="H4356" s="44"/>
      <c r="L4356" s="42"/>
      <c r="M4356" s="42"/>
      <c r="N4356" s="25"/>
      <c r="O4356" s="54"/>
      <c r="P4356"/>
      <c r="Q4356" s="25"/>
      <c r="R4356" s="54"/>
      <c r="W4356" s="23"/>
      <c r="X4356" s="23"/>
      <c r="Y4356" s="23"/>
      <c r="Z4356" s="43"/>
      <c r="AA4356" s="23"/>
      <c r="AB4356" s="23"/>
      <c r="AC4356" s="23"/>
      <c r="AD4356" s="23"/>
      <c r="AE4356" s="23"/>
      <c r="AF4356" s="23"/>
      <c r="AG4356" s="23"/>
      <c r="AH4356" s="23"/>
      <c r="AI4356" s="23"/>
    </row>
    <row r="4357" spans="1:35">
      <c r="A4357" s="23"/>
      <c r="B4357" s="42"/>
      <c r="G4357" s="43"/>
      <c r="H4357" s="44"/>
      <c r="L4357" s="42"/>
      <c r="M4357" s="42"/>
      <c r="N4357" s="25"/>
      <c r="O4357" s="54"/>
      <c r="P4357"/>
      <c r="Q4357" s="25"/>
      <c r="R4357" s="54"/>
      <c r="W4357" s="23"/>
      <c r="X4357" s="23"/>
      <c r="Y4357" s="23"/>
      <c r="Z4357" s="43"/>
      <c r="AA4357" s="23"/>
      <c r="AB4357" s="23"/>
      <c r="AC4357" s="23"/>
      <c r="AD4357" s="23"/>
      <c r="AE4357" s="23"/>
      <c r="AF4357" s="23"/>
      <c r="AG4357" s="23"/>
      <c r="AH4357" s="23"/>
      <c r="AI4357" s="23"/>
    </row>
    <row r="4358" spans="1:35">
      <c r="A4358" s="23"/>
      <c r="B4358" s="42"/>
      <c r="G4358" s="43"/>
      <c r="H4358" s="44"/>
      <c r="L4358" s="42"/>
      <c r="M4358" s="42"/>
      <c r="N4358" s="25"/>
      <c r="O4358" s="54"/>
      <c r="P4358"/>
      <c r="Q4358" s="25"/>
      <c r="R4358" s="54"/>
      <c r="W4358" s="23"/>
      <c r="X4358" s="23"/>
      <c r="Y4358" s="23"/>
      <c r="Z4358" s="43"/>
      <c r="AA4358" s="23"/>
      <c r="AB4358" s="23"/>
      <c r="AC4358" s="23"/>
      <c r="AD4358" s="23"/>
      <c r="AE4358" s="23"/>
      <c r="AF4358" s="23"/>
      <c r="AG4358" s="23"/>
      <c r="AH4358" s="23"/>
      <c r="AI4358" s="23"/>
    </row>
    <row r="4359" spans="1:35">
      <c r="A4359" s="23"/>
      <c r="B4359" s="42"/>
      <c r="G4359" s="43"/>
      <c r="H4359" s="44"/>
      <c r="L4359" s="42"/>
      <c r="M4359" s="42"/>
      <c r="N4359" s="25"/>
      <c r="O4359" s="54"/>
      <c r="P4359"/>
      <c r="Q4359" s="25"/>
      <c r="R4359" s="54"/>
      <c r="W4359" s="23"/>
      <c r="X4359" s="23"/>
      <c r="Y4359" s="23"/>
      <c r="Z4359" s="43"/>
      <c r="AA4359" s="23"/>
      <c r="AB4359" s="23"/>
      <c r="AC4359" s="23"/>
      <c r="AD4359" s="23"/>
      <c r="AE4359" s="23"/>
      <c r="AF4359" s="23"/>
      <c r="AG4359" s="23"/>
      <c r="AH4359" s="23"/>
      <c r="AI4359" s="23"/>
    </row>
    <row r="4360" spans="1:35">
      <c r="A4360" s="23"/>
      <c r="B4360" s="42"/>
      <c r="C4360" s="49"/>
      <c r="E4360" s="49"/>
      <c r="G4360" s="43"/>
      <c r="H4360" s="44"/>
      <c r="L4360" s="42"/>
      <c r="M4360" s="42"/>
      <c r="N4360" s="25"/>
      <c r="O4360" s="54"/>
      <c r="P4360"/>
      <c r="Q4360" s="25"/>
      <c r="R4360" s="54"/>
      <c r="W4360" s="23"/>
      <c r="X4360" s="23"/>
      <c r="Y4360" s="23"/>
      <c r="Z4360" s="43"/>
      <c r="AA4360" s="23"/>
      <c r="AB4360" s="23"/>
      <c r="AC4360" s="23"/>
      <c r="AD4360" s="23"/>
      <c r="AE4360" s="23"/>
      <c r="AF4360" s="23"/>
      <c r="AG4360" s="23"/>
      <c r="AH4360" s="23"/>
      <c r="AI4360" s="49"/>
    </row>
    <row r="4361" spans="1:35">
      <c r="A4361" s="23"/>
      <c r="B4361" s="42"/>
      <c r="C4361" s="49"/>
      <c r="E4361" s="49"/>
      <c r="G4361" s="43"/>
      <c r="H4361" s="44"/>
      <c r="L4361" s="42"/>
      <c r="M4361" s="42"/>
      <c r="N4361" s="25"/>
      <c r="O4361" s="54"/>
      <c r="P4361"/>
      <c r="Q4361" s="25"/>
      <c r="R4361" s="54"/>
      <c r="W4361" s="23"/>
      <c r="X4361" s="23"/>
      <c r="Y4361" s="23"/>
      <c r="Z4361" s="43"/>
      <c r="AA4361" s="23"/>
      <c r="AB4361" s="23"/>
      <c r="AC4361" s="23"/>
      <c r="AD4361" s="23"/>
      <c r="AE4361" s="23"/>
      <c r="AF4361" s="23"/>
      <c r="AG4361" s="23"/>
      <c r="AH4361" s="23"/>
      <c r="AI4361" s="49"/>
    </row>
    <row r="4362" spans="1:35">
      <c r="A4362" s="23"/>
      <c r="B4362" s="42"/>
      <c r="C4362" s="49"/>
      <c r="E4362" s="49"/>
      <c r="G4362" s="43"/>
      <c r="H4362" s="44"/>
      <c r="L4362" s="42"/>
      <c r="M4362" s="42"/>
      <c r="N4362" s="25"/>
      <c r="O4362" s="54"/>
      <c r="P4362"/>
      <c r="Q4362" s="25"/>
      <c r="R4362" s="54"/>
      <c r="W4362" s="23"/>
      <c r="X4362" s="23"/>
      <c r="Y4362" s="23"/>
      <c r="Z4362" s="43"/>
      <c r="AA4362" s="23"/>
      <c r="AB4362" s="23"/>
      <c r="AC4362" s="23"/>
      <c r="AD4362" s="23"/>
      <c r="AE4362" s="23"/>
      <c r="AF4362" s="23"/>
      <c r="AG4362" s="23"/>
      <c r="AH4362" s="23"/>
      <c r="AI4362" s="49"/>
    </row>
    <row r="4363" spans="1:35">
      <c r="A4363" s="23"/>
      <c r="B4363" s="42"/>
      <c r="C4363" s="49"/>
      <c r="E4363" s="49"/>
      <c r="G4363" s="43"/>
      <c r="H4363" s="44"/>
      <c r="L4363" s="42"/>
      <c r="M4363" s="42"/>
      <c r="N4363" s="25"/>
      <c r="O4363" s="54"/>
      <c r="P4363"/>
      <c r="Q4363" s="25"/>
      <c r="R4363" s="54"/>
      <c r="W4363" s="23"/>
      <c r="X4363" s="23"/>
      <c r="Y4363" s="23"/>
      <c r="Z4363" s="43"/>
      <c r="AA4363" s="23"/>
      <c r="AB4363" s="23"/>
      <c r="AC4363" s="23"/>
      <c r="AD4363" s="23"/>
      <c r="AE4363" s="23"/>
      <c r="AF4363" s="23"/>
      <c r="AG4363" s="23"/>
      <c r="AH4363" s="23"/>
      <c r="AI4363" s="49"/>
    </row>
    <row r="4364" spans="1:35">
      <c r="A4364" s="23"/>
      <c r="B4364" s="42"/>
      <c r="C4364" s="49"/>
      <c r="E4364" s="49"/>
      <c r="G4364" s="43"/>
      <c r="H4364" s="44"/>
      <c r="L4364" s="42"/>
      <c r="M4364" s="42"/>
      <c r="N4364" s="25"/>
      <c r="O4364" s="54"/>
      <c r="P4364"/>
      <c r="Q4364" s="25"/>
      <c r="R4364" s="54"/>
      <c r="W4364" s="23"/>
      <c r="X4364" s="23"/>
      <c r="Y4364" s="23"/>
      <c r="Z4364" s="43"/>
      <c r="AA4364" s="23"/>
      <c r="AB4364" s="23"/>
      <c r="AC4364" s="23"/>
      <c r="AD4364" s="23"/>
      <c r="AE4364" s="23"/>
      <c r="AF4364" s="23"/>
      <c r="AG4364" s="23"/>
      <c r="AH4364" s="23"/>
      <c r="AI4364" s="49"/>
    </row>
    <row r="4365" spans="1:35">
      <c r="A4365" s="23"/>
      <c r="B4365" s="42"/>
      <c r="C4365" s="49"/>
      <c r="E4365" s="49"/>
      <c r="G4365" s="43"/>
      <c r="H4365" s="44"/>
      <c r="L4365" s="42"/>
      <c r="M4365" s="42"/>
      <c r="N4365" s="25"/>
      <c r="O4365" s="54"/>
      <c r="P4365"/>
      <c r="Q4365" s="25"/>
      <c r="R4365" s="54"/>
      <c r="W4365" s="23"/>
      <c r="X4365" s="23"/>
      <c r="Y4365" s="23"/>
      <c r="Z4365" s="43"/>
      <c r="AA4365" s="23"/>
      <c r="AB4365" s="23"/>
      <c r="AC4365" s="23"/>
      <c r="AD4365" s="23"/>
      <c r="AE4365" s="23"/>
      <c r="AF4365" s="23"/>
      <c r="AG4365" s="23"/>
      <c r="AH4365" s="23"/>
      <c r="AI4365" s="49"/>
    </row>
    <row r="4366" spans="1:35">
      <c r="A4366" s="23"/>
      <c r="B4366" s="42"/>
      <c r="C4366" s="49"/>
      <c r="E4366" s="49"/>
      <c r="G4366" s="43"/>
      <c r="H4366" s="44"/>
      <c r="L4366" s="42"/>
      <c r="M4366" s="42"/>
      <c r="N4366" s="25"/>
      <c r="O4366" s="54"/>
      <c r="P4366"/>
      <c r="Q4366" s="25"/>
      <c r="R4366" s="54"/>
      <c r="W4366" s="23"/>
      <c r="X4366" s="23"/>
      <c r="Y4366" s="23"/>
      <c r="Z4366" s="43"/>
      <c r="AA4366" s="23"/>
      <c r="AB4366" s="23"/>
      <c r="AC4366" s="23"/>
      <c r="AD4366" s="23"/>
      <c r="AE4366" s="23"/>
      <c r="AF4366" s="23"/>
      <c r="AG4366" s="23"/>
      <c r="AH4366" s="23"/>
      <c r="AI4366" s="49"/>
    </row>
    <row r="4367" spans="1:35">
      <c r="A4367" s="23"/>
      <c r="B4367" s="42"/>
      <c r="C4367" s="49"/>
      <c r="E4367" s="49"/>
      <c r="G4367" s="43"/>
      <c r="H4367" s="44"/>
      <c r="L4367" s="42"/>
      <c r="M4367" s="42"/>
      <c r="N4367" s="25"/>
      <c r="O4367" s="54"/>
      <c r="P4367"/>
      <c r="Q4367" s="25"/>
      <c r="R4367" s="54"/>
      <c r="W4367" s="23"/>
      <c r="X4367" s="23"/>
      <c r="Y4367" s="23"/>
      <c r="Z4367" s="43"/>
      <c r="AA4367" s="23"/>
      <c r="AB4367" s="23"/>
      <c r="AC4367" s="23"/>
      <c r="AD4367" s="23"/>
      <c r="AE4367" s="23"/>
      <c r="AF4367" s="23"/>
      <c r="AG4367" s="23"/>
      <c r="AH4367" s="23"/>
      <c r="AI4367" s="49"/>
    </row>
    <row r="4368" spans="1:35">
      <c r="A4368" s="23"/>
      <c r="B4368" s="42"/>
      <c r="C4368" s="49"/>
      <c r="E4368" s="49"/>
      <c r="G4368" s="43"/>
      <c r="H4368" s="44"/>
      <c r="L4368" s="42"/>
      <c r="M4368" s="42"/>
      <c r="N4368" s="25"/>
      <c r="O4368" s="54"/>
      <c r="P4368"/>
      <c r="Q4368" s="25"/>
      <c r="R4368" s="54"/>
      <c r="W4368" s="23"/>
      <c r="X4368" s="23"/>
      <c r="Y4368" s="23"/>
      <c r="Z4368" s="43"/>
      <c r="AA4368" s="23"/>
      <c r="AB4368" s="23"/>
      <c r="AC4368" s="23"/>
      <c r="AD4368" s="23"/>
      <c r="AE4368" s="23"/>
      <c r="AF4368" s="23"/>
      <c r="AG4368" s="23"/>
      <c r="AH4368" s="23"/>
      <c r="AI4368" s="49"/>
    </row>
    <row r="4369" spans="1:35">
      <c r="A4369" s="23"/>
      <c r="B4369" s="42"/>
      <c r="C4369" s="49"/>
      <c r="E4369" s="49"/>
      <c r="G4369" s="43"/>
      <c r="H4369" s="44"/>
      <c r="L4369" s="42"/>
      <c r="M4369" s="42"/>
      <c r="N4369" s="25"/>
      <c r="O4369" s="54"/>
      <c r="P4369"/>
      <c r="Q4369" s="25"/>
      <c r="R4369" s="54"/>
      <c r="W4369" s="23"/>
      <c r="X4369" s="23"/>
      <c r="Y4369" s="23"/>
      <c r="Z4369" s="43"/>
      <c r="AA4369" s="23"/>
      <c r="AB4369" s="23"/>
      <c r="AC4369" s="23"/>
      <c r="AD4369" s="23"/>
      <c r="AE4369" s="23"/>
      <c r="AF4369" s="23"/>
      <c r="AG4369" s="23"/>
      <c r="AH4369" s="23"/>
      <c r="AI4369" s="49"/>
    </row>
    <row r="4370" spans="1:35">
      <c r="A4370" s="23"/>
      <c r="B4370" s="42"/>
      <c r="C4370" s="49"/>
      <c r="E4370" s="49"/>
      <c r="G4370" s="43"/>
      <c r="H4370" s="44"/>
      <c r="L4370" s="42"/>
      <c r="M4370" s="42"/>
      <c r="N4370" s="25"/>
      <c r="O4370" s="54"/>
      <c r="P4370"/>
      <c r="Q4370" s="25"/>
      <c r="R4370" s="54"/>
      <c r="W4370" s="23"/>
      <c r="X4370" s="23"/>
      <c r="Y4370" s="23"/>
      <c r="Z4370" s="43"/>
      <c r="AA4370" s="23"/>
      <c r="AB4370" s="23"/>
      <c r="AC4370" s="23"/>
      <c r="AD4370" s="23"/>
      <c r="AE4370" s="23"/>
      <c r="AF4370" s="23"/>
      <c r="AG4370" s="23"/>
      <c r="AH4370" s="23"/>
      <c r="AI4370" s="49"/>
    </row>
    <row r="4371" spans="1:35">
      <c r="A4371" s="23"/>
      <c r="B4371" s="42"/>
      <c r="C4371" s="49"/>
      <c r="E4371" s="49"/>
      <c r="G4371" s="43"/>
      <c r="H4371" s="44"/>
      <c r="L4371" s="42"/>
      <c r="M4371" s="42"/>
      <c r="N4371" s="25"/>
      <c r="O4371" s="54"/>
      <c r="P4371"/>
      <c r="Q4371" s="25"/>
      <c r="R4371" s="54"/>
      <c r="W4371" s="23"/>
      <c r="X4371" s="23"/>
      <c r="Y4371" s="23"/>
      <c r="Z4371" s="43"/>
      <c r="AA4371" s="23"/>
      <c r="AB4371" s="23"/>
      <c r="AC4371" s="23"/>
      <c r="AD4371" s="23"/>
      <c r="AE4371" s="23"/>
      <c r="AF4371" s="23"/>
      <c r="AG4371" s="23"/>
      <c r="AH4371" s="23"/>
      <c r="AI4371" s="49"/>
    </row>
    <row r="4372" spans="1:35">
      <c r="A4372" s="23"/>
      <c r="B4372" s="42"/>
      <c r="C4372" s="49"/>
      <c r="E4372" s="49"/>
      <c r="G4372" s="43"/>
      <c r="H4372" s="44"/>
      <c r="L4372" s="42"/>
      <c r="M4372" s="42"/>
      <c r="N4372" s="25"/>
      <c r="O4372" s="54"/>
      <c r="P4372"/>
      <c r="Q4372" s="25"/>
      <c r="R4372" s="54"/>
      <c r="W4372" s="23"/>
      <c r="X4372" s="23"/>
      <c r="Y4372" s="23"/>
      <c r="Z4372" s="43"/>
      <c r="AA4372" s="23"/>
      <c r="AB4372" s="23"/>
      <c r="AC4372" s="23"/>
      <c r="AD4372" s="23"/>
      <c r="AE4372" s="23"/>
      <c r="AF4372" s="23"/>
      <c r="AG4372" s="23"/>
      <c r="AH4372" s="23"/>
      <c r="AI4372" s="49"/>
    </row>
    <row r="4373" spans="1:35">
      <c r="A4373" s="23"/>
      <c r="B4373" s="42"/>
      <c r="C4373" s="49"/>
      <c r="E4373" s="49"/>
      <c r="G4373" s="43"/>
      <c r="H4373" s="44"/>
      <c r="L4373" s="42"/>
      <c r="M4373" s="42"/>
      <c r="N4373" s="25"/>
      <c r="O4373" s="54"/>
      <c r="P4373"/>
      <c r="Q4373" s="25"/>
      <c r="R4373" s="54"/>
      <c r="W4373" s="23"/>
      <c r="X4373" s="23"/>
      <c r="Y4373" s="23"/>
      <c r="Z4373" s="43"/>
      <c r="AA4373" s="23"/>
      <c r="AB4373" s="23"/>
      <c r="AC4373" s="23"/>
      <c r="AD4373" s="23"/>
      <c r="AE4373" s="23"/>
      <c r="AF4373" s="23"/>
      <c r="AG4373" s="23"/>
      <c r="AH4373" s="23"/>
      <c r="AI4373" s="49"/>
    </row>
    <row r="4374" spans="1:35">
      <c r="A4374" s="23"/>
      <c r="B4374" s="42"/>
      <c r="C4374" s="49"/>
      <c r="E4374" s="49"/>
      <c r="G4374" s="43"/>
      <c r="H4374" s="44"/>
      <c r="L4374" s="42"/>
      <c r="M4374" s="42"/>
      <c r="N4374" s="25"/>
      <c r="O4374" s="54"/>
      <c r="P4374"/>
      <c r="Q4374" s="25"/>
      <c r="R4374" s="54"/>
      <c r="W4374" s="23"/>
      <c r="X4374" s="23"/>
      <c r="Y4374" s="23"/>
      <c r="Z4374" s="43"/>
      <c r="AA4374" s="23"/>
      <c r="AB4374" s="23"/>
      <c r="AC4374" s="23"/>
      <c r="AD4374" s="23"/>
      <c r="AE4374" s="23"/>
      <c r="AF4374" s="23"/>
      <c r="AG4374" s="23"/>
      <c r="AH4374" s="23"/>
      <c r="AI4374" s="49"/>
    </row>
    <row r="4375" spans="1:35">
      <c r="A4375" s="23"/>
      <c r="B4375" s="42"/>
      <c r="G4375" s="43"/>
      <c r="H4375" s="44"/>
      <c r="L4375" s="42"/>
      <c r="M4375" s="42"/>
      <c r="N4375" s="25"/>
      <c r="O4375" s="54"/>
      <c r="P4375"/>
      <c r="Q4375" s="25"/>
      <c r="R4375" s="54"/>
      <c r="W4375" s="23"/>
      <c r="X4375" s="23"/>
      <c r="Y4375" s="23"/>
      <c r="Z4375" s="43"/>
      <c r="AA4375" s="23"/>
      <c r="AB4375" s="23"/>
      <c r="AC4375" s="23"/>
      <c r="AD4375" s="23"/>
      <c r="AE4375" s="23"/>
      <c r="AF4375" s="23"/>
      <c r="AG4375" s="23"/>
      <c r="AH4375" s="23"/>
      <c r="AI4375" s="23"/>
    </row>
    <row r="4376" spans="1:35">
      <c r="A4376" s="23"/>
      <c r="B4376" s="42"/>
      <c r="C4376" s="49"/>
      <c r="E4376" s="49"/>
      <c r="G4376" s="43"/>
      <c r="H4376" s="44"/>
      <c r="L4376" s="42"/>
      <c r="M4376" s="42"/>
      <c r="N4376" s="25"/>
      <c r="O4376" s="54"/>
      <c r="P4376"/>
      <c r="Q4376" s="25"/>
      <c r="R4376" s="54"/>
      <c r="W4376" s="23"/>
      <c r="X4376" s="23"/>
      <c r="Y4376" s="23"/>
      <c r="Z4376" s="43"/>
      <c r="AA4376" s="23"/>
      <c r="AB4376" s="23"/>
      <c r="AC4376" s="23"/>
      <c r="AD4376" s="23"/>
      <c r="AE4376" s="23"/>
      <c r="AF4376" s="23"/>
      <c r="AG4376" s="23"/>
      <c r="AH4376" s="23"/>
      <c r="AI4376" s="49"/>
    </row>
    <row r="4377" spans="1:35">
      <c r="A4377" s="23"/>
      <c r="B4377" s="42"/>
      <c r="C4377" s="49"/>
      <c r="E4377" s="49"/>
      <c r="G4377" s="43"/>
      <c r="H4377" s="44"/>
      <c r="L4377" s="42"/>
      <c r="M4377" s="42"/>
      <c r="N4377" s="25"/>
      <c r="O4377" s="54"/>
      <c r="P4377"/>
      <c r="Q4377" s="25"/>
      <c r="R4377" s="54"/>
      <c r="W4377" s="23"/>
      <c r="X4377" s="23"/>
      <c r="Y4377" s="23"/>
      <c r="Z4377" s="43"/>
      <c r="AA4377" s="23"/>
      <c r="AB4377" s="23"/>
      <c r="AC4377" s="23"/>
      <c r="AD4377" s="23"/>
      <c r="AE4377" s="23"/>
      <c r="AF4377" s="23"/>
      <c r="AG4377" s="23"/>
      <c r="AH4377" s="23"/>
      <c r="AI4377" s="49"/>
    </row>
    <row r="4378" spans="1:35">
      <c r="A4378" s="23"/>
      <c r="B4378" s="42"/>
      <c r="G4378" s="43"/>
      <c r="H4378" s="44"/>
      <c r="L4378" s="42"/>
      <c r="M4378" s="42"/>
      <c r="N4378" s="25"/>
      <c r="O4378" s="54"/>
      <c r="P4378"/>
      <c r="Q4378" s="25"/>
      <c r="R4378" s="54"/>
      <c r="W4378" s="23"/>
      <c r="X4378" s="23"/>
      <c r="Y4378" s="23"/>
      <c r="Z4378" s="43"/>
      <c r="AA4378" s="23"/>
      <c r="AB4378" s="23"/>
      <c r="AC4378" s="23"/>
      <c r="AD4378" s="23"/>
      <c r="AE4378" s="23"/>
      <c r="AF4378" s="23"/>
      <c r="AG4378" s="23"/>
      <c r="AH4378" s="23"/>
      <c r="AI4378" s="23"/>
    </row>
    <row r="4379" spans="1:35">
      <c r="A4379" s="23"/>
      <c r="B4379" s="42"/>
      <c r="C4379" s="49"/>
      <c r="E4379" s="49"/>
      <c r="G4379" s="43"/>
      <c r="H4379" s="44"/>
      <c r="L4379" s="42"/>
      <c r="M4379" s="42"/>
      <c r="N4379" s="25"/>
      <c r="O4379" s="54"/>
      <c r="P4379"/>
      <c r="Q4379" s="25"/>
      <c r="R4379" s="54"/>
      <c r="W4379" s="23"/>
      <c r="X4379" s="23"/>
      <c r="Y4379" s="23"/>
      <c r="Z4379" s="43"/>
      <c r="AA4379" s="23"/>
      <c r="AB4379" s="23"/>
      <c r="AC4379" s="23"/>
      <c r="AD4379" s="23"/>
      <c r="AE4379" s="23"/>
      <c r="AF4379" s="23"/>
      <c r="AG4379" s="23"/>
      <c r="AH4379" s="23"/>
      <c r="AI4379" s="49"/>
    </row>
    <row r="4380" spans="1:35">
      <c r="A4380" s="23"/>
      <c r="B4380" s="42"/>
      <c r="C4380" s="49"/>
      <c r="E4380" s="49"/>
      <c r="G4380" s="43"/>
      <c r="H4380" s="44"/>
      <c r="L4380" s="42"/>
      <c r="M4380" s="42"/>
      <c r="N4380" s="25"/>
      <c r="O4380" s="54"/>
      <c r="P4380"/>
      <c r="Q4380" s="25"/>
      <c r="R4380" s="54"/>
      <c r="W4380" s="23"/>
      <c r="X4380" s="23"/>
      <c r="Y4380" s="23"/>
      <c r="Z4380" s="43"/>
      <c r="AA4380" s="23"/>
      <c r="AB4380" s="23"/>
      <c r="AC4380" s="23"/>
      <c r="AD4380" s="23"/>
      <c r="AE4380" s="23"/>
      <c r="AF4380" s="23"/>
      <c r="AG4380" s="23"/>
      <c r="AH4380" s="23"/>
      <c r="AI4380" s="49"/>
    </row>
    <row r="4381" spans="1:35">
      <c r="A4381" s="23"/>
      <c r="B4381" s="42"/>
      <c r="C4381" s="49"/>
      <c r="E4381" s="49"/>
      <c r="G4381" s="43"/>
      <c r="H4381" s="44"/>
      <c r="L4381" s="42"/>
      <c r="M4381" s="42"/>
      <c r="N4381" s="25"/>
      <c r="O4381" s="54"/>
      <c r="P4381"/>
      <c r="Q4381" s="25"/>
      <c r="R4381" s="54"/>
      <c r="W4381" s="23"/>
      <c r="X4381" s="23"/>
      <c r="Y4381" s="23"/>
      <c r="Z4381" s="43"/>
      <c r="AA4381" s="23"/>
      <c r="AB4381" s="23"/>
      <c r="AC4381" s="23"/>
      <c r="AD4381" s="23"/>
      <c r="AE4381" s="23"/>
      <c r="AF4381" s="23"/>
      <c r="AG4381" s="23"/>
      <c r="AH4381" s="23"/>
      <c r="AI4381" s="49"/>
    </row>
    <row r="4382" spans="1:35">
      <c r="A4382" s="23"/>
      <c r="B4382" s="42"/>
      <c r="C4382" s="49"/>
      <c r="E4382" s="49"/>
      <c r="G4382" s="43"/>
      <c r="H4382" s="44"/>
      <c r="L4382" s="42"/>
      <c r="M4382" s="42"/>
      <c r="N4382" s="25"/>
      <c r="O4382" s="54"/>
      <c r="P4382"/>
      <c r="Q4382" s="25"/>
      <c r="R4382" s="54"/>
      <c r="W4382" s="23"/>
      <c r="X4382" s="23"/>
      <c r="Y4382" s="23"/>
      <c r="Z4382" s="43"/>
      <c r="AA4382" s="23"/>
      <c r="AB4382" s="23"/>
      <c r="AC4382" s="23"/>
      <c r="AD4382" s="23"/>
      <c r="AE4382" s="23"/>
      <c r="AF4382" s="23"/>
      <c r="AG4382" s="23"/>
      <c r="AH4382" s="23"/>
      <c r="AI4382" s="49"/>
    </row>
    <row r="4383" spans="1:35">
      <c r="A4383" s="23"/>
      <c r="B4383" s="42"/>
      <c r="C4383" s="49"/>
      <c r="E4383" s="49"/>
      <c r="G4383" s="43"/>
      <c r="H4383" s="44"/>
      <c r="L4383" s="42"/>
      <c r="M4383" s="42"/>
      <c r="N4383" s="25"/>
      <c r="O4383" s="54"/>
      <c r="P4383"/>
      <c r="Q4383" s="25"/>
      <c r="R4383" s="54"/>
      <c r="W4383" s="23"/>
      <c r="X4383" s="23"/>
      <c r="Y4383" s="23"/>
      <c r="Z4383" s="43"/>
      <c r="AA4383" s="23"/>
      <c r="AB4383" s="23"/>
      <c r="AC4383" s="23"/>
      <c r="AD4383" s="23"/>
      <c r="AE4383" s="23"/>
      <c r="AF4383" s="23"/>
      <c r="AG4383" s="23"/>
      <c r="AH4383" s="23"/>
      <c r="AI4383" s="49"/>
    </row>
    <row r="4384" spans="1:35">
      <c r="A4384" s="23"/>
      <c r="B4384" s="42"/>
      <c r="C4384" s="49"/>
      <c r="E4384" s="49"/>
      <c r="G4384" s="43"/>
      <c r="H4384" s="44"/>
      <c r="L4384" s="42"/>
      <c r="M4384" s="42"/>
      <c r="N4384" s="25"/>
      <c r="O4384" s="54"/>
      <c r="P4384"/>
      <c r="Q4384" s="25"/>
      <c r="R4384" s="54"/>
      <c r="W4384" s="23"/>
      <c r="X4384" s="23"/>
      <c r="Y4384" s="23"/>
      <c r="Z4384" s="43"/>
      <c r="AA4384" s="23"/>
      <c r="AB4384" s="23"/>
      <c r="AC4384" s="23"/>
      <c r="AD4384" s="23"/>
      <c r="AE4384" s="23"/>
      <c r="AF4384" s="23"/>
      <c r="AG4384" s="23"/>
      <c r="AH4384" s="23"/>
      <c r="AI4384" s="49"/>
    </row>
    <row r="4385" spans="1:35">
      <c r="A4385" s="23"/>
      <c r="B4385" s="42"/>
      <c r="C4385" s="49"/>
      <c r="E4385" s="49"/>
      <c r="G4385" s="43"/>
      <c r="H4385" s="44"/>
      <c r="L4385" s="42"/>
      <c r="M4385" s="42"/>
      <c r="N4385" s="25"/>
      <c r="O4385" s="54"/>
      <c r="P4385"/>
      <c r="Q4385" s="25"/>
      <c r="R4385" s="54"/>
      <c r="W4385" s="23"/>
      <c r="X4385" s="23"/>
      <c r="Y4385" s="23"/>
      <c r="Z4385" s="43"/>
      <c r="AA4385" s="23"/>
      <c r="AB4385" s="23"/>
      <c r="AC4385" s="23"/>
      <c r="AD4385" s="23"/>
      <c r="AE4385" s="23"/>
      <c r="AF4385" s="23"/>
      <c r="AG4385" s="23"/>
      <c r="AH4385" s="23"/>
      <c r="AI4385" s="49"/>
    </row>
    <row r="4386" spans="1:35">
      <c r="A4386" s="23"/>
      <c r="B4386" s="42"/>
      <c r="C4386" s="49"/>
      <c r="E4386" s="49"/>
      <c r="G4386" s="43"/>
      <c r="H4386" s="44"/>
      <c r="L4386" s="42"/>
      <c r="M4386" s="42"/>
      <c r="N4386" s="25"/>
      <c r="O4386" s="54"/>
      <c r="P4386"/>
      <c r="Q4386" s="25"/>
      <c r="R4386" s="54"/>
      <c r="W4386" s="23"/>
      <c r="X4386" s="23"/>
      <c r="Y4386" s="23"/>
      <c r="Z4386" s="43"/>
      <c r="AA4386" s="23"/>
      <c r="AB4386" s="23"/>
      <c r="AC4386" s="23"/>
      <c r="AD4386" s="23"/>
      <c r="AE4386" s="23"/>
      <c r="AF4386" s="23"/>
      <c r="AG4386" s="23"/>
      <c r="AH4386" s="23"/>
      <c r="AI4386" s="49"/>
    </row>
    <row r="4387" spans="1:35">
      <c r="A4387" s="23"/>
      <c r="B4387" s="42"/>
      <c r="G4387" s="43"/>
      <c r="H4387" s="44"/>
      <c r="L4387" s="42"/>
      <c r="M4387" s="42"/>
      <c r="N4387" s="25"/>
      <c r="O4387" s="54"/>
      <c r="P4387"/>
      <c r="Q4387" s="25"/>
      <c r="R4387" s="54"/>
      <c r="W4387" s="23"/>
      <c r="X4387" s="23"/>
      <c r="Y4387" s="23"/>
      <c r="Z4387" s="43"/>
      <c r="AA4387" s="23"/>
      <c r="AB4387" s="23"/>
      <c r="AC4387" s="23"/>
      <c r="AD4387" s="23"/>
      <c r="AE4387" s="23"/>
      <c r="AF4387" s="23"/>
      <c r="AG4387" s="23"/>
      <c r="AH4387" s="23"/>
      <c r="AI4387" s="23"/>
    </row>
    <row r="4388" spans="1:35">
      <c r="A4388" s="23"/>
      <c r="B4388" s="42"/>
      <c r="C4388" s="49"/>
      <c r="E4388" s="49"/>
      <c r="G4388" s="43"/>
      <c r="H4388" s="44"/>
      <c r="L4388" s="42"/>
      <c r="M4388" s="42"/>
      <c r="N4388" s="25"/>
      <c r="O4388" s="54"/>
      <c r="P4388"/>
      <c r="Q4388" s="25"/>
      <c r="R4388" s="54"/>
      <c r="W4388" s="23"/>
      <c r="X4388" s="23"/>
      <c r="Y4388" s="23"/>
      <c r="Z4388" s="43"/>
      <c r="AA4388" s="23"/>
      <c r="AB4388" s="23"/>
      <c r="AC4388" s="23"/>
      <c r="AD4388" s="23"/>
      <c r="AE4388" s="23"/>
      <c r="AF4388" s="23"/>
      <c r="AG4388" s="23"/>
      <c r="AH4388" s="23"/>
      <c r="AI4388" s="49"/>
    </row>
    <row r="4389" spans="1:35">
      <c r="A4389" s="23"/>
      <c r="B4389" s="42"/>
      <c r="C4389" s="49"/>
      <c r="E4389" s="49"/>
      <c r="G4389" s="43"/>
      <c r="H4389" s="44"/>
      <c r="L4389" s="42"/>
      <c r="M4389" s="42"/>
      <c r="N4389" s="25"/>
      <c r="O4389" s="54"/>
      <c r="P4389"/>
      <c r="Q4389" s="25"/>
      <c r="R4389" s="54"/>
      <c r="W4389" s="23"/>
      <c r="X4389" s="23"/>
      <c r="Y4389" s="23"/>
      <c r="Z4389" s="43"/>
      <c r="AA4389" s="23"/>
      <c r="AB4389" s="23"/>
      <c r="AC4389" s="23"/>
      <c r="AD4389" s="23"/>
      <c r="AE4389" s="23"/>
      <c r="AF4389" s="23"/>
      <c r="AG4389" s="23"/>
      <c r="AH4389" s="23"/>
      <c r="AI4389" s="49"/>
    </row>
    <row r="4390" spans="1:35">
      <c r="A4390" s="23"/>
      <c r="B4390" s="42"/>
      <c r="G4390" s="43"/>
      <c r="H4390" s="44"/>
      <c r="L4390" s="42"/>
      <c r="M4390" s="42"/>
      <c r="N4390" s="25"/>
      <c r="O4390" s="54"/>
      <c r="P4390"/>
      <c r="Q4390" s="25"/>
      <c r="R4390" s="54"/>
      <c r="W4390" s="23"/>
      <c r="X4390" s="23"/>
      <c r="Y4390" s="23"/>
      <c r="Z4390" s="43"/>
      <c r="AA4390" s="23"/>
      <c r="AB4390" s="23"/>
      <c r="AC4390" s="23"/>
      <c r="AD4390" s="23"/>
      <c r="AE4390" s="23"/>
      <c r="AF4390" s="23"/>
      <c r="AG4390" s="23"/>
      <c r="AH4390" s="23"/>
      <c r="AI4390" s="23"/>
    </row>
    <row r="4391" spans="1:35">
      <c r="A4391" s="23"/>
      <c r="B4391" s="42"/>
      <c r="C4391" s="49"/>
      <c r="E4391" s="49"/>
      <c r="G4391" s="43"/>
      <c r="H4391" s="44"/>
      <c r="L4391" s="42"/>
      <c r="M4391" s="42"/>
      <c r="N4391" s="25"/>
      <c r="O4391" s="54"/>
      <c r="P4391"/>
      <c r="Q4391" s="25"/>
      <c r="R4391" s="54"/>
      <c r="W4391" s="23"/>
      <c r="X4391" s="23"/>
      <c r="Y4391" s="23"/>
      <c r="Z4391" s="43"/>
      <c r="AA4391" s="23"/>
      <c r="AB4391" s="23"/>
      <c r="AC4391" s="23"/>
      <c r="AD4391" s="23"/>
      <c r="AE4391" s="23"/>
      <c r="AF4391" s="23"/>
      <c r="AG4391" s="23"/>
      <c r="AH4391" s="23"/>
      <c r="AI4391" s="49"/>
    </row>
    <row r="4392" spans="1:35">
      <c r="A4392" s="23"/>
      <c r="B4392" s="42"/>
      <c r="C4392" s="49"/>
      <c r="E4392" s="49"/>
      <c r="G4392" s="43"/>
      <c r="H4392" s="44"/>
      <c r="L4392" s="42"/>
      <c r="M4392" s="42"/>
      <c r="N4392" s="25"/>
      <c r="O4392" s="54"/>
      <c r="P4392"/>
      <c r="Q4392" s="25"/>
      <c r="R4392" s="54"/>
      <c r="W4392" s="23"/>
      <c r="X4392" s="23"/>
      <c r="Y4392" s="23"/>
      <c r="Z4392" s="43"/>
      <c r="AA4392" s="23"/>
      <c r="AB4392" s="23"/>
      <c r="AC4392" s="23"/>
      <c r="AD4392" s="23"/>
      <c r="AE4392" s="23"/>
      <c r="AF4392" s="23"/>
      <c r="AG4392" s="23"/>
      <c r="AH4392" s="23"/>
      <c r="AI4392" s="49"/>
    </row>
    <row r="4393" spans="1:35">
      <c r="A4393" s="23"/>
      <c r="B4393" s="42"/>
      <c r="G4393" s="43"/>
      <c r="H4393" s="44"/>
      <c r="L4393" s="42"/>
      <c r="M4393" s="42"/>
      <c r="N4393" s="25"/>
      <c r="O4393" s="54"/>
      <c r="P4393"/>
      <c r="Q4393" s="25"/>
      <c r="R4393" s="54"/>
      <c r="W4393" s="23"/>
      <c r="X4393" s="23"/>
      <c r="Y4393" s="23"/>
      <c r="Z4393" s="43"/>
      <c r="AA4393" s="23"/>
      <c r="AB4393" s="23"/>
      <c r="AC4393" s="23"/>
      <c r="AD4393" s="23"/>
      <c r="AE4393" s="23"/>
      <c r="AF4393" s="23"/>
      <c r="AG4393" s="23"/>
      <c r="AH4393" s="23"/>
      <c r="AI4393" s="23"/>
    </row>
    <row r="4394" spans="1:35">
      <c r="A4394" s="23"/>
      <c r="B4394" s="42"/>
      <c r="C4394" s="49"/>
      <c r="E4394" s="49"/>
      <c r="G4394" s="43"/>
      <c r="H4394" s="44"/>
      <c r="L4394" s="42"/>
      <c r="M4394" s="42"/>
      <c r="N4394" s="25"/>
      <c r="O4394" s="54"/>
      <c r="P4394"/>
      <c r="Q4394" s="25"/>
      <c r="R4394" s="54"/>
      <c r="W4394" s="23"/>
      <c r="X4394" s="23"/>
      <c r="Y4394" s="23"/>
      <c r="Z4394" s="43"/>
      <c r="AA4394" s="23"/>
      <c r="AB4394" s="23"/>
      <c r="AC4394" s="23"/>
      <c r="AD4394" s="23"/>
      <c r="AE4394" s="23"/>
      <c r="AF4394" s="23"/>
      <c r="AG4394" s="23"/>
      <c r="AH4394" s="23"/>
      <c r="AI4394" s="49"/>
    </row>
    <row r="4395" spans="1:35">
      <c r="A4395" s="23"/>
      <c r="B4395" s="42"/>
      <c r="C4395" s="49"/>
      <c r="E4395" s="49"/>
      <c r="G4395" s="43"/>
      <c r="H4395" s="44"/>
      <c r="L4395" s="42"/>
      <c r="M4395" s="42"/>
      <c r="N4395" s="25"/>
      <c r="O4395" s="54"/>
      <c r="P4395"/>
      <c r="Q4395" s="25"/>
      <c r="R4395" s="54"/>
      <c r="W4395" s="23"/>
      <c r="X4395" s="23"/>
      <c r="Y4395" s="23"/>
      <c r="Z4395" s="43"/>
      <c r="AA4395" s="23"/>
      <c r="AB4395" s="23"/>
      <c r="AC4395" s="23"/>
      <c r="AD4395" s="23"/>
      <c r="AE4395" s="23"/>
      <c r="AF4395" s="23"/>
      <c r="AG4395" s="23"/>
      <c r="AH4395" s="23"/>
      <c r="AI4395" s="49"/>
    </row>
    <row r="4396" spans="1:35">
      <c r="A4396" s="23"/>
      <c r="B4396" s="42"/>
      <c r="C4396" s="49"/>
      <c r="E4396" s="49"/>
      <c r="G4396" s="43"/>
      <c r="H4396" s="44"/>
      <c r="L4396" s="42"/>
      <c r="M4396" s="42"/>
      <c r="N4396" s="25"/>
      <c r="O4396" s="54"/>
      <c r="P4396"/>
      <c r="Q4396" s="25"/>
      <c r="R4396" s="54"/>
      <c r="W4396" s="23"/>
      <c r="X4396" s="23"/>
      <c r="Y4396" s="23"/>
      <c r="Z4396" s="43"/>
      <c r="AA4396" s="23"/>
      <c r="AB4396" s="23"/>
      <c r="AC4396" s="23"/>
      <c r="AD4396" s="23"/>
      <c r="AE4396" s="23"/>
      <c r="AF4396" s="23"/>
      <c r="AG4396" s="23"/>
      <c r="AH4396" s="23"/>
      <c r="AI4396" s="49"/>
    </row>
    <row r="4397" spans="1:35">
      <c r="A4397" s="23"/>
      <c r="B4397" s="42"/>
      <c r="C4397" s="49"/>
      <c r="E4397" s="49"/>
      <c r="G4397" s="43"/>
      <c r="H4397" s="44"/>
      <c r="L4397" s="42"/>
      <c r="M4397" s="42"/>
      <c r="N4397" s="25"/>
      <c r="O4397" s="54"/>
      <c r="P4397"/>
      <c r="Q4397" s="25"/>
      <c r="R4397" s="54"/>
      <c r="W4397" s="23"/>
      <c r="X4397" s="23"/>
      <c r="Y4397" s="23"/>
      <c r="Z4397" s="43"/>
      <c r="AA4397" s="23"/>
      <c r="AB4397" s="23"/>
      <c r="AC4397" s="23"/>
      <c r="AD4397" s="23"/>
      <c r="AE4397" s="23"/>
      <c r="AF4397" s="23"/>
      <c r="AG4397" s="23"/>
      <c r="AH4397" s="23"/>
      <c r="AI4397" s="49"/>
    </row>
    <row r="4398" spans="1:35">
      <c r="A4398" s="23"/>
      <c r="B4398" s="42"/>
      <c r="G4398" s="43"/>
      <c r="H4398" s="44"/>
      <c r="L4398" s="42"/>
      <c r="M4398" s="42"/>
      <c r="N4398" s="25"/>
      <c r="O4398" s="54"/>
      <c r="P4398"/>
      <c r="Q4398" s="25"/>
      <c r="R4398" s="54"/>
      <c r="W4398" s="23"/>
      <c r="X4398" s="23"/>
      <c r="Y4398" s="23"/>
      <c r="Z4398" s="43"/>
      <c r="AA4398" s="23"/>
      <c r="AB4398" s="23"/>
      <c r="AC4398" s="23"/>
      <c r="AD4398" s="23"/>
      <c r="AE4398" s="23"/>
      <c r="AF4398" s="23"/>
      <c r="AG4398" s="23"/>
      <c r="AH4398" s="23"/>
      <c r="AI4398" s="23"/>
    </row>
    <row r="4399" spans="1:35">
      <c r="A4399" s="23"/>
      <c r="B4399" s="42"/>
      <c r="C4399" s="49"/>
      <c r="E4399" s="49"/>
      <c r="G4399" s="43"/>
      <c r="H4399" s="44"/>
      <c r="L4399" s="42"/>
      <c r="M4399" s="42"/>
      <c r="N4399" s="25"/>
      <c r="O4399" s="54"/>
      <c r="P4399"/>
      <c r="Q4399" s="25"/>
      <c r="R4399" s="54"/>
      <c r="W4399" s="23"/>
      <c r="X4399" s="23"/>
      <c r="Y4399" s="23"/>
      <c r="Z4399" s="43"/>
      <c r="AA4399" s="23"/>
      <c r="AB4399" s="23"/>
      <c r="AC4399" s="23"/>
      <c r="AD4399" s="23"/>
      <c r="AE4399" s="23"/>
      <c r="AF4399" s="23"/>
      <c r="AG4399" s="23"/>
      <c r="AH4399" s="23"/>
      <c r="AI4399" s="49"/>
    </row>
    <row r="4400" spans="1:35">
      <c r="A4400" s="23"/>
      <c r="B4400" s="42"/>
      <c r="G4400" s="43"/>
      <c r="H4400" s="44"/>
      <c r="L4400" s="42"/>
      <c r="M4400" s="42"/>
      <c r="N4400" s="25"/>
      <c r="O4400" s="54"/>
      <c r="P4400"/>
      <c r="Q4400" s="25"/>
      <c r="R4400" s="54"/>
      <c r="W4400" s="23"/>
      <c r="X4400" s="23"/>
      <c r="Y4400" s="23"/>
      <c r="Z4400" s="43"/>
      <c r="AA4400" s="23"/>
      <c r="AB4400" s="23"/>
      <c r="AC4400" s="23"/>
      <c r="AD4400" s="23"/>
      <c r="AE4400" s="23"/>
      <c r="AF4400" s="23"/>
      <c r="AG4400" s="23"/>
      <c r="AH4400" s="23"/>
      <c r="AI4400" s="23"/>
    </row>
    <row r="4401" spans="1:35">
      <c r="A4401" s="23"/>
      <c r="B4401" s="42"/>
      <c r="G4401" s="43"/>
      <c r="H4401" s="44"/>
      <c r="L4401" s="42"/>
      <c r="M4401" s="42"/>
      <c r="N4401" s="25"/>
      <c r="O4401" s="54"/>
      <c r="P4401"/>
      <c r="Q4401" s="25"/>
      <c r="R4401" s="54"/>
      <c r="W4401" s="23"/>
      <c r="X4401" s="23"/>
      <c r="Y4401" s="23"/>
      <c r="Z4401" s="43"/>
      <c r="AA4401" s="23"/>
      <c r="AB4401" s="23"/>
      <c r="AC4401" s="23"/>
      <c r="AD4401" s="23"/>
      <c r="AE4401" s="23"/>
      <c r="AF4401" s="23"/>
      <c r="AG4401" s="23"/>
      <c r="AH4401" s="23"/>
      <c r="AI4401" s="23"/>
    </row>
    <row r="4402" spans="1:35">
      <c r="A4402" s="23"/>
      <c r="B4402" s="42"/>
      <c r="G4402" s="43"/>
      <c r="H4402" s="44"/>
      <c r="L4402" s="42"/>
      <c r="M4402" s="42"/>
      <c r="N4402" s="25"/>
      <c r="O4402" s="54"/>
      <c r="P4402"/>
      <c r="Q4402" s="25"/>
      <c r="R4402" s="54"/>
      <c r="W4402" s="23"/>
      <c r="X4402" s="23"/>
      <c r="Y4402" s="23"/>
      <c r="Z4402" s="43"/>
      <c r="AA4402" s="23"/>
      <c r="AB4402" s="23"/>
      <c r="AC4402" s="23"/>
      <c r="AD4402" s="23"/>
      <c r="AE4402" s="23"/>
      <c r="AF4402" s="23"/>
      <c r="AG4402" s="23"/>
      <c r="AH4402" s="23"/>
      <c r="AI4402" s="23"/>
    </row>
    <row r="4403" spans="1:35">
      <c r="A4403" s="23"/>
      <c r="B4403" s="42"/>
      <c r="C4403" s="49"/>
      <c r="E4403" s="49"/>
      <c r="G4403" s="43"/>
      <c r="H4403" s="44"/>
      <c r="L4403" s="42"/>
      <c r="M4403" s="42"/>
      <c r="N4403" s="25"/>
      <c r="O4403" s="54"/>
      <c r="P4403"/>
      <c r="Q4403" s="25"/>
      <c r="R4403" s="54"/>
      <c r="W4403" s="23"/>
      <c r="X4403" s="23"/>
      <c r="Y4403" s="23"/>
      <c r="Z4403" s="43"/>
      <c r="AA4403" s="23"/>
      <c r="AB4403" s="23"/>
      <c r="AC4403" s="23"/>
      <c r="AD4403" s="23"/>
      <c r="AE4403" s="23"/>
      <c r="AF4403" s="23"/>
      <c r="AG4403" s="23"/>
      <c r="AH4403" s="23"/>
      <c r="AI4403" s="49"/>
    </row>
    <row r="4404" spans="1:35">
      <c r="A4404" s="23"/>
      <c r="B4404" s="42"/>
      <c r="C4404" s="49"/>
      <c r="E4404" s="49"/>
      <c r="G4404" s="43"/>
      <c r="H4404" s="44"/>
      <c r="L4404" s="42"/>
      <c r="M4404" s="42"/>
      <c r="N4404" s="25"/>
      <c r="O4404" s="54"/>
      <c r="P4404"/>
      <c r="Q4404" s="25"/>
      <c r="R4404" s="54"/>
      <c r="W4404" s="23"/>
      <c r="X4404" s="23"/>
      <c r="Y4404" s="23"/>
      <c r="Z4404" s="43"/>
      <c r="AA4404" s="23"/>
      <c r="AB4404" s="23"/>
      <c r="AC4404" s="23"/>
      <c r="AD4404" s="23"/>
      <c r="AE4404" s="23"/>
      <c r="AF4404" s="23"/>
      <c r="AG4404" s="23"/>
      <c r="AH4404" s="23"/>
      <c r="AI4404" s="49"/>
    </row>
    <row r="4405" spans="1:35">
      <c r="A4405" s="23"/>
      <c r="B4405" s="42"/>
      <c r="C4405" s="49"/>
      <c r="E4405" s="49"/>
      <c r="G4405" s="43"/>
      <c r="H4405" s="44"/>
      <c r="L4405" s="42"/>
      <c r="M4405" s="42"/>
      <c r="N4405" s="25"/>
      <c r="O4405" s="54"/>
      <c r="P4405"/>
      <c r="Q4405" s="25"/>
      <c r="R4405" s="54"/>
      <c r="W4405" s="23"/>
      <c r="X4405" s="23"/>
      <c r="Y4405" s="23"/>
      <c r="Z4405" s="43"/>
      <c r="AA4405" s="23"/>
      <c r="AB4405" s="23"/>
      <c r="AC4405" s="23"/>
      <c r="AD4405" s="23"/>
      <c r="AE4405" s="23"/>
      <c r="AF4405" s="23"/>
      <c r="AG4405" s="23"/>
      <c r="AH4405" s="23"/>
      <c r="AI4405" s="49"/>
    </row>
    <row r="4406" spans="1:35">
      <c r="A4406" s="23"/>
      <c r="B4406" s="42"/>
      <c r="C4406" s="49"/>
      <c r="E4406" s="49"/>
      <c r="G4406" s="43"/>
      <c r="H4406" s="44"/>
      <c r="L4406" s="42"/>
      <c r="M4406" s="42"/>
      <c r="N4406" s="25"/>
      <c r="O4406" s="54"/>
      <c r="P4406"/>
      <c r="Q4406" s="25"/>
      <c r="R4406" s="54"/>
      <c r="W4406" s="23"/>
      <c r="X4406" s="23"/>
      <c r="Y4406" s="23"/>
      <c r="Z4406" s="43"/>
      <c r="AA4406" s="23"/>
      <c r="AB4406" s="23"/>
      <c r="AC4406" s="23"/>
      <c r="AD4406" s="23"/>
      <c r="AE4406" s="23"/>
      <c r="AF4406" s="23"/>
      <c r="AG4406" s="23"/>
      <c r="AH4406" s="23"/>
      <c r="AI4406" s="49"/>
    </row>
    <row r="4407" spans="1:35">
      <c r="A4407" s="23"/>
      <c r="B4407" s="42"/>
      <c r="G4407" s="43"/>
      <c r="H4407" s="44"/>
      <c r="L4407" s="42"/>
      <c r="M4407" s="42"/>
      <c r="N4407" s="25"/>
      <c r="O4407" s="54"/>
      <c r="P4407"/>
      <c r="Q4407" s="25"/>
      <c r="R4407" s="54"/>
      <c r="W4407" s="23"/>
      <c r="X4407" s="23"/>
      <c r="Y4407" s="23"/>
      <c r="Z4407" s="43"/>
      <c r="AA4407" s="23"/>
      <c r="AB4407" s="23"/>
      <c r="AC4407" s="23"/>
      <c r="AD4407" s="23"/>
      <c r="AE4407" s="23"/>
      <c r="AF4407" s="23"/>
      <c r="AG4407" s="23"/>
      <c r="AH4407" s="23"/>
      <c r="AI4407" s="23"/>
    </row>
    <row r="4408" spans="1:35">
      <c r="A4408" s="23"/>
      <c r="B4408" s="42"/>
      <c r="C4408" s="49"/>
      <c r="E4408" s="49"/>
      <c r="G4408" s="43"/>
      <c r="H4408" s="44"/>
      <c r="L4408" s="42"/>
      <c r="M4408" s="42"/>
      <c r="N4408" s="25"/>
      <c r="O4408" s="54"/>
      <c r="P4408"/>
      <c r="Q4408" s="25"/>
      <c r="R4408" s="54"/>
      <c r="W4408" s="23"/>
      <c r="X4408" s="23"/>
      <c r="Y4408" s="23"/>
      <c r="Z4408" s="43"/>
      <c r="AA4408" s="23"/>
      <c r="AB4408" s="23"/>
      <c r="AC4408" s="23"/>
      <c r="AD4408" s="23"/>
      <c r="AE4408" s="23"/>
      <c r="AF4408" s="23"/>
      <c r="AG4408" s="23"/>
      <c r="AH4408" s="23"/>
      <c r="AI4408" s="49"/>
    </row>
    <row r="4409" spans="1:35">
      <c r="A4409" s="23"/>
      <c r="B4409" s="42"/>
      <c r="G4409" s="43"/>
      <c r="H4409" s="44"/>
      <c r="L4409" s="42"/>
      <c r="M4409" s="42"/>
      <c r="N4409" s="25"/>
      <c r="O4409" s="54"/>
      <c r="P4409"/>
      <c r="Q4409" s="25"/>
      <c r="R4409" s="54"/>
      <c r="W4409" s="23"/>
      <c r="X4409" s="23"/>
      <c r="Y4409" s="23"/>
      <c r="Z4409" s="43"/>
      <c r="AA4409" s="23"/>
      <c r="AB4409" s="23"/>
      <c r="AC4409" s="23"/>
      <c r="AD4409" s="23"/>
      <c r="AE4409" s="23"/>
      <c r="AF4409" s="23"/>
      <c r="AG4409" s="23"/>
      <c r="AH4409" s="23"/>
      <c r="AI4409" s="23"/>
    </row>
    <row r="4410" spans="1:35">
      <c r="A4410" s="23"/>
      <c r="B4410" s="42"/>
      <c r="G4410" s="43"/>
      <c r="H4410" s="44"/>
      <c r="L4410" s="42"/>
      <c r="M4410" s="42"/>
      <c r="N4410" s="25"/>
      <c r="O4410" s="54"/>
      <c r="P4410"/>
      <c r="Q4410" s="25"/>
      <c r="R4410" s="54"/>
      <c r="W4410" s="23"/>
      <c r="X4410" s="23"/>
      <c r="Y4410" s="23"/>
      <c r="Z4410" s="43"/>
      <c r="AA4410" s="23"/>
      <c r="AB4410" s="23"/>
      <c r="AC4410" s="23"/>
      <c r="AD4410" s="23"/>
      <c r="AE4410" s="23"/>
      <c r="AF4410" s="23"/>
      <c r="AG4410" s="23"/>
      <c r="AH4410" s="23"/>
      <c r="AI4410" s="23"/>
    </row>
    <row r="4411" spans="1:35">
      <c r="A4411" s="23"/>
      <c r="B4411" s="42"/>
      <c r="C4411" s="49"/>
      <c r="E4411" s="49"/>
      <c r="G4411" s="43"/>
      <c r="H4411" s="44"/>
      <c r="L4411" s="42"/>
      <c r="M4411" s="42"/>
      <c r="N4411" s="25"/>
      <c r="O4411" s="54"/>
      <c r="P4411"/>
      <c r="Q4411" s="25"/>
      <c r="R4411" s="54"/>
      <c r="W4411" s="23"/>
      <c r="X4411" s="23"/>
      <c r="Y4411" s="23"/>
      <c r="Z4411" s="43"/>
      <c r="AA4411" s="23"/>
      <c r="AB4411" s="23"/>
      <c r="AC4411" s="23"/>
      <c r="AD4411" s="23"/>
      <c r="AE4411" s="23"/>
      <c r="AF4411" s="23"/>
      <c r="AG4411" s="23"/>
      <c r="AH4411" s="23"/>
      <c r="AI4411" s="49"/>
    </row>
    <row r="4412" spans="1:35">
      <c r="A4412" s="23"/>
      <c r="B4412" s="42"/>
      <c r="C4412" s="49"/>
      <c r="E4412" s="49"/>
      <c r="G4412" s="43"/>
      <c r="H4412" s="44"/>
      <c r="L4412" s="42"/>
      <c r="M4412" s="42"/>
      <c r="N4412" s="25"/>
      <c r="O4412" s="54"/>
      <c r="P4412"/>
      <c r="Q4412" s="25"/>
      <c r="R4412" s="54"/>
      <c r="W4412" s="23"/>
      <c r="X4412" s="23"/>
      <c r="Y4412" s="23"/>
      <c r="Z4412" s="43"/>
      <c r="AA4412" s="23"/>
      <c r="AB4412" s="23"/>
      <c r="AC4412" s="23"/>
      <c r="AD4412" s="23"/>
      <c r="AE4412" s="23"/>
      <c r="AF4412" s="23"/>
      <c r="AG4412" s="23"/>
      <c r="AH4412" s="23"/>
      <c r="AI4412" s="49"/>
    </row>
    <row r="4413" spans="1:35">
      <c r="A4413" s="23"/>
      <c r="B4413" s="42"/>
      <c r="C4413" s="49"/>
      <c r="E4413" s="49"/>
      <c r="G4413" s="43"/>
      <c r="H4413" s="44"/>
      <c r="L4413" s="42"/>
      <c r="M4413" s="42"/>
      <c r="N4413" s="25"/>
      <c r="O4413" s="54"/>
      <c r="P4413"/>
      <c r="Q4413" s="25"/>
      <c r="R4413" s="54"/>
      <c r="W4413" s="23"/>
      <c r="X4413" s="23"/>
      <c r="Y4413" s="23"/>
      <c r="Z4413" s="43"/>
      <c r="AA4413" s="23"/>
      <c r="AB4413" s="23"/>
      <c r="AC4413" s="23"/>
      <c r="AD4413" s="23"/>
      <c r="AE4413" s="23"/>
      <c r="AF4413" s="23"/>
      <c r="AG4413" s="23"/>
      <c r="AH4413" s="23"/>
      <c r="AI4413" s="49"/>
    </row>
    <row r="4414" spans="1:35">
      <c r="A4414" s="23"/>
      <c r="B4414" s="42"/>
      <c r="C4414" s="49"/>
      <c r="E4414" s="49"/>
      <c r="G4414" s="43"/>
      <c r="H4414" s="44"/>
      <c r="L4414" s="42"/>
      <c r="M4414" s="42"/>
      <c r="N4414" s="25"/>
      <c r="O4414" s="54"/>
      <c r="P4414"/>
      <c r="Q4414" s="25"/>
      <c r="R4414" s="54"/>
      <c r="W4414" s="23"/>
      <c r="X4414" s="23"/>
      <c r="Y4414" s="23"/>
      <c r="Z4414" s="43"/>
      <c r="AA4414" s="23"/>
      <c r="AB4414" s="23"/>
      <c r="AC4414" s="23"/>
      <c r="AD4414" s="23"/>
      <c r="AE4414" s="23"/>
      <c r="AF4414" s="23"/>
      <c r="AG4414" s="23"/>
      <c r="AH4414" s="23"/>
      <c r="AI4414" s="49"/>
    </row>
    <row r="4415" spans="1:35">
      <c r="A4415" s="23"/>
      <c r="B4415" s="42"/>
      <c r="C4415" s="49"/>
      <c r="E4415" s="49"/>
      <c r="G4415" s="43"/>
      <c r="H4415" s="44"/>
      <c r="L4415" s="42"/>
      <c r="M4415" s="42"/>
      <c r="N4415" s="25"/>
      <c r="O4415" s="54"/>
      <c r="P4415"/>
      <c r="Q4415" s="25"/>
      <c r="R4415" s="54"/>
      <c r="W4415" s="23"/>
      <c r="X4415" s="23"/>
      <c r="Y4415" s="23"/>
      <c r="Z4415" s="43"/>
      <c r="AA4415" s="23"/>
      <c r="AB4415" s="23"/>
      <c r="AC4415" s="23"/>
      <c r="AD4415" s="23"/>
      <c r="AE4415" s="23"/>
      <c r="AF4415" s="23"/>
      <c r="AG4415" s="23"/>
      <c r="AH4415" s="23"/>
      <c r="AI4415" s="49"/>
    </row>
    <row r="4416" spans="1:35">
      <c r="A4416" s="23"/>
      <c r="B4416" s="42"/>
      <c r="C4416" s="49"/>
      <c r="E4416" s="49"/>
      <c r="G4416" s="43"/>
      <c r="H4416" s="44"/>
      <c r="L4416" s="42"/>
      <c r="M4416" s="42"/>
      <c r="N4416" s="25"/>
      <c r="O4416" s="54"/>
      <c r="P4416"/>
      <c r="Q4416" s="25"/>
      <c r="R4416" s="54"/>
      <c r="W4416" s="23"/>
      <c r="X4416" s="23"/>
      <c r="Y4416" s="23"/>
      <c r="Z4416" s="43"/>
      <c r="AA4416" s="23"/>
      <c r="AB4416" s="23"/>
      <c r="AC4416" s="23"/>
      <c r="AD4416" s="23"/>
      <c r="AE4416" s="23"/>
      <c r="AF4416" s="23"/>
      <c r="AG4416" s="23"/>
      <c r="AH4416" s="23"/>
      <c r="AI4416" s="49"/>
    </row>
    <row r="4417" spans="1:35">
      <c r="A4417" s="23"/>
      <c r="B4417" s="42"/>
      <c r="C4417" s="49"/>
      <c r="E4417" s="49"/>
      <c r="G4417" s="43"/>
      <c r="H4417" s="44"/>
      <c r="L4417" s="42"/>
      <c r="M4417" s="42"/>
      <c r="N4417" s="25"/>
      <c r="O4417" s="54"/>
      <c r="P4417"/>
      <c r="Q4417" s="25"/>
      <c r="R4417" s="54"/>
      <c r="W4417" s="23"/>
      <c r="X4417" s="23"/>
      <c r="Y4417" s="23"/>
      <c r="Z4417" s="43"/>
      <c r="AA4417" s="23"/>
      <c r="AB4417" s="23"/>
      <c r="AC4417" s="23"/>
      <c r="AD4417" s="23"/>
      <c r="AE4417" s="23"/>
      <c r="AF4417" s="23"/>
      <c r="AG4417" s="23"/>
      <c r="AH4417" s="23"/>
      <c r="AI4417" s="49"/>
    </row>
    <row r="4418" spans="1:35">
      <c r="A4418" s="23"/>
      <c r="B4418" s="42"/>
      <c r="C4418" s="49"/>
      <c r="E4418" s="49"/>
      <c r="G4418" s="43"/>
      <c r="H4418" s="44"/>
      <c r="L4418" s="42"/>
      <c r="M4418" s="42"/>
      <c r="N4418" s="25"/>
      <c r="O4418" s="54"/>
      <c r="P4418"/>
      <c r="Q4418" s="25"/>
      <c r="R4418" s="54"/>
      <c r="W4418" s="23"/>
      <c r="X4418" s="23"/>
      <c r="Y4418" s="23"/>
      <c r="Z4418" s="43"/>
      <c r="AA4418" s="23"/>
      <c r="AB4418" s="23"/>
      <c r="AC4418" s="23"/>
      <c r="AD4418" s="23"/>
      <c r="AE4418" s="23"/>
      <c r="AF4418" s="23"/>
      <c r="AG4418" s="23"/>
      <c r="AH4418" s="23"/>
      <c r="AI4418" s="49"/>
    </row>
    <row r="4419" spans="1:35">
      <c r="A4419" s="23"/>
      <c r="B4419" s="42"/>
      <c r="C4419" s="49"/>
      <c r="E4419" s="49"/>
      <c r="G4419" s="43"/>
      <c r="H4419" s="44"/>
      <c r="L4419" s="42"/>
      <c r="M4419" s="42"/>
      <c r="N4419" s="25"/>
      <c r="O4419" s="54"/>
      <c r="P4419"/>
      <c r="Q4419" s="25"/>
      <c r="R4419" s="54"/>
      <c r="W4419" s="23"/>
      <c r="X4419" s="23"/>
      <c r="Y4419" s="23"/>
      <c r="Z4419" s="43"/>
      <c r="AA4419" s="23"/>
      <c r="AB4419" s="23"/>
      <c r="AC4419" s="23"/>
      <c r="AD4419" s="23"/>
      <c r="AE4419" s="23"/>
      <c r="AF4419" s="23"/>
      <c r="AG4419" s="23"/>
      <c r="AH4419" s="23"/>
      <c r="AI4419" s="49"/>
    </row>
    <row r="4420" spans="1:35">
      <c r="A4420" s="23"/>
      <c r="B4420" s="42"/>
      <c r="C4420" s="49"/>
      <c r="E4420" s="49"/>
      <c r="G4420" s="43"/>
      <c r="H4420" s="44"/>
      <c r="L4420" s="42"/>
      <c r="M4420" s="42"/>
      <c r="N4420" s="25"/>
      <c r="O4420" s="54"/>
      <c r="P4420"/>
      <c r="Q4420" s="25"/>
      <c r="R4420" s="54"/>
      <c r="W4420" s="23"/>
      <c r="X4420" s="23"/>
      <c r="Y4420" s="23"/>
      <c r="Z4420" s="43"/>
      <c r="AA4420" s="23"/>
      <c r="AB4420" s="23"/>
      <c r="AC4420" s="23"/>
      <c r="AD4420" s="23"/>
      <c r="AE4420" s="23"/>
      <c r="AF4420" s="23"/>
      <c r="AG4420" s="23"/>
      <c r="AH4420" s="23"/>
      <c r="AI4420" s="49"/>
    </row>
    <row r="4421" spans="1:35">
      <c r="A4421" s="23"/>
      <c r="B4421" s="42"/>
      <c r="C4421" s="49"/>
      <c r="E4421" s="49"/>
      <c r="G4421" s="43"/>
      <c r="H4421" s="44"/>
      <c r="L4421" s="42"/>
      <c r="M4421" s="42"/>
      <c r="N4421" s="25"/>
      <c r="O4421" s="54"/>
      <c r="P4421"/>
      <c r="Q4421" s="25"/>
      <c r="R4421" s="54"/>
      <c r="W4421" s="23"/>
      <c r="X4421" s="23"/>
      <c r="Y4421" s="23"/>
      <c r="Z4421" s="43"/>
      <c r="AA4421" s="23"/>
      <c r="AB4421" s="23"/>
      <c r="AC4421" s="23"/>
      <c r="AD4421" s="23"/>
      <c r="AE4421" s="23"/>
      <c r="AF4421" s="23"/>
      <c r="AG4421" s="23"/>
      <c r="AH4421" s="23"/>
      <c r="AI4421" s="49"/>
    </row>
    <row r="4422" spans="1:35">
      <c r="A4422" s="23"/>
      <c r="B4422" s="42"/>
      <c r="C4422" s="49"/>
      <c r="E4422" s="49"/>
      <c r="G4422" s="43"/>
      <c r="H4422" s="44"/>
      <c r="L4422" s="42"/>
      <c r="M4422" s="42"/>
      <c r="N4422" s="25"/>
      <c r="O4422" s="54"/>
      <c r="P4422"/>
      <c r="Q4422" s="25"/>
      <c r="R4422" s="54"/>
      <c r="W4422" s="23"/>
      <c r="X4422" s="23"/>
      <c r="Y4422" s="23"/>
      <c r="Z4422" s="43"/>
      <c r="AA4422" s="23"/>
      <c r="AB4422" s="23"/>
      <c r="AC4422" s="23"/>
      <c r="AD4422" s="23"/>
      <c r="AE4422" s="23"/>
      <c r="AF4422" s="23"/>
      <c r="AG4422" s="23"/>
      <c r="AH4422" s="23"/>
      <c r="AI4422" s="49"/>
    </row>
    <row r="4423" spans="1:35">
      <c r="A4423" s="23"/>
      <c r="B4423" s="42"/>
      <c r="C4423" s="49"/>
      <c r="E4423" s="49"/>
      <c r="G4423" s="43"/>
      <c r="H4423" s="44"/>
      <c r="L4423" s="42"/>
      <c r="M4423" s="42"/>
      <c r="N4423" s="25"/>
      <c r="O4423" s="54"/>
      <c r="P4423"/>
      <c r="Q4423" s="25"/>
      <c r="R4423" s="54"/>
      <c r="W4423" s="23"/>
      <c r="X4423" s="23"/>
      <c r="Y4423" s="23"/>
      <c r="Z4423" s="43"/>
      <c r="AA4423" s="23"/>
      <c r="AB4423" s="23"/>
      <c r="AC4423" s="23"/>
      <c r="AD4423" s="23"/>
      <c r="AE4423" s="23"/>
      <c r="AF4423" s="23"/>
      <c r="AG4423" s="23"/>
      <c r="AH4423" s="23"/>
      <c r="AI4423" s="49"/>
    </row>
    <row r="4424" spans="1:35">
      <c r="A4424" s="23"/>
      <c r="B4424" s="42"/>
      <c r="C4424" s="49"/>
      <c r="E4424" s="49"/>
      <c r="G4424" s="43"/>
      <c r="H4424" s="44"/>
      <c r="L4424" s="42"/>
      <c r="M4424" s="42"/>
      <c r="N4424" s="25"/>
      <c r="O4424" s="54"/>
      <c r="P4424"/>
      <c r="Q4424" s="25"/>
      <c r="R4424" s="54"/>
      <c r="W4424" s="23"/>
      <c r="X4424" s="23"/>
      <c r="Y4424" s="23"/>
      <c r="Z4424" s="43"/>
      <c r="AA4424" s="23"/>
      <c r="AB4424" s="23"/>
      <c r="AC4424" s="23"/>
      <c r="AD4424" s="23"/>
      <c r="AE4424" s="23"/>
      <c r="AF4424" s="23"/>
      <c r="AG4424" s="23"/>
      <c r="AH4424" s="23"/>
      <c r="AI4424" s="49"/>
    </row>
    <row r="4425" spans="1:35">
      <c r="A4425" s="23"/>
      <c r="B4425" s="42"/>
      <c r="C4425" s="49"/>
      <c r="E4425" s="49"/>
      <c r="G4425" s="43"/>
      <c r="H4425" s="44"/>
      <c r="L4425" s="42"/>
      <c r="M4425" s="42"/>
      <c r="N4425" s="25"/>
      <c r="O4425" s="54"/>
      <c r="P4425"/>
      <c r="Q4425" s="25"/>
      <c r="R4425" s="54"/>
      <c r="W4425" s="23"/>
      <c r="X4425" s="23"/>
      <c r="Y4425" s="23"/>
      <c r="Z4425" s="43"/>
      <c r="AA4425" s="23"/>
      <c r="AB4425" s="23"/>
      <c r="AC4425" s="23"/>
      <c r="AD4425" s="23"/>
      <c r="AE4425" s="23"/>
      <c r="AF4425" s="23"/>
      <c r="AG4425" s="23"/>
      <c r="AH4425" s="23"/>
      <c r="AI4425" s="49"/>
    </row>
    <row r="4426" spans="1:35">
      <c r="A4426" s="23"/>
      <c r="B4426" s="42"/>
      <c r="C4426" s="49"/>
      <c r="E4426" s="49"/>
      <c r="G4426" s="43"/>
      <c r="H4426" s="44"/>
      <c r="L4426" s="42"/>
      <c r="M4426" s="42"/>
      <c r="N4426" s="25"/>
      <c r="O4426" s="54"/>
      <c r="P4426"/>
      <c r="Q4426" s="25"/>
      <c r="R4426" s="54"/>
      <c r="W4426" s="23"/>
      <c r="X4426" s="23"/>
      <c r="Y4426" s="23"/>
      <c r="Z4426" s="43"/>
      <c r="AA4426" s="23"/>
      <c r="AB4426" s="23"/>
      <c r="AC4426" s="23"/>
      <c r="AD4426" s="23"/>
      <c r="AE4426" s="23"/>
      <c r="AF4426" s="23"/>
      <c r="AG4426" s="23"/>
      <c r="AH4426" s="23"/>
      <c r="AI4426" s="49"/>
    </row>
    <row r="4427" spans="1:35">
      <c r="A4427" s="23"/>
      <c r="B4427" s="42"/>
      <c r="G4427" s="43"/>
      <c r="H4427" s="44"/>
      <c r="L4427" s="42"/>
      <c r="M4427" s="42"/>
      <c r="N4427" s="25"/>
      <c r="O4427" s="54"/>
      <c r="P4427"/>
      <c r="Q4427" s="25"/>
      <c r="R4427" s="54"/>
      <c r="W4427" s="23"/>
      <c r="X4427" s="23"/>
      <c r="Y4427" s="23"/>
      <c r="Z4427" s="43"/>
      <c r="AA4427" s="23"/>
      <c r="AB4427" s="23"/>
      <c r="AC4427" s="23"/>
      <c r="AD4427" s="23"/>
      <c r="AE4427" s="23"/>
      <c r="AF4427" s="23"/>
      <c r="AG4427" s="23"/>
      <c r="AH4427" s="23"/>
      <c r="AI4427" s="23"/>
    </row>
    <row r="4428" spans="1:35">
      <c r="A4428" s="23"/>
      <c r="B4428" s="42"/>
      <c r="C4428" s="49"/>
      <c r="E4428" s="49"/>
      <c r="G4428" s="43"/>
      <c r="H4428" s="44"/>
      <c r="L4428" s="42"/>
      <c r="M4428" s="42"/>
      <c r="N4428" s="25"/>
      <c r="O4428" s="54"/>
      <c r="P4428"/>
      <c r="Q4428" s="25"/>
      <c r="R4428" s="54"/>
      <c r="W4428" s="23"/>
      <c r="X4428" s="23"/>
      <c r="Y4428" s="23"/>
      <c r="Z4428" s="43"/>
      <c r="AA4428" s="23"/>
      <c r="AB4428" s="23"/>
      <c r="AC4428" s="23"/>
      <c r="AD4428" s="23"/>
      <c r="AE4428" s="23"/>
      <c r="AF4428" s="23"/>
      <c r="AG4428" s="23"/>
      <c r="AH4428" s="23"/>
      <c r="AI4428" s="49"/>
    </row>
    <row r="4429" spans="1:35">
      <c r="A4429" s="23"/>
      <c r="B4429" s="42"/>
      <c r="C4429" s="49"/>
      <c r="E4429" s="49"/>
      <c r="G4429" s="43"/>
      <c r="H4429" s="44"/>
      <c r="L4429" s="42"/>
      <c r="M4429" s="42"/>
      <c r="N4429" s="25"/>
      <c r="O4429" s="54"/>
      <c r="P4429"/>
      <c r="Q4429" s="25"/>
      <c r="R4429" s="54"/>
      <c r="W4429" s="23"/>
      <c r="X4429" s="23"/>
      <c r="Y4429" s="23"/>
      <c r="Z4429" s="43"/>
      <c r="AA4429" s="23"/>
      <c r="AB4429" s="23"/>
      <c r="AC4429" s="23"/>
      <c r="AD4429" s="23"/>
      <c r="AE4429" s="23"/>
      <c r="AF4429" s="23"/>
      <c r="AG4429" s="23"/>
      <c r="AH4429" s="23"/>
      <c r="AI4429" s="49"/>
    </row>
    <row r="4430" spans="1:35">
      <c r="A4430" s="23"/>
      <c r="B4430" s="42"/>
      <c r="C4430" s="49"/>
      <c r="E4430" s="49"/>
      <c r="G4430" s="43"/>
      <c r="H4430" s="44"/>
      <c r="L4430" s="42"/>
      <c r="M4430" s="42"/>
      <c r="N4430" s="25"/>
      <c r="O4430" s="54"/>
      <c r="P4430"/>
      <c r="Q4430" s="25"/>
      <c r="R4430" s="54"/>
      <c r="W4430" s="23"/>
      <c r="X4430" s="23"/>
      <c r="Y4430" s="23"/>
      <c r="Z4430" s="43"/>
      <c r="AA4430" s="23"/>
      <c r="AB4430" s="23"/>
      <c r="AC4430" s="23"/>
      <c r="AD4430" s="23"/>
      <c r="AE4430" s="23"/>
      <c r="AF4430" s="23"/>
      <c r="AG4430" s="23"/>
      <c r="AH4430" s="23"/>
      <c r="AI4430" s="49"/>
    </row>
    <row r="4431" spans="1:35">
      <c r="A4431" s="23"/>
      <c r="B4431" s="42"/>
      <c r="G4431" s="43"/>
      <c r="H4431" s="44"/>
      <c r="L4431" s="42"/>
      <c r="M4431" s="42"/>
      <c r="N4431" s="25"/>
      <c r="O4431" s="54"/>
      <c r="P4431"/>
      <c r="Q4431" s="25"/>
      <c r="R4431" s="54"/>
      <c r="W4431" s="23"/>
      <c r="X4431" s="23"/>
      <c r="Y4431" s="23"/>
      <c r="Z4431" s="43"/>
      <c r="AA4431" s="23"/>
      <c r="AB4431" s="23"/>
      <c r="AC4431" s="23"/>
      <c r="AD4431" s="23"/>
      <c r="AE4431" s="23"/>
      <c r="AF4431" s="23"/>
      <c r="AG4431" s="23"/>
      <c r="AH4431" s="23"/>
      <c r="AI4431" s="23"/>
    </row>
    <row r="4432" spans="1:35">
      <c r="A4432" s="23"/>
      <c r="B4432" s="42"/>
      <c r="C4432" s="49"/>
      <c r="E4432" s="49"/>
      <c r="G4432" s="43"/>
      <c r="H4432" s="44"/>
      <c r="L4432" s="42"/>
      <c r="M4432" s="42"/>
      <c r="N4432" s="25"/>
      <c r="O4432" s="54"/>
      <c r="P4432"/>
      <c r="Q4432" s="25"/>
      <c r="R4432" s="54"/>
      <c r="W4432" s="23"/>
      <c r="X4432" s="23"/>
      <c r="Y4432" s="23"/>
      <c r="Z4432" s="43"/>
      <c r="AA4432" s="23"/>
      <c r="AB4432" s="23"/>
      <c r="AC4432" s="23"/>
      <c r="AD4432" s="23"/>
      <c r="AE4432" s="23"/>
      <c r="AF4432" s="23"/>
      <c r="AG4432" s="23"/>
      <c r="AH4432" s="23"/>
      <c r="AI4432" s="49"/>
    </row>
    <row r="4433" spans="1:35">
      <c r="A4433" s="23"/>
      <c r="B4433" s="42"/>
      <c r="C4433" s="49"/>
      <c r="E4433" s="49"/>
      <c r="G4433" s="43"/>
      <c r="H4433" s="44"/>
      <c r="L4433" s="42"/>
      <c r="M4433" s="42"/>
      <c r="N4433" s="25"/>
      <c r="O4433" s="54"/>
      <c r="P4433"/>
      <c r="Q4433" s="25"/>
      <c r="R4433" s="54"/>
      <c r="W4433" s="23"/>
      <c r="X4433" s="23"/>
      <c r="Y4433" s="23"/>
      <c r="Z4433" s="43"/>
      <c r="AA4433" s="23"/>
      <c r="AB4433" s="23"/>
      <c r="AC4433" s="23"/>
      <c r="AD4433" s="23"/>
      <c r="AE4433" s="23"/>
      <c r="AF4433" s="23"/>
      <c r="AG4433" s="23"/>
      <c r="AH4433" s="23"/>
      <c r="AI4433" s="49"/>
    </row>
    <row r="4434" spans="1:35">
      <c r="A4434" s="23"/>
      <c r="B4434" s="42"/>
      <c r="C4434" s="49"/>
      <c r="E4434" s="49"/>
      <c r="G4434" s="43"/>
      <c r="H4434" s="44"/>
      <c r="L4434" s="42"/>
      <c r="M4434" s="42"/>
      <c r="N4434" s="25"/>
      <c r="O4434" s="54"/>
      <c r="P4434"/>
      <c r="Q4434" s="25"/>
      <c r="R4434" s="54"/>
      <c r="W4434" s="23"/>
      <c r="X4434" s="23"/>
      <c r="Y4434" s="23"/>
      <c r="Z4434" s="43"/>
      <c r="AA4434" s="23"/>
      <c r="AB4434" s="23"/>
      <c r="AC4434" s="23"/>
      <c r="AD4434" s="23"/>
      <c r="AE4434" s="23"/>
      <c r="AF4434" s="23"/>
      <c r="AG4434" s="23"/>
      <c r="AH4434" s="23"/>
      <c r="AI4434" s="49"/>
    </row>
    <row r="4435" spans="1:35">
      <c r="A4435" s="23"/>
      <c r="B4435" s="42"/>
      <c r="C4435" s="49"/>
      <c r="E4435" s="49"/>
      <c r="G4435" s="43"/>
      <c r="H4435" s="44"/>
      <c r="L4435" s="42"/>
      <c r="M4435" s="42"/>
      <c r="N4435" s="25"/>
      <c r="O4435" s="54"/>
      <c r="P4435"/>
      <c r="Q4435" s="25"/>
      <c r="R4435" s="54"/>
      <c r="W4435" s="23"/>
      <c r="X4435" s="23"/>
      <c r="Y4435" s="23"/>
      <c r="Z4435" s="43"/>
      <c r="AA4435" s="23"/>
      <c r="AB4435" s="23"/>
      <c r="AC4435" s="23"/>
      <c r="AD4435" s="23"/>
      <c r="AE4435" s="23"/>
      <c r="AF4435" s="23"/>
      <c r="AG4435" s="23"/>
      <c r="AH4435" s="23"/>
      <c r="AI4435" s="49"/>
    </row>
    <row r="4436" spans="1:35">
      <c r="A4436" s="23"/>
      <c r="B4436" s="42"/>
      <c r="C4436" s="49"/>
      <c r="E4436" s="49"/>
      <c r="G4436" s="43"/>
      <c r="H4436" s="44"/>
      <c r="L4436" s="42"/>
      <c r="M4436" s="42"/>
      <c r="N4436" s="25"/>
      <c r="O4436" s="54"/>
      <c r="P4436"/>
      <c r="Q4436" s="25"/>
      <c r="R4436" s="54"/>
      <c r="W4436" s="23"/>
      <c r="X4436" s="23"/>
      <c r="Y4436" s="23"/>
      <c r="Z4436" s="43"/>
      <c r="AA4436" s="23"/>
      <c r="AB4436" s="23"/>
      <c r="AC4436" s="23"/>
      <c r="AD4436" s="23"/>
      <c r="AE4436" s="23"/>
      <c r="AF4436" s="23"/>
      <c r="AG4436" s="23"/>
      <c r="AH4436" s="23"/>
      <c r="AI4436" s="49"/>
    </row>
    <row r="4437" spans="1:35">
      <c r="A4437" s="23"/>
      <c r="B4437" s="42"/>
      <c r="C4437" s="49"/>
      <c r="E4437" s="49"/>
      <c r="G4437" s="43"/>
      <c r="H4437" s="44"/>
      <c r="L4437" s="42"/>
      <c r="M4437" s="42"/>
      <c r="N4437" s="25"/>
      <c r="O4437" s="54"/>
      <c r="P4437"/>
      <c r="Q4437" s="25"/>
      <c r="R4437" s="54"/>
      <c r="W4437" s="23"/>
      <c r="X4437" s="23"/>
      <c r="Y4437" s="23"/>
      <c r="Z4437" s="43"/>
      <c r="AA4437" s="23"/>
      <c r="AB4437" s="23"/>
      <c r="AC4437" s="23"/>
      <c r="AD4437" s="23"/>
      <c r="AE4437" s="23"/>
      <c r="AF4437" s="23"/>
      <c r="AG4437" s="23"/>
      <c r="AH4437" s="23"/>
      <c r="AI4437" s="49"/>
    </row>
    <row r="4438" spans="1:35">
      <c r="A4438" s="23"/>
      <c r="B4438" s="42"/>
      <c r="C4438" s="49"/>
      <c r="E4438" s="49"/>
      <c r="G4438" s="43"/>
      <c r="H4438" s="44"/>
      <c r="L4438" s="42"/>
      <c r="M4438" s="42"/>
      <c r="N4438" s="25"/>
      <c r="O4438" s="54"/>
      <c r="P4438"/>
      <c r="Q4438" s="25"/>
      <c r="R4438" s="54"/>
      <c r="W4438" s="23"/>
      <c r="X4438" s="23"/>
      <c r="Y4438" s="23"/>
      <c r="Z4438" s="43"/>
      <c r="AA4438" s="23"/>
      <c r="AB4438" s="23"/>
      <c r="AC4438" s="23"/>
      <c r="AD4438" s="23"/>
      <c r="AE4438" s="23"/>
      <c r="AF4438" s="23"/>
      <c r="AG4438" s="23"/>
      <c r="AH4438" s="23"/>
      <c r="AI4438" s="49"/>
    </row>
    <row r="4439" spans="1:35">
      <c r="A4439" s="23"/>
      <c r="B4439" s="42"/>
      <c r="C4439" s="49"/>
      <c r="E4439" s="49"/>
      <c r="G4439" s="43"/>
      <c r="H4439" s="44"/>
      <c r="L4439" s="42"/>
      <c r="M4439" s="42"/>
      <c r="N4439" s="25"/>
      <c r="O4439" s="54"/>
      <c r="P4439"/>
      <c r="Q4439" s="25"/>
      <c r="R4439" s="54"/>
      <c r="W4439" s="23"/>
      <c r="X4439" s="23"/>
      <c r="Y4439" s="23"/>
      <c r="Z4439" s="43"/>
      <c r="AA4439" s="23"/>
      <c r="AB4439" s="23"/>
      <c r="AC4439" s="23"/>
      <c r="AD4439" s="23"/>
      <c r="AE4439" s="23"/>
      <c r="AF4439" s="23"/>
      <c r="AG4439" s="23"/>
      <c r="AH4439" s="23"/>
      <c r="AI4439" s="49"/>
    </row>
    <row r="4440" spans="1:35">
      <c r="A4440" s="23"/>
      <c r="B4440" s="42"/>
      <c r="C4440" s="49"/>
      <c r="E4440" s="49"/>
      <c r="G4440" s="43"/>
      <c r="H4440" s="44"/>
      <c r="L4440" s="42"/>
      <c r="M4440" s="42"/>
      <c r="N4440" s="25"/>
      <c r="O4440" s="54"/>
      <c r="P4440"/>
      <c r="Q4440" s="25"/>
      <c r="R4440" s="54"/>
      <c r="W4440" s="23"/>
      <c r="X4440" s="23"/>
      <c r="Y4440" s="23"/>
      <c r="Z4440" s="43"/>
      <c r="AA4440" s="23"/>
      <c r="AB4440" s="23"/>
      <c r="AC4440" s="23"/>
      <c r="AD4440" s="23"/>
      <c r="AE4440" s="23"/>
      <c r="AF4440" s="23"/>
      <c r="AG4440" s="23"/>
      <c r="AH4440" s="23"/>
      <c r="AI4440" s="49"/>
    </row>
    <row r="4441" spans="1:35">
      <c r="A4441" s="23"/>
      <c r="B4441" s="42"/>
      <c r="C4441" s="49"/>
      <c r="E4441" s="49"/>
      <c r="G4441" s="43"/>
      <c r="H4441" s="44"/>
      <c r="L4441" s="42"/>
      <c r="M4441" s="42"/>
      <c r="N4441" s="25"/>
      <c r="O4441" s="54"/>
      <c r="P4441"/>
      <c r="Q4441" s="25"/>
      <c r="R4441" s="54"/>
      <c r="W4441" s="23"/>
      <c r="X4441" s="23"/>
      <c r="Y4441" s="23"/>
      <c r="Z4441" s="43"/>
      <c r="AA4441" s="23"/>
      <c r="AB4441" s="23"/>
      <c r="AC4441" s="23"/>
      <c r="AD4441" s="23"/>
      <c r="AE4441" s="23"/>
      <c r="AF4441" s="23"/>
      <c r="AG4441" s="23"/>
      <c r="AH4441" s="23"/>
      <c r="AI4441" s="49"/>
    </row>
    <row r="4442" spans="1:35">
      <c r="A4442" s="23"/>
      <c r="B4442" s="42"/>
      <c r="C4442" s="49"/>
      <c r="E4442" s="49"/>
      <c r="G4442" s="43"/>
      <c r="H4442" s="44"/>
      <c r="L4442" s="42"/>
      <c r="M4442" s="42"/>
      <c r="N4442" s="25"/>
      <c r="O4442" s="54"/>
      <c r="P4442"/>
      <c r="Q4442" s="25"/>
      <c r="R4442" s="54"/>
      <c r="W4442" s="23"/>
      <c r="X4442" s="23"/>
      <c r="Y4442" s="23"/>
      <c r="Z4442" s="43"/>
      <c r="AA4442" s="23"/>
      <c r="AB4442" s="23"/>
      <c r="AC4442" s="23"/>
      <c r="AD4442" s="23"/>
      <c r="AE4442" s="23"/>
      <c r="AF4442" s="23"/>
      <c r="AG4442" s="23"/>
      <c r="AH4442" s="23"/>
      <c r="AI4442" s="49"/>
    </row>
    <row r="4443" spans="1:35">
      <c r="A4443" s="23"/>
      <c r="B4443" s="42"/>
      <c r="C4443" s="49"/>
      <c r="E4443" s="49"/>
      <c r="G4443" s="43"/>
      <c r="H4443" s="44"/>
      <c r="L4443" s="42"/>
      <c r="M4443" s="42"/>
      <c r="N4443" s="25"/>
      <c r="O4443" s="54"/>
      <c r="P4443"/>
      <c r="Q4443" s="25"/>
      <c r="R4443" s="54"/>
      <c r="W4443" s="23"/>
      <c r="X4443" s="23"/>
      <c r="Y4443" s="23"/>
      <c r="Z4443" s="43"/>
      <c r="AA4443" s="23"/>
      <c r="AB4443" s="23"/>
      <c r="AC4443" s="23"/>
      <c r="AD4443" s="23"/>
      <c r="AE4443" s="23"/>
      <c r="AF4443" s="23"/>
      <c r="AG4443" s="23"/>
      <c r="AH4443" s="23"/>
      <c r="AI4443" s="49"/>
    </row>
    <row r="4444" spans="1:35">
      <c r="A4444" s="23"/>
      <c r="B4444" s="42"/>
      <c r="C4444" s="49"/>
      <c r="E4444" s="49"/>
      <c r="G4444" s="43"/>
      <c r="H4444" s="44"/>
      <c r="L4444" s="42"/>
      <c r="M4444" s="42"/>
      <c r="N4444" s="25"/>
      <c r="O4444" s="54"/>
      <c r="P4444"/>
      <c r="Q4444" s="25"/>
      <c r="R4444" s="54"/>
      <c r="W4444" s="23"/>
      <c r="X4444" s="23"/>
      <c r="Y4444" s="23"/>
      <c r="Z4444" s="43"/>
      <c r="AA4444" s="23"/>
      <c r="AB4444" s="23"/>
      <c r="AC4444" s="23"/>
      <c r="AD4444" s="23"/>
      <c r="AE4444" s="23"/>
      <c r="AF4444" s="23"/>
      <c r="AG4444" s="23"/>
      <c r="AH4444" s="23"/>
      <c r="AI4444" s="49"/>
    </row>
    <row r="4445" spans="1:35">
      <c r="A4445" s="23"/>
      <c r="B4445" s="42"/>
      <c r="C4445" s="49"/>
      <c r="E4445" s="49"/>
      <c r="G4445" s="43"/>
      <c r="H4445" s="44"/>
      <c r="L4445" s="42"/>
      <c r="M4445" s="42"/>
      <c r="N4445" s="25"/>
      <c r="O4445" s="54"/>
      <c r="P4445"/>
      <c r="Q4445" s="25"/>
      <c r="R4445" s="54"/>
      <c r="W4445" s="23"/>
      <c r="X4445" s="23"/>
      <c r="Y4445" s="23"/>
      <c r="Z4445" s="43"/>
      <c r="AA4445" s="23"/>
      <c r="AB4445" s="23"/>
      <c r="AC4445" s="23"/>
      <c r="AD4445" s="23"/>
      <c r="AE4445" s="23"/>
      <c r="AF4445" s="23"/>
      <c r="AG4445" s="23"/>
      <c r="AH4445" s="23"/>
      <c r="AI4445" s="49"/>
    </row>
    <row r="4446" spans="1:35">
      <c r="A4446" s="23"/>
      <c r="B4446" s="42"/>
      <c r="C4446" s="49"/>
      <c r="E4446" s="49"/>
      <c r="G4446" s="43"/>
      <c r="H4446" s="44"/>
      <c r="L4446" s="42"/>
      <c r="M4446" s="42"/>
      <c r="N4446" s="25"/>
      <c r="O4446" s="54"/>
      <c r="P4446"/>
      <c r="Q4446" s="25"/>
      <c r="R4446" s="54"/>
      <c r="W4446" s="23"/>
      <c r="X4446" s="23"/>
      <c r="Y4446" s="23"/>
      <c r="Z4446" s="43"/>
      <c r="AA4446" s="23"/>
      <c r="AB4446" s="23"/>
      <c r="AC4446" s="23"/>
      <c r="AD4446" s="23"/>
      <c r="AE4446" s="23"/>
      <c r="AF4446" s="23"/>
      <c r="AG4446" s="23"/>
      <c r="AH4446" s="23"/>
      <c r="AI4446" s="49"/>
    </row>
    <row r="4447" spans="1:35">
      <c r="A4447" s="23"/>
      <c r="B4447" s="42"/>
      <c r="C4447" s="49"/>
      <c r="E4447" s="49"/>
      <c r="G4447" s="43"/>
      <c r="H4447" s="44"/>
      <c r="L4447" s="42"/>
      <c r="M4447" s="42"/>
      <c r="N4447" s="25"/>
      <c r="O4447" s="54"/>
      <c r="P4447"/>
      <c r="Q4447" s="25"/>
      <c r="R4447" s="54"/>
      <c r="W4447" s="23"/>
      <c r="X4447" s="23"/>
      <c r="Y4447" s="23"/>
      <c r="Z4447" s="43"/>
      <c r="AA4447" s="23"/>
      <c r="AB4447" s="23"/>
      <c r="AC4447" s="23"/>
      <c r="AD4447" s="23"/>
      <c r="AE4447" s="23"/>
      <c r="AF4447" s="23"/>
      <c r="AG4447" s="23"/>
      <c r="AH4447" s="23"/>
      <c r="AI4447" s="49"/>
    </row>
    <row r="4448" spans="1:35">
      <c r="A4448" s="23"/>
      <c r="B4448" s="42"/>
      <c r="C4448" s="49"/>
      <c r="E4448" s="49"/>
      <c r="G4448" s="43"/>
      <c r="H4448" s="44"/>
      <c r="L4448" s="42"/>
      <c r="M4448" s="42"/>
      <c r="N4448" s="25"/>
      <c r="O4448" s="54"/>
      <c r="P4448"/>
      <c r="Q4448" s="25"/>
      <c r="R4448" s="54"/>
      <c r="W4448" s="23"/>
      <c r="X4448" s="23"/>
      <c r="Y4448" s="23"/>
      <c r="Z4448" s="43"/>
      <c r="AA4448" s="23"/>
      <c r="AB4448" s="23"/>
      <c r="AC4448" s="23"/>
      <c r="AD4448" s="23"/>
      <c r="AE4448" s="23"/>
      <c r="AF4448" s="23"/>
      <c r="AG4448" s="23"/>
      <c r="AH4448" s="23"/>
      <c r="AI4448" s="49"/>
    </row>
    <row r="4449" spans="1:35">
      <c r="A4449" s="23"/>
      <c r="B4449" s="42"/>
      <c r="C4449" s="49"/>
      <c r="E4449" s="49"/>
      <c r="G4449" s="43"/>
      <c r="H4449" s="44"/>
      <c r="L4449" s="42"/>
      <c r="M4449" s="42"/>
      <c r="N4449" s="25"/>
      <c r="O4449" s="54"/>
      <c r="P4449"/>
      <c r="Q4449" s="25"/>
      <c r="R4449" s="54"/>
      <c r="W4449" s="23"/>
      <c r="X4449" s="23"/>
      <c r="Y4449" s="23"/>
      <c r="Z4449" s="43"/>
      <c r="AA4449" s="23"/>
      <c r="AB4449" s="23"/>
      <c r="AC4449" s="23"/>
      <c r="AD4449" s="23"/>
      <c r="AE4449" s="23"/>
      <c r="AF4449" s="23"/>
      <c r="AG4449" s="23"/>
      <c r="AH4449" s="23"/>
      <c r="AI4449" s="49"/>
    </row>
    <row r="4450" spans="1:35">
      <c r="A4450" s="23"/>
      <c r="B4450" s="42"/>
      <c r="C4450" s="49"/>
      <c r="E4450" s="49"/>
      <c r="G4450" s="43"/>
      <c r="H4450" s="44"/>
      <c r="L4450" s="42"/>
      <c r="M4450" s="42"/>
      <c r="N4450" s="25"/>
      <c r="O4450" s="54"/>
      <c r="P4450"/>
      <c r="Q4450" s="25"/>
      <c r="R4450" s="54"/>
      <c r="W4450" s="23"/>
      <c r="X4450" s="23"/>
      <c r="Y4450" s="23"/>
      <c r="Z4450" s="43"/>
      <c r="AA4450" s="23"/>
      <c r="AB4450" s="23"/>
      <c r="AC4450" s="23"/>
      <c r="AD4450" s="23"/>
      <c r="AE4450" s="23"/>
      <c r="AF4450" s="23"/>
      <c r="AG4450" s="23"/>
      <c r="AH4450" s="23"/>
      <c r="AI4450" s="49"/>
    </row>
    <row r="4451" spans="1:35">
      <c r="A4451" s="23"/>
      <c r="B4451" s="42"/>
      <c r="C4451" s="49"/>
      <c r="E4451" s="49"/>
      <c r="G4451" s="43"/>
      <c r="H4451" s="44"/>
      <c r="L4451" s="42"/>
      <c r="M4451" s="42"/>
      <c r="N4451" s="25"/>
      <c r="O4451" s="54"/>
      <c r="P4451"/>
      <c r="Q4451" s="25"/>
      <c r="R4451" s="54"/>
      <c r="W4451" s="23"/>
      <c r="X4451" s="23"/>
      <c r="Y4451" s="23"/>
      <c r="Z4451" s="43"/>
      <c r="AA4451" s="23"/>
      <c r="AB4451" s="23"/>
      <c r="AC4451" s="23"/>
      <c r="AD4451" s="23"/>
      <c r="AE4451" s="23"/>
      <c r="AF4451" s="23"/>
      <c r="AG4451" s="23"/>
      <c r="AH4451" s="23"/>
      <c r="AI4451" s="49"/>
    </row>
    <row r="4452" spans="1:35">
      <c r="A4452" s="23"/>
      <c r="B4452" s="42"/>
      <c r="C4452" s="49"/>
      <c r="E4452" s="49"/>
      <c r="G4452" s="43"/>
      <c r="H4452" s="44"/>
      <c r="L4452" s="42"/>
      <c r="M4452" s="42"/>
      <c r="N4452" s="25"/>
      <c r="O4452" s="54"/>
      <c r="P4452"/>
      <c r="Q4452" s="25"/>
      <c r="R4452" s="54"/>
      <c r="W4452" s="23"/>
      <c r="X4452" s="23"/>
      <c r="Y4452" s="23"/>
      <c r="Z4452" s="43"/>
      <c r="AA4452" s="23"/>
      <c r="AB4452" s="23"/>
      <c r="AC4452" s="23"/>
      <c r="AD4452" s="23"/>
      <c r="AE4452" s="23"/>
      <c r="AF4452" s="23"/>
      <c r="AG4452" s="23"/>
      <c r="AH4452" s="23"/>
      <c r="AI4452" s="49"/>
    </row>
    <row r="4453" spans="1:35">
      <c r="A4453" s="23"/>
      <c r="B4453" s="42"/>
      <c r="C4453" s="49"/>
      <c r="E4453" s="49"/>
      <c r="G4453" s="43"/>
      <c r="H4453" s="44"/>
      <c r="L4453" s="42"/>
      <c r="M4453" s="42"/>
      <c r="N4453" s="25"/>
      <c r="O4453" s="54"/>
      <c r="P4453"/>
      <c r="Q4453" s="25"/>
      <c r="R4453" s="54"/>
      <c r="W4453" s="23"/>
      <c r="X4453" s="23"/>
      <c r="Y4453" s="23"/>
      <c r="Z4453" s="43"/>
      <c r="AA4453" s="23"/>
      <c r="AB4453" s="23"/>
      <c r="AC4453" s="23"/>
      <c r="AD4453" s="23"/>
      <c r="AE4453" s="23"/>
      <c r="AF4453" s="23"/>
      <c r="AG4453" s="23"/>
      <c r="AH4453" s="23"/>
      <c r="AI4453" s="49"/>
    </row>
    <row r="4454" spans="1:35">
      <c r="A4454" s="23"/>
      <c r="B4454" s="42"/>
      <c r="C4454" s="49"/>
      <c r="E4454" s="49"/>
      <c r="G4454" s="43"/>
      <c r="H4454" s="44"/>
      <c r="L4454" s="42"/>
      <c r="M4454" s="42"/>
      <c r="N4454" s="25"/>
      <c r="O4454" s="54"/>
      <c r="P4454"/>
      <c r="Q4454" s="25"/>
      <c r="R4454" s="54"/>
      <c r="W4454" s="23"/>
      <c r="X4454" s="23"/>
      <c r="Y4454" s="23"/>
      <c r="Z4454" s="43"/>
      <c r="AA4454" s="23"/>
      <c r="AB4454" s="23"/>
      <c r="AC4454" s="23"/>
      <c r="AD4454" s="23"/>
      <c r="AE4454" s="23"/>
      <c r="AF4454" s="23"/>
      <c r="AG4454" s="23"/>
      <c r="AH4454" s="23"/>
      <c r="AI4454" s="49"/>
    </row>
    <row r="4455" spans="1:35">
      <c r="A4455" s="23"/>
      <c r="B4455" s="42"/>
      <c r="C4455" s="49"/>
      <c r="E4455" s="49"/>
      <c r="G4455" s="43"/>
      <c r="H4455" s="44"/>
      <c r="L4455" s="42"/>
      <c r="M4455" s="42"/>
      <c r="N4455" s="25"/>
      <c r="O4455" s="54"/>
      <c r="P4455"/>
      <c r="Q4455" s="25"/>
      <c r="R4455" s="54"/>
      <c r="W4455" s="23"/>
      <c r="X4455" s="23"/>
      <c r="Y4455" s="23"/>
      <c r="Z4455" s="43"/>
      <c r="AA4455" s="23"/>
      <c r="AB4455" s="23"/>
      <c r="AC4455" s="23"/>
      <c r="AD4455" s="23"/>
      <c r="AE4455" s="23"/>
      <c r="AF4455" s="23"/>
      <c r="AG4455" s="23"/>
      <c r="AH4455" s="23"/>
      <c r="AI4455" s="49"/>
    </row>
    <row r="4456" spans="1:35">
      <c r="A4456" s="23"/>
      <c r="B4456" s="42"/>
      <c r="C4456" s="49"/>
      <c r="E4456" s="49"/>
      <c r="G4456" s="43"/>
      <c r="H4456" s="44"/>
      <c r="L4456" s="42"/>
      <c r="M4456" s="42"/>
      <c r="N4456" s="25"/>
      <c r="O4456" s="54"/>
      <c r="P4456"/>
      <c r="Q4456" s="25"/>
      <c r="R4456" s="54"/>
      <c r="W4456" s="23"/>
      <c r="X4456" s="23"/>
      <c r="Y4456" s="23"/>
      <c r="Z4456" s="43"/>
      <c r="AA4456" s="23"/>
      <c r="AB4456" s="23"/>
      <c r="AC4456" s="23"/>
      <c r="AD4456" s="23"/>
      <c r="AE4456" s="23"/>
      <c r="AF4456" s="23"/>
      <c r="AG4456" s="23"/>
      <c r="AH4456" s="23"/>
      <c r="AI4456" s="49"/>
    </row>
    <row r="4457" spans="1:35">
      <c r="A4457" s="23"/>
      <c r="B4457" s="42"/>
      <c r="C4457" s="49"/>
      <c r="E4457" s="49"/>
      <c r="G4457" s="43"/>
      <c r="H4457" s="44"/>
      <c r="L4457" s="42"/>
      <c r="M4457" s="42"/>
      <c r="N4457" s="25"/>
      <c r="O4457" s="54"/>
      <c r="P4457"/>
      <c r="Q4457" s="25"/>
      <c r="R4457" s="54"/>
      <c r="W4457" s="23"/>
      <c r="X4457" s="23"/>
      <c r="Y4457" s="23"/>
      <c r="Z4457" s="43"/>
      <c r="AA4457" s="23"/>
      <c r="AB4457" s="23"/>
      <c r="AC4457" s="23"/>
      <c r="AD4457" s="23"/>
      <c r="AE4457" s="23"/>
      <c r="AF4457" s="23"/>
      <c r="AG4457" s="23"/>
      <c r="AH4457" s="23"/>
      <c r="AI4457" s="49"/>
    </row>
    <row r="4458" spans="1:35">
      <c r="A4458" s="23"/>
      <c r="B4458" s="42"/>
      <c r="C4458" s="49"/>
      <c r="E4458" s="49"/>
      <c r="G4458" s="43"/>
      <c r="H4458" s="44"/>
      <c r="L4458" s="42"/>
      <c r="M4458" s="42"/>
      <c r="N4458" s="25"/>
      <c r="O4458" s="54"/>
      <c r="P4458"/>
      <c r="Q4458" s="25"/>
      <c r="R4458" s="54"/>
      <c r="W4458" s="23"/>
      <c r="X4458" s="23"/>
      <c r="Y4458" s="23"/>
      <c r="Z4458" s="43"/>
      <c r="AA4458" s="23"/>
      <c r="AB4458" s="23"/>
      <c r="AC4458" s="23"/>
      <c r="AD4458" s="23"/>
      <c r="AE4458" s="23"/>
      <c r="AF4458" s="23"/>
      <c r="AG4458" s="23"/>
      <c r="AH4458" s="23"/>
      <c r="AI4458" s="49"/>
    </row>
    <row r="4459" spans="1:35">
      <c r="A4459" s="23"/>
      <c r="B4459" s="42"/>
      <c r="C4459" s="49"/>
      <c r="E4459" s="49"/>
      <c r="G4459" s="43"/>
      <c r="H4459" s="44"/>
      <c r="L4459" s="42"/>
      <c r="M4459" s="42"/>
      <c r="N4459" s="25"/>
      <c r="O4459" s="54"/>
      <c r="P4459"/>
      <c r="Q4459" s="25"/>
      <c r="R4459" s="54"/>
      <c r="W4459" s="23"/>
      <c r="X4459" s="23"/>
      <c r="Y4459" s="23"/>
      <c r="Z4459" s="43"/>
      <c r="AA4459" s="23"/>
      <c r="AB4459" s="23"/>
      <c r="AC4459" s="23"/>
      <c r="AD4459" s="23"/>
      <c r="AE4459" s="23"/>
      <c r="AF4459" s="23"/>
      <c r="AG4459" s="23"/>
      <c r="AH4459" s="23"/>
      <c r="AI4459" s="49"/>
    </row>
    <row r="4460" spans="1:35">
      <c r="A4460" s="23"/>
      <c r="B4460" s="42"/>
      <c r="C4460" s="49"/>
      <c r="E4460" s="49"/>
      <c r="G4460" s="43"/>
      <c r="H4460" s="44"/>
      <c r="L4460" s="42"/>
      <c r="M4460" s="42"/>
      <c r="N4460" s="25"/>
      <c r="O4460" s="54"/>
      <c r="P4460"/>
      <c r="Q4460" s="25"/>
      <c r="R4460" s="54"/>
      <c r="W4460" s="23"/>
      <c r="X4460" s="23"/>
      <c r="Y4460" s="23"/>
      <c r="Z4460" s="43"/>
      <c r="AA4460" s="23"/>
      <c r="AB4460" s="23"/>
      <c r="AC4460" s="23"/>
      <c r="AD4460" s="23"/>
      <c r="AE4460" s="23"/>
      <c r="AF4460" s="23"/>
      <c r="AG4460" s="23"/>
      <c r="AH4460" s="23"/>
      <c r="AI4460" s="49"/>
    </row>
    <row r="4461" spans="1:35">
      <c r="A4461" s="23"/>
      <c r="B4461" s="42"/>
      <c r="C4461" s="49"/>
      <c r="E4461" s="49"/>
      <c r="G4461" s="43"/>
      <c r="H4461" s="44"/>
      <c r="L4461" s="42"/>
      <c r="M4461" s="42"/>
      <c r="N4461" s="25"/>
      <c r="O4461" s="54"/>
      <c r="P4461"/>
      <c r="Q4461" s="25"/>
      <c r="R4461" s="54"/>
      <c r="W4461" s="23"/>
      <c r="X4461" s="23"/>
      <c r="Y4461" s="23"/>
      <c r="Z4461" s="43"/>
      <c r="AA4461" s="23"/>
      <c r="AB4461" s="23"/>
      <c r="AC4461" s="23"/>
      <c r="AD4461" s="23"/>
      <c r="AE4461" s="23"/>
      <c r="AF4461" s="23"/>
      <c r="AG4461" s="23"/>
      <c r="AH4461" s="23"/>
      <c r="AI4461" s="49"/>
    </row>
    <row r="4462" spans="1:35">
      <c r="A4462" s="23"/>
      <c r="B4462" s="42"/>
      <c r="C4462" s="49"/>
      <c r="E4462" s="49"/>
      <c r="G4462" s="43"/>
      <c r="H4462" s="44"/>
      <c r="L4462" s="42"/>
      <c r="M4462" s="42"/>
      <c r="N4462" s="25"/>
      <c r="O4462" s="54"/>
      <c r="P4462"/>
      <c r="Q4462" s="25"/>
      <c r="R4462" s="54"/>
      <c r="W4462" s="23"/>
      <c r="X4462" s="23"/>
      <c r="Y4462" s="23"/>
      <c r="Z4462" s="43"/>
      <c r="AA4462" s="23"/>
      <c r="AB4462" s="23"/>
      <c r="AC4462" s="23"/>
      <c r="AD4462" s="23"/>
      <c r="AE4462" s="23"/>
      <c r="AF4462" s="23"/>
      <c r="AG4462" s="23"/>
      <c r="AH4462" s="23"/>
      <c r="AI4462" s="49"/>
    </row>
    <row r="4463" spans="1:35">
      <c r="A4463" s="23"/>
      <c r="B4463" s="42"/>
      <c r="C4463" s="49"/>
      <c r="E4463" s="49"/>
      <c r="G4463" s="43"/>
      <c r="H4463" s="44"/>
      <c r="L4463" s="42"/>
      <c r="M4463" s="42"/>
      <c r="N4463" s="25"/>
      <c r="O4463" s="54"/>
      <c r="P4463"/>
      <c r="Q4463" s="25"/>
      <c r="R4463" s="54"/>
      <c r="W4463" s="23"/>
      <c r="X4463" s="23"/>
      <c r="Y4463" s="23"/>
      <c r="Z4463" s="43"/>
      <c r="AA4463" s="23"/>
      <c r="AB4463" s="23"/>
      <c r="AC4463" s="23"/>
      <c r="AD4463" s="23"/>
      <c r="AE4463" s="23"/>
      <c r="AF4463" s="23"/>
      <c r="AG4463" s="23"/>
      <c r="AH4463" s="23"/>
      <c r="AI4463" s="49"/>
    </row>
    <row r="4464" spans="1:35">
      <c r="A4464" s="23"/>
      <c r="B4464" s="42"/>
      <c r="C4464" s="49"/>
      <c r="E4464" s="49"/>
      <c r="G4464" s="43"/>
      <c r="H4464" s="44"/>
      <c r="L4464" s="42"/>
      <c r="M4464" s="42"/>
      <c r="N4464" s="25"/>
      <c r="O4464" s="54"/>
      <c r="P4464"/>
      <c r="Q4464" s="25"/>
      <c r="R4464" s="54"/>
      <c r="W4464" s="23"/>
      <c r="X4464" s="23"/>
      <c r="Y4464" s="23"/>
      <c r="Z4464" s="43"/>
      <c r="AA4464" s="23"/>
      <c r="AB4464" s="23"/>
      <c r="AC4464" s="23"/>
      <c r="AD4464" s="23"/>
      <c r="AE4464" s="23"/>
      <c r="AF4464" s="23"/>
      <c r="AG4464" s="23"/>
      <c r="AH4464" s="23"/>
      <c r="AI4464" s="49"/>
    </row>
    <row r="4465" spans="1:35">
      <c r="A4465" s="23"/>
      <c r="B4465" s="42"/>
      <c r="C4465" s="49"/>
      <c r="E4465" s="49"/>
      <c r="G4465" s="43"/>
      <c r="H4465" s="44"/>
      <c r="L4465" s="42"/>
      <c r="M4465" s="42"/>
      <c r="N4465" s="25"/>
      <c r="O4465" s="54"/>
      <c r="P4465"/>
      <c r="Q4465" s="25"/>
      <c r="R4465" s="54"/>
      <c r="W4465" s="23"/>
      <c r="X4465" s="23"/>
      <c r="Y4465" s="23"/>
      <c r="Z4465" s="43"/>
      <c r="AA4465" s="23"/>
      <c r="AB4465" s="23"/>
      <c r="AC4465" s="23"/>
      <c r="AD4465" s="23"/>
      <c r="AE4465" s="23"/>
      <c r="AF4465" s="23"/>
      <c r="AG4465" s="23"/>
      <c r="AH4465" s="23"/>
      <c r="AI4465" s="49"/>
    </row>
    <row r="4466" spans="1:35">
      <c r="A4466" s="23"/>
      <c r="B4466" s="42"/>
      <c r="C4466" s="49"/>
      <c r="E4466" s="49"/>
      <c r="G4466" s="43"/>
      <c r="H4466" s="44"/>
      <c r="L4466" s="42"/>
      <c r="M4466" s="42"/>
      <c r="N4466" s="25"/>
      <c r="O4466" s="54"/>
      <c r="P4466"/>
      <c r="Q4466" s="25"/>
      <c r="R4466" s="54"/>
      <c r="W4466" s="23"/>
      <c r="X4466" s="23"/>
      <c r="Y4466" s="23"/>
      <c r="Z4466" s="43"/>
      <c r="AA4466" s="23"/>
      <c r="AB4466" s="23"/>
      <c r="AC4466" s="23"/>
      <c r="AD4466" s="23"/>
      <c r="AE4466" s="23"/>
      <c r="AF4466" s="23"/>
      <c r="AG4466" s="23"/>
      <c r="AH4466" s="23"/>
      <c r="AI4466" s="49"/>
    </row>
    <row r="4467" spans="1:35">
      <c r="A4467" s="23"/>
      <c r="B4467" s="42"/>
      <c r="C4467" s="49"/>
      <c r="E4467" s="49"/>
      <c r="G4467" s="43"/>
      <c r="H4467" s="44"/>
      <c r="L4467" s="42"/>
      <c r="M4467" s="42"/>
      <c r="N4467" s="25"/>
      <c r="O4467" s="54"/>
      <c r="P4467"/>
      <c r="Q4467" s="25"/>
      <c r="R4467" s="54"/>
      <c r="W4467" s="23"/>
      <c r="X4467" s="23"/>
      <c r="Y4467" s="23"/>
      <c r="Z4467" s="43"/>
      <c r="AA4467" s="23"/>
      <c r="AB4467" s="23"/>
      <c r="AC4467" s="23"/>
      <c r="AD4467" s="23"/>
      <c r="AE4467" s="23"/>
      <c r="AF4467" s="23"/>
      <c r="AG4467" s="23"/>
      <c r="AH4467" s="23"/>
      <c r="AI4467" s="49"/>
    </row>
    <row r="4468" spans="1:35">
      <c r="A4468" s="23"/>
      <c r="B4468" s="42"/>
      <c r="C4468" s="49"/>
      <c r="E4468" s="49"/>
      <c r="G4468" s="43"/>
      <c r="H4468" s="44"/>
      <c r="L4468" s="42"/>
      <c r="M4468" s="42"/>
      <c r="N4468" s="25"/>
      <c r="O4468" s="54"/>
      <c r="P4468"/>
      <c r="Q4468" s="25"/>
      <c r="R4468" s="54"/>
      <c r="W4468" s="23"/>
      <c r="X4468" s="23"/>
      <c r="Y4468" s="23"/>
      <c r="Z4468" s="43"/>
      <c r="AA4468" s="23"/>
      <c r="AB4468" s="23"/>
      <c r="AC4468" s="23"/>
      <c r="AD4468" s="23"/>
      <c r="AE4468" s="23"/>
      <c r="AF4468" s="23"/>
      <c r="AG4468" s="23"/>
      <c r="AH4468" s="23"/>
      <c r="AI4468" s="49"/>
    </row>
    <row r="4469" spans="1:35">
      <c r="A4469" s="23"/>
      <c r="B4469" s="42"/>
      <c r="C4469" s="49"/>
      <c r="E4469" s="49"/>
      <c r="G4469" s="43"/>
      <c r="H4469" s="44"/>
      <c r="L4469" s="42"/>
      <c r="M4469" s="42"/>
      <c r="N4469" s="25"/>
      <c r="O4469" s="54"/>
      <c r="P4469"/>
      <c r="Q4469" s="25"/>
      <c r="R4469" s="54"/>
      <c r="W4469" s="23"/>
      <c r="X4469" s="23"/>
      <c r="Y4469" s="23"/>
      <c r="Z4469" s="43"/>
      <c r="AA4469" s="23"/>
      <c r="AB4469" s="23"/>
      <c r="AC4469" s="23"/>
      <c r="AD4469" s="23"/>
      <c r="AE4469" s="23"/>
      <c r="AF4469" s="23"/>
      <c r="AG4469" s="23"/>
      <c r="AH4469" s="23"/>
      <c r="AI4469" s="49"/>
    </row>
    <row r="4470" spans="1:35">
      <c r="A4470" s="23"/>
      <c r="B4470" s="42"/>
      <c r="C4470" s="49"/>
      <c r="E4470" s="49"/>
      <c r="G4470" s="43"/>
      <c r="H4470" s="44"/>
      <c r="L4470" s="42"/>
      <c r="M4470" s="42"/>
      <c r="N4470" s="25"/>
      <c r="O4470" s="54"/>
      <c r="P4470"/>
      <c r="Q4470" s="25"/>
      <c r="R4470" s="54"/>
      <c r="W4470" s="23"/>
      <c r="X4470" s="23"/>
      <c r="Y4470" s="23"/>
      <c r="Z4470" s="43"/>
      <c r="AA4470" s="23"/>
      <c r="AB4470" s="23"/>
      <c r="AC4470" s="23"/>
      <c r="AD4470" s="23"/>
      <c r="AE4470" s="23"/>
      <c r="AF4470" s="23"/>
      <c r="AG4470" s="23"/>
      <c r="AH4470" s="23"/>
      <c r="AI4470" s="49"/>
    </row>
    <row r="4471" spans="1:35">
      <c r="A4471" s="23"/>
      <c r="B4471" s="42"/>
      <c r="C4471" s="49"/>
      <c r="E4471" s="49"/>
      <c r="G4471" s="43"/>
      <c r="H4471" s="44"/>
      <c r="L4471" s="42"/>
      <c r="M4471" s="42"/>
      <c r="N4471" s="25"/>
      <c r="O4471" s="54"/>
      <c r="P4471"/>
      <c r="Q4471" s="25"/>
      <c r="R4471" s="54"/>
      <c r="W4471" s="23"/>
      <c r="X4471" s="23"/>
      <c r="Y4471" s="23"/>
      <c r="Z4471" s="43"/>
      <c r="AA4471" s="23"/>
      <c r="AB4471" s="23"/>
      <c r="AC4471" s="23"/>
      <c r="AD4471" s="23"/>
      <c r="AE4471" s="23"/>
      <c r="AF4471" s="23"/>
      <c r="AG4471" s="23"/>
      <c r="AH4471" s="23"/>
      <c r="AI4471" s="49"/>
    </row>
    <row r="4472" spans="1:35">
      <c r="A4472" s="23"/>
      <c r="B4472" s="42"/>
      <c r="C4472" s="49"/>
      <c r="E4472" s="49"/>
      <c r="G4472" s="43"/>
      <c r="H4472" s="44"/>
      <c r="L4472" s="42"/>
      <c r="M4472" s="42"/>
      <c r="N4472" s="25"/>
      <c r="O4472" s="54"/>
      <c r="P4472"/>
      <c r="Q4472" s="25"/>
      <c r="R4472" s="54"/>
      <c r="W4472" s="23"/>
      <c r="X4472" s="23"/>
      <c r="Y4472" s="23"/>
      <c r="Z4472" s="43"/>
      <c r="AA4472" s="23"/>
      <c r="AB4472" s="23"/>
      <c r="AC4472" s="23"/>
      <c r="AD4472" s="23"/>
      <c r="AE4472" s="23"/>
      <c r="AF4472" s="23"/>
      <c r="AG4472" s="23"/>
      <c r="AH4472" s="23"/>
      <c r="AI4472" s="49"/>
    </row>
    <row r="4473" spans="1:35">
      <c r="A4473" s="23"/>
      <c r="B4473" s="42"/>
      <c r="C4473" s="49"/>
      <c r="E4473" s="49"/>
      <c r="G4473" s="43"/>
      <c r="H4473" s="44"/>
      <c r="L4473" s="42"/>
      <c r="M4473" s="42"/>
      <c r="N4473" s="25"/>
      <c r="O4473" s="54"/>
      <c r="P4473"/>
      <c r="Q4473" s="25"/>
      <c r="R4473" s="54"/>
      <c r="W4473" s="23"/>
      <c r="X4473" s="23"/>
      <c r="Y4473" s="23"/>
      <c r="Z4473" s="43"/>
      <c r="AA4473" s="23"/>
      <c r="AB4473" s="23"/>
      <c r="AC4473" s="23"/>
      <c r="AD4473" s="23"/>
      <c r="AE4473" s="23"/>
      <c r="AF4473" s="23"/>
      <c r="AG4473" s="23"/>
      <c r="AH4473" s="23"/>
      <c r="AI4473" s="49"/>
    </row>
    <row r="4474" spans="1:35">
      <c r="A4474" s="23"/>
      <c r="B4474" s="42"/>
      <c r="C4474" s="49"/>
      <c r="E4474" s="49"/>
      <c r="G4474" s="43"/>
      <c r="H4474" s="44"/>
      <c r="L4474" s="42"/>
      <c r="M4474" s="42"/>
      <c r="N4474" s="25"/>
      <c r="O4474" s="54"/>
      <c r="P4474"/>
      <c r="Q4474" s="25"/>
      <c r="R4474" s="54"/>
      <c r="W4474" s="23"/>
      <c r="X4474" s="23"/>
      <c r="Y4474" s="23"/>
      <c r="Z4474" s="43"/>
      <c r="AA4474" s="23"/>
      <c r="AB4474" s="23"/>
      <c r="AC4474" s="23"/>
      <c r="AD4474" s="23"/>
      <c r="AE4474" s="23"/>
      <c r="AF4474" s="23"/>
      <c r="AG4474" s="23"/>
      <c r="AH4474" s="23"/>
      <c r="AI4474" s="49"/>
    </row>
    <row r="4475" spans="1:35">
      <c r="A4475" s="23"/>
      <c r="B4475" s="42"/>
      <c r="C4475" s="49"/>
      <c r="E4475" s="49"/>
      <c r="G4475" s="43"/>
      <c r="H4475" s="44"/>
      <c r="L4475" s="42"/>
      <c r="M4475" s="42"/>
      <c r="N4475" s="25"/>
      <c r="O4475" s="54"/>
      <c r="P4475"/>
      <c r="Q4475" s="25"/>
      <c r="R4475" s="54"/>
      <c r="W4475" s="23"/>
      <c r="X4475" s="23"/>
      <c r="Y4475" s="23"/>
      <c r="Z4475" s="43"/>
      <c r="AA4475" s="23"/>
      <c r="AB4475" s="23"/>
      <c r="AC4475" s="23"/>
      <c r="AD4475" s="23"/>
      <c r="AE4475" s="23"/>
      <c r="AF4475" s="23"/>
      <c r="AG4475" s="23"/>
      <c r="AH4475" s="23"/>
      <c r="AI4475" s="49"/>
    </row>
    <row r="4476" spans="1:35">
      <c r="A4476" s="23"/>
      <c r="B4476" s="42"/>
      <c r="C4476" s="49"/>
      <c r="E4476" s="49"/>
      <c r="G4476" s="43"/>
      <c r="H4476" s="44"/>
      <c r="L4476" s="42"/>
      <c r="M4476" s="42"/>
      <c r="N4476" s="25"/>
      <c r="O4476" s="54"/>
      <c r="P4476"/>
      <c r="Q4476" s="25"/>
      <c r="R4476" s="54"/>
      <c r="W4476" s="23"/>
      <c r="X4476" s="23"/>
      <c r="Y4476" s="23"/>
      <c r="Z4476" s="43"/>
      <c r="AA4476" s="23"/>
      <c r="AB4476" s="23"/>
      <c r="AC4476" s="23"/>
      <c r="AD4476" s="23"/>
      <c r="AE4476" s="23"/>
      <c r="AF4476" s="23"/>
      <c r="AG4476" s="23"/>
      <c r="AH4476" s="23"/>
      <c r="AI4476" s="49"/>
    </row>
    <row r="4477" spans="1:35">
      <c r="A4477" s="23"/>
      <c r="B4477" s="42"/>
      <c r="C4477" s="49"/>
      <c r="E4477" s="49"/>
      <c r="G4477" s="43"/>
      <c r="H4477" s="44"/>
      <c r="L4477" s="42"/>
      <c r="M4477" s="42"/>
      <c r="N4477" s="25"/>
      <c r="O4477" s="54"/>
      <c r="P4477"/>
      <c r="Q4477" s="25"/>
      <c r="R4477" s="54"/>
      <c r="W4477" s="23"/>
      <c r="X4477" s="23"/>
      <c r="Y4477" s="23"/>
      <c r="Z4477" s="43"/>
      <c r="AA4477" s="23"/>
      <c r="AB4477" s="23"/>
      <c r="AC4477" s="23"/>
      <c r="AD4477" s="23"/>
      <c r="AE4477" s="23"/>
      <c r="AF4477" s="23"/>
      <c r="AG4477" s="23"/>
      <c r="AH4477" s="23"/>
      <c r="AI4477" s="49"/>
    </row>
    <row r="4478" spans="1:35">
      <c r="A4478" s="23"/>
      <c r="B4478" s="42"/>
      <c r="C4478" s="49"/>
      <c r="E4478" s="49"/>
      <c r="G4478" s="43"/>
      <c r="H4478" s="44"/>
      <c r="L4478" s="42"/>
      <c r="M4478" s="42"/>
      <c r="N4478" s="25"/>
      <c r="O4478" s="54"/>
      <c r="P4478"/>
      <c r="Q4478" s="25"/>
      <c r="R4478" s="54"/>
      <c r="W4478" s="23"/>
      <c r="X4478" s="23"/>
      <c r="Y4478" s="23"/>
      <c r="Z4478" s="43"/>
      <c r="AA4478" s="23"/>
      <c r="AB4478" s="23"/>
      <c r="AC4478" s="23"/>
      <c r="AD4478" s="23"/>
      <c r="AE4478" s="23"/>
      <c r="AF4478" s="23"/>
      <c r="AG4478" s="23"/>
      <c r="AH4478" s="23"/>
      <c r="AI4478" s="49"/>
    </row>
    <row r="4479" spans="1:35">
      <c r="A4479" s="23"/>
      <c r="B4479" s="42"/>
      <c r="C4479" s="49"/>
      <c r="E4479" s="49"/>
      <c r="G4479" s="43"/>
      <c r="H4479" s="44"/>
      <c r="L4479" s="42"/>
      <c r="M4479" s="42"/>
      <c r="N4479" s="25"/>
      <c r="O4479" s="54"/>
      <c r="P4479"/>
      <c r="Q4479" s="25"/>
      <c r="R4479" s="54"/>
      <c r="W4479" s="23"/>
      <c r="X4479" s="23"/>
      <c r="Y4479" s="23"/>
      <c r="Z4479" s="43"/>
      <c r="AA4479" s="23"/>
      <c r="AB4479" s="23"/>
      <c r="AC4479" s="23"/>
      <c r="AD4479" s="23"/>
      <c r="AE4479" s="23"/>
      <c r="AF4479" s="23"/>
      <c r="AG4479" s="23"/>
      <c r="AH4479" s="23"/>
      <c r="AI4479" s="49"/>
    </row>
    <row r="4480" spans="1:35">
      <c r="A4480" s="23"/>
      <c r="B4480" s="42"/>
      <c r="C4480" s="49"/>
      <c r="E4480" s="49"/>
      <c r="G4480" s="43"/>
      <c r="H4480" s="44"/>
      <c r="L4480" s="42"/>
      <c r="M4480" s="42"/>
      <c r="N4480" s="25"/>
      <c r="O4480" s="54"/>
      <c r="P4480"/>
      <c r="Q4480" s="25"/>
      <c r="R4480" s="54"/>
      <c r="W4480" s="23"/>
      <c r="X4480" s="23"/>
      <c r="Y4480" s="23"/>
      <c r="Z4480" s="43"/>
      <c r="AA4480" s="23"/>
      <c r="AB4480" s="23"/>
      <c r="AC4480" s="23"/>
      <c r="AD4480" s="23"/>
      <c r="AE4480" s="23"/>
      <c r="AF4480" s="23"/>
      <c r="AG4480" s="23"/>
      <c r="AH4480" s="23"/>
      <c r="AI4480" s="49"/>
    </row>
    <row r="4481" spans="1:35">
      <c r="A4481" s="23"/>
      <c r="B4481" s="42"/>
      <c r="C4481" s="49"/>
      <c r="E4481" s="49"/>
      <c r="G4481" s="43"/>
      <c r="H4481" s="44"/>
      <c r="L4481" s="42"/>
      <c r="M4481" s="42"/>
      <c r="N4481" s="25"/>
      <c r="O4481" s="54"/>
      <c r="P4481"/>
      <c r="Q4481" s="25"/>
      <c r="R4481" s="54"/>
      <c r="W4481" s="23"/>
      <c r="X4481" s="23"/>
      <c r="Y4481" s="23"/>
      <c r="Z4481" s="43"/>
      <c r="AA4481" s="23"/>
      <c r="AB4481" s="23"/>
      <c r="AC4481" s="23"/>
      <c r="AD4481" s="23"/>
      <c r="AE4481" s="23"/>
      <c r="AF4481" s="23"/>
      <c r="AG4481" s="23"/>
      <c r="AH4481" s="23"/>
      <c r="AI4481" s="49"/>
    </row>
    <row r="4482" spans="1:35">
      <c r="A4482" s="23"/>
      <c r="B4482" s="42"/>
      <c r="C4482" s="49"/>
      <c r="E4482" s="49"/>
      <c r="G4482" s="43"/>
      <c r="H4482" s="44"/>
      <c r="L4482" s="42"/>
      <c r="M4482" s="42"/>
      <c r="N4482" s="25"/>
      <c r="O4482" s="54"/>
      <c r="P4482"/>
      <c r="Q4482" s="25"/>
      <c r="R4482" s="54"/>
      <c r="W4482" s="23"/>
      <c r="X4482" s="23"/>
      <c r="Y4482" s="23"/>
      <c r="Z4482" s="43"/>
      <c r="AA4482" s="23"/>
      <c r="AB4482" s="23"/>
      <c r="AC4482" s="23"/>
      <c r="AD4482" s="23"/>
      <c r="AE4482" s="23"/>
      <c r="AF4482" s="23"/>
      <c r="AG4482" s="23"/>
      <c r="AH4482" s="23"/>
      <c r="AI4482" s="49"/>
    </row>
    <row r="4483" spans="1:35">
      <c r="A4483" s="23"/>
      <c r="B4483" s="42"/>
      <c r="C4483" s="49"/>
      <c r="E4483" s="49"/>
      <c r="G4483" s="43"/>
      <c r="H4483" s="44"/>
      <c r="L4483" s="42"/>
      <c r="M4483" s="42"/>
      <c r="N4483" s="25"/>
      <c r="O4483" s="54"/>
      <c r="P4483"/>
      <c r="Q4483" s="25"/>
      <c r="R4483" s="54"/>
      <c r="W4483" s="23"/>
      <c r="X4483" s="23"/>
      <c r="Y4483" s="23"/>
      <c r="Z4483" s="43"/>
      <c r="AA4483" s="23"/>
      <c r="AB4483" s="23"/>
      <c r="AC4483" s="23"/>
      <c r="AD4483" s="23"/>
      <c r="AE4483" s="23"/>
      <c r="AF4483" s="23"/>
      <c r="AG4483" s="23"/>
      <c r="AH4483" s="23"/>
      <c r="AI4483" s="49"/>
    </row>
    <row r="4484" spans="1:35">
      <c r="A4484" s="23"/>
      <c r="B4484" s="42"/>
      <c r="C4484" s="49"/>
      <c r="E4484" s="49"/>
      <c r="G4484" s="43"/>
      <c r="H4484" s="44"/>
      <c r="L4484" s="42"/>
      <c r="M4484" s="42"/>
      <c r="N4484" s="25"/>
      <c r="O4484" s="54"/>
      <c r="P4484"/>
      <c r="Q4484" s="25"/>
      <c r="R4484" s="54"/>
      <c r="W4484" s="23"/>
      <c r="X4484" s="23"/>
      <c r="Y4484" s="23"/>
      <c r="Z4484" s="43"/>
      <c r="AA4484" s="23"/>
      <c r="AB4484" s="23"/>
      <c r="AC4484" s="23"/>
      <c r="AD4484" s="23"/>
      <c r="AE4484" s="23"/>
      <c r="AF4484" s="23"/>
      <c r="AG4484" s="23"/>
      <c r="AH4484" s="23"/>
      <c r="AI4484" s="49"/>
    </row>
    <row r="4485" spans="1:35">
      <c r="A4485" s="23"/>
      <c r="B4485" s="42"/>
      <c r="C4485" s="49"/>
      <c r="E4485" s="49"/>
      <c r="G4485" s="43"/>
      <c r="H4485" s="44"/>
      <c r="L4485" s="42"/>
      <c r="M4485" s="42"/>
      <c r="N4485" s="25"/>
      <c r="O4485" s="54"/>
      <c r="P4485"/>
      <c r="Q4485" s="25"/>
      <c r="R4485" s="54"/>
      <c r="W4485" s="23"/>
      <c r="X4485" s="23"/>
      <c r="Y4485" s="23"/>
      <c r="Z4485" s="43"/>
      <c r="AA4485" s="23"/>
      <c r="AB4485" s="23"/>
      <c r="AC4485" s="23"/>
      <c r="AD4485" s="23"/>
      <c r="AE4485" s="23"/>
      <c r="AF4485" s="23"/>
      <c r="AG4485" s="23"/>
      <c r="AH4485" s="23"/>
      <c r="AI4485" s="49"/>
    </row>
    <row r="4486" spans="1:35">
      <c r="A4486" s="23"/>
      <c r="B4486" s="42"/>
      <c r="C4486" s="49"/>
      <c r="E4486" s="49"/>
      <c r="G4486" s="43"/>
      <c r="H4486" s="44"/>
      <c r="L4486" s="42"/>
      <c r="M4486" s="42"/>
      <c r="N4486" s="25"/>
      <c r="O4486" s="54"/>
      <c r="P4486"/>
      <c r="Q4486" s="25"/>
      <c r="R4486" s="54"/>
      <c r="W4486" s="23"/>
      <c r="X4486" s="23"/>
      <c r="Y4486" s="23"/>
      <c r="Z4486" s="43"/>
      <c r="AA4486" s="23"/>
      <c r="AB4486" s="23"/>
      <c r="AC4486" s="23"/>
      <c r="AD4486" s="23"/>
      <c r="AE4486" s="23"/>
      <c r="AF4486" s="23"/>
      <c r="AG4486" s="23"/>
      <c r="AH4486" s="23"/>
      <c r="AI4486" s="49"/>
    </row>
    <row r="4487" spans="1:35">
      <c r="A4487" s="23"/>
      <c r="B4487" s="42"/>
      <c r="C4487" s="49"/>
      <c r="E4487" s="49"/>
      <c r="G4487" s="43"/>
      <c r="H4487" s="44"/>
      <c r="L4487" s="42"/>
      <c r="M4487" s="42"/>
      <c r="N4487" s="25"/>
      <c r="O4487" s="54"/>
      <c r="P4487"/>
      <c r="Q4487" s="25"/>
      <c r="R4487" s="54"/>
      <c r="W4487" s="23"/>
      <c r="X4487" s="23"/>
      <c r="Y4487" s="23"/>
      <c r="Z4487" s="43"/>
      <c r="AA4487" s="23"/>
      <c r="AB4487" s="23"/>
      <c r="AC4487" s="23"/>
      <c r="AD4487" s="23"/>
      <c r="AE4487" s="23"/>
      <c r="AF4487" s="23"/>
      <c r="AG4487" s="23"/>
      <c r="AH4487" s="23"/>
      <c r="AI4487" s="49"/>
    </row>
    <row r="4488" spans="1:35">
      <c r="A4488" s="23"/>
      <c r="B4488" s="42"/>
      <c r="C4488" s="49"/>
      <c r="E4488" s="49"/>
      <c r="G4488" s="43"/>
      <c r="H4488" s="44"/>
      <c r="L4488" s="42"/>
      <c r="M4488" s="42"/>
      <c r="N4488" s="25"/>
      <c r="O4488" s="54"/>
      <c r="P4488"/>
      <c r="Q4488" s="25"/>
      <c r="R4488" s="54"/>
      <c r="W4488" s="23"/>
      <c r="X4488" s="23"/>
      <c r="Y4488" s="23"/>
      <c r="Z4488" s="43"/>
      <c r="AA4488" s="23"/>
      <c r="AB4488" s="23"/>
      <c r="AC4488" s="23"/>
      <c r="AD4488" s="23"/>
      <c r="AE4488" s="23"/>
      <c r="AF4488" s="23"/>
      <c r="AG4488" s="23"/>
      <c r="AH4488" s="23"/>
      <c r="AI4488" s="49"/>
    </row>
    <row r="4489" spans="1:35">
      <c r="A4489" s="23"/>
      <c r="B4489" s="42"/>
      <c r="C4489" s="49"/>
      <c r="E4489" s="49"/>
      <c r="G4489" s="43"/>
      <c r="H4489" s="44"/>
      <c r="L4489" s="42"/>
      <c r="M4489" s="42"/>
      <c r="N4489" s="25"/>
      <c r="O4489" s="54"/>
      <c r="P4489"/>
      <c r="Q4489" s="25"/>
      <c r="R4489" s="54"/>
      <c r="W4489" s="23"/>
      <c r="X4489" s="23"/>
      <c r="Y4489" s="23"/>
      <c r="Z4489" s="43"/>
      <c r="AA4489" s="23"/>
      <c r="AB4489" s="23"/>
      <c r="AC4489" s="23"/>
      <c r="AD4489" s="23"/>
      <c r="AE4489" s="23"/>
      <c r="AF4489" s="23"/>
      <c r="AG4489" s="23"/>
      <c r="AH4489" s="23"/>
      <c r="AI4489" s="49"/>
    </row>
    <row r="4490" spans="1:35">
      <c r="A4490" s="23"/>
      <c r="B4490" s="42"/>
      <c r="C4490" s="49"/>
      <c r="E4490" s="49"/>
      <c r="G4490" s="43"/>
      <c r="H4490" s="44"/>
      <c r="L4490" s="42"/>
      <c r="M4490" s="42"/>
      <c r="N4490" s="25"/>
      <c r="O4490" s="54"/>
      <c r="P4490"/>
      <c r="Q4490" s="25"/>
      <c r="R4490" s="54"/>
      <c r="W4490" s="23"/>
      <c r="X4490" s="23"/>
      <c r="Y4490" s="23"/>
      <c r="Z4490" s="43"/>
      <c r="AA4490" s="23"/>
      <c r="AB4490" s="23"/>
      <c r="AC4490" s="23"/>
      <c r="AD4490" s="23"/>
      <c r="AE4490" s="23"/>
      <c r="AF4490" s="23"/>
      <c r="AG4490" s="23"/>
      <c r="AH4490" s="23"/>
      <c r="AI4490" s="49"/>
    </row>
    <row r="4491" spans="1:35">
      <c r="A4491" s="23"/>
      <c r="B4491" s="42"/>
      <c r="C4491" s="49"/>
      <c r="E4491" s="49"/>
      <c r="G4491" s="43"/>
      <c r="H4491" s="44"/>
      <c r="L4491" s="42"/>
      <c r="M4491" s="42"/>
      <c r="N4491" s="25"/>
      <c r="O4491" s="54"/>
      <c r="P4491"/>
      <c r="Q4491" s="25"/>
      <c r="R4491" s="54"/>
      <c r="W4491" s="23"/>
      <c r="X4491" s="23"/>
      <c r="Y4491" s="23"/>
      <c r="Z4491" s="43"/>
      <c r="AA4491" s="23"/>
      <c r="AB4491" s="23"/>
      <c r="AC4491" s="23"/>
      <c r="AD4491" s="23"/>
      <c r="AE4491" s="23"/>
      <c r="AF4491" s="23"/>
      <c r="AG4491" s="23"/>
      <c r="AH4491" s="23"/>
      <c r="AI4491" s="49"/>
    </row>
    <row r="4492" spans="1:35">
      <c r="A4492" s="23"/>
      <c r="B4492" s="42"/>
      <c r="C4492" s="49"/>
      <c r="E4492" s="49"/>
      <c r="G4492" s="43"/>
      <c r="H4492" s="44"/>
      <c r="L4492" s="42"/>
      <c r="M4492" s="42"/>
      <c r="N4492" s="25"/>
      <c r="O4492" s="54"/>
      <c r="P4492"/>
      <c r="Q4492" s="25"/>
      <c r="R4492" s="54"/>
      <c r="W4492" s="23"/>
      <c r="X4492" s="23"/>
      <c r="Y4492" s="23"/>
      <c r="Z4492" s="43"/>
      <c r="AA4492" s="23"/>
      <c r="AB4492" s="23"/>
      <c r="AC4492" s="23"/>
      <c r="AD4492" s="23"/>
      <c r="AE4492" s="23"/>
      <c r="AF4492" s="23"/>
      <c r="AG4492" s="23"/>
      <c r="AH4492" s="23"/>
      <c r="AI4492" s="49"/>
    </row>
    <row r="4493" spans="1:35">
      <c r="A4493" s="23"/>
      <c r="B4493" s="42"/>
      <c r="C4493" s="49"/>
      <c r="E4493" s="49"/>
      <c r="G4493" s="43"/>
      <c r="H4493" s="44"/>
      <c r="L4493" s="42"/>
      <c r="M4493" s="42"/>
      <c r="N4493" s="25"/>
      <c r="O4493" s="54"/>
      <c r="P4493"/>
      <c r="Q4493" s="25"/>
      <c r="R4493" s="54"/>
      <c r="W4493" s="23"/>
      <c r="X4493" s="23"/>
      <c r="Y4493" s="23"/>
      <c r="Z4493" s="43"/>
      <c r="AA4493" s="23"/>
      <c r="AB4493" s="23"/>
      <c r="AC4493" s="23"/>
      <c r="AD4493" s="23"/>
      <c r="AE4493" s="23"/>
      <c r="AF4493" s="23"/>
      <c r="AG4493" s="23"/>
      <c r="AH4493" s="23"/>
      <c r="AI4493" s="49"/>
    </row>
    <row r="4494" spans="1:35">
      <c r="A4494" s="23"/>
      <c r="B4494" s="42"/>
      <c r="C4494" s="49"/>
      <c r="E4494" s="49"/>
      <c r="G4494" s="43"/>
      <c r="H4494" s="44"/>
      <c r="L4494" s="42"/>
      <c r="M4494" s="42"/>
      <c r="N4494" s="25"/>
      <c r="O4494" s="54"/>
      <c r="P4494"/>
      <c r="Q4494" s="25"/>
      <c r="R4494" s="54"/>
      <c r="W4494" s="23"/>
      <c r="X4494" s="23"/>
      <c r="Y4494" s="23"/>
      <c r="Z4494" s="43"/>
      <c r="AA4494" s="23"/>
      <c r="AB4494" s="23"/>
      <c r="AC4494" s="23"/>
      <c r="AD4494" s="23"/>
      <c r="AE4494" s="23"/>
      <c r="AF4494" s="23"/>
      <c r="AG4494" s="23"/>
      <c r="AH4494" s="23"/>
      <c r="AI4494" s="49"/>
    </row>
    <row r="4495" spans="1:35">
      <c r="A4495" s="23"/>
      <c r="B4495" s="42"/>
      <c r="C4495" s="49"/>
      <c r="E4495" s="49"/>
      <c r="G4495" s="43"/>
      <c r="H4495" s="44"/>
      <c r="L4495" s="42"/>
      <c r="M4495" s="42"/>
      <c r="N4495" s="25"/>
      <c r="O4495" s="54"/>
      <c r="P4495"/>
      <c r="Q4495" s="25"/>
      <c r="R4495" s="54"/>
      <c r="W4495" s="23"/>
      <c r="X4495" s="23"/>
      <c r="Y4495" s="23"/>
      <c r="Z4495" s="43"/>
      <c r="AA4495" s="23"/>
      <c r="AB4495" s="23"/>
      <c r="AC4495" s="23"/>
      <c r="AD4495" s="23"/>
      <c r="AE4495" s="23"/>
      <c r="AF4495" s="23"/>
      <c r="AG4495" s="23"/>
      <c r="AH4495" s="23"/>
      <c r="AI4495" s="49"/>
    </row>
    <row r="4496" spans="1:35">
      <c r="A4496" s="23"/>
      <c r="B4496" s="42"/>
      <c r="C4496" s="49"/>
      <c r="E4496" s="49"/>
      <c r="G4496" s="43"/>
      <c r="H4496" s="44"/>
      <c r="L4496" s="42"/>
      <c r="M4496" s="42"/>
      <c r="N4496" s="25"/>
      <c r="O4496" s="54"/>
      <c r="P4496"/>
      <c r="Q4496" s="25"/>
      <c r="R4496" s="54"/>
      <c r="W4496" s="23"/>
      <c r="X4496" s="23"/>
      <c r="Y4496" s="23"/>
      <c r="Z4496" s="43"/>
      <c r="AA4496" s="23"/>
      <c r="AB4496" s="23"/>
      <c r="AC4496" s="23"/>
      <c r="AD4496" s="23"/>
      <c r="AE4496" s="23"/>
      <c r="AF4496" s="23"/>
      <c r="AG4496" s="23"/>
      <c r="AH4496" s="23"/>
      <c r="AI4496" s="49"/>
    </row>
    <row r="4497" spans="1:35">
      <c r="A4497" s="23"/>
      <c r="B4497" s="42"/>
      <c r="C4497" s="49"/>
      <c r="E4497" s="49"/>
      <c r="G4497" s="43"/>
      <c r="H4497" s="44"/>
      <c r="L4497" s="42"/>
      <c r="M4497" s="42"/>
      <c r="N4497" s="25"/>
      <c r="O4497" s="54"/>
      <c r="P4497"/>
      <c r="Q4497" s="25"/>
      <c r="R4497" s="54"/>
      <c r="W4497" s="23"/>
      <c r="X4497" s="23"/>
      <c r="Y4497" s="23"/>
      <c r="Z4497" s="43"/>
      <c r="AA4497" s="23"/>
      <c r="AB4497" s="23"/>
      <c r="AC4497" s="23"/>
      <c r="AD4497" s="23"/>
      <c r="AE4497" s="23"/>
      <c r="AF4497" s="23"/>
      <c r="AG4497" s="23"/>
      <c r="AH4497" s="23"/>
      <c r="AI4497" s="49"/>
    </row>
    <row r="4498" spans="1:35">
      <c r="A4498" s="23"/>
      <c r="B4498" s="42"/>
      <c r="C4498" s="49"/>
      <c r="E4498" s="49"/>
      <c r="G4498" s="43"/>
      <c r="H4498" s="44"/>
      <c r="L4498" s="42"/>
      <c r="M4498" s="42"/>
      <c r="N4498" s="25"/>
      <c r="O4498" s="54"/>
      <c r="P4498"/>
      <c r="Q4498" s="25"/>
      <c r="R4498" s="54"/>
      <c r="W4498" s="23"/>
      <c r="X4498" s="23"/>
      <c r="Y4498" s="23"/>
      <c r="Z4498" s="43"/>
      <c r="AA4498" s="23"/>
      <c r="AB4498" s="23"/>
      <c r="AC4498" s="23"/>
      <c r="AD4498" s="23"/>
      <c r="AE4498" s="23"/>
      <c r="AF4498" s="23"/>
      <c r="AG4498" s="23"/>
      <c r="AH4498" s="23"/>
      <c r="AI4498" s="49"/>
    </row>
    <row r="4499" spans="1:35">
      <c r="A4499" s="23"/>
      <c r="B4499" s="42"/>
      <c r="C4499" s="49"/>
      <c r="E4499" s="49"/>
      <c r="G4499" s="43"/>
      <c r="H4499" s="44"/>
      <c r="L4499" s="42"/>
      <c r="M4499" s="42"/>
      <c r="N4499" s="25"/>
      <c r="O4499" s="54"/>
      <c r="P4499"/>
      <c r="Q4499" s="25"/>
      <c r="R4499" s="54"/>
      <c r="W4499" s="23"/>
      <c r="X4499" s="23"/>
      <c r="Y4499" s="23"/>
      <c r="Z4499" s="43"/>
      <c r="AA4499" s="23"/>
      <c r="AB4499" s="23"/>
      <c r="AC4499" s="23"/>
      <c r="AD4499" s="23"/>
      <c r="AE4499" s="23"/>
      <c r="AF4499" s="23"/>
      <c r="AG4499" s="23"/>
      <c r="AH4499" s="23"/>
      <c r="AI4499" s="49"/>
    </row>
    <row r="4500" spans="1:35">
      <c r="A4500" s="23"/>
      <c r="B4500" s="42"/>
      <c r="C4500" s="49"/>
      <c r="E4500" s="49"/>
      <c r="G4500" s="43"/>
      <c r="H4500" s="44"/>
      <c r="L4500" s="42"/>
      <c r="M4500" s="42"/>
      <c r="N4500" s="25"/>
      <c r="O4500" s="54"/>
      <c r="P4500"/>
      <c r="Q4500" s="25"/>
      <c r="R4500" s="54"/>
      <c r="W4500" s="23"/>
      <c r="X4500" s="23"/>
      <c r="Y4500" s="23"/>
      <c r="Z4500" s="43"/>
      <c r="AA4500" s="23"/>
      <c r="AB4500" s="23"/>
      <c r="AC4500" s="23"/>
      <c r="AD4500" s="23"/>
      <c r="AE4500" s="23"/>
      <c r="AF4500" s="23"/>
      <c r="AG4500" s="23"/>
      <c r="AH4500" s="23"/>
      <c r="AI4500" s="49"/>
    </row>
    <row r="4501" spans="1:35">
      <c r="A4501" s="23"/>
      <c r="B4501" s="42"/>
      <c r="C4501" s="49"/>
      <c r="E4501" s="49"/>
      <c r="G4501" s="43"/>
      <c r="H4501" s="44"/>
      <c r="L4501" s="42"/>
      <c r="M4501" s="42"/>
      <c r="N4501" s="25"/>
      <c r="O4501" s="54"/>
      <c r="P4501"/>
      <c r="Q4501" s="25"/>
      <c r="R4501" s="54"/>
      <c r="W4501" s="23"/>
      <c r="X4501" s="23"/>
      <c r="Y4501" s="23"/>
      <c r="Z4501" s="43"/>
      <c r="AA4501" s="23"/>
      <c r="AB4501" s="23"/>
      <c r="AC4501" s="23"/>
      <c r="AD4501" s="23"/>
      <c r="AE4501" s="23"/>
      <c r="AF4501" s="23"/>
      <c r="AG4501" s="23"/>
      <c r="AH4501" s="23"/>
      <c r="AI4501" s="49"/>
    </row>
    <row r="4502" spans="1:35">
      <c r="A4502" s="23"/>
      <c r="B4502" s="42"/>
      <c r="C4502" s="49"/>
      <c r="E4502" s="49"/>
      <c r="G4502" s="43"/>
      <c r="H4502" s="44"/>
      <c r="L4502" s="42"/>
      <c r="M4502" s="42"/>
      <c r="N4502" s="25"/>
      <c r="O4502" s="54"/>
      <c r="P4502"/>
      <c r="Q4502" s="25"/>
      <c r="R4502" s="54"/>
      <c r="W4502" s="23"/>
      <c r="X4502" s="23"/>
      <c r="Y4502" s="23"/>
      <c r="Z4502" s="43"/>
      <c r="AA4502" s="23"/>
      <c r="AB4502" s="23"/>
      <c r="AC4502" s="23"/>
      <c r="AD4502" s="23"/>
      <c r="AE4502" s="23"/>
      <c r="AF4502" s="23"/>
      <c r="AG4502" s="23"/>
      <c r="AH4502" s="23"/>
      <c r="AI4502" s="49"/>
    </row>
    <row r="4503" spans="1:35">
      <c r="A4503" s="23"/>
      <c r="B4503" s="42"/>
      <c r="C4503" s="49"/>
      <c r="E4503" s="49"/>
      <c r="G4503" s="43"/>
      <c r="H4503" s="44"/>
      <c r="L4503" s="42"/>
      <c r="M4503" s="42"/>
      <c r="N4503" s="25"/>
      <c r="O4503" s="54"/>
      <c r="P4503"/>
      <c r="Q4503" s="25"/>
      <c r="R4503" s="54"/>
      <c r="W4503" s="23"/>
      <c r="X4503" s="23"/>
      <c r="Y4503" s="23"/>
      <c r="Z4503" s="43"/>
      <c r="AA4503" s="23"/>
      <c r="AB4503" s="23"/>
      <c r="AC4503" s="23"/>
      <c r="AD4503" s="23"/>
      <c r="AE4503" s="23"/>
      <c r="AF4503" s="23"/>
      <c r="AG4503" s="23"/>
      <c r="AH4503" s="23"/>
      <c r="AI4503" s="49"/>
    </row>
    <row r="4504" spans="1:35">
      <c r="A4504" s="23"/>
      <c r="B4504" s="42"/>
      <c r="C4504" s="49"/>
      <c r="E4504" s="49"/>
      <c r="G4504" s="43"/>
      <c r="H4504" s="44"/>
      <c r="L4504" s="42"/>
      <c r="M4504" s="42"/>
      <c r="N4504" s="25"/>
      <c r="O4504" s="54"/>
      <c r="P4504"/>
      <c r="Q4504" s="25"/>
      <c r="R4504" s="54"/>
      <c r="W4504" s="23"/>
      <c r="X4504" s="23"/>
      <c r="Y4504" s="23"/>
      <c r="Z4504" s="43"/>
      <c r="AA4504" s="23"/>
      <c r="AB4504" s="23"/>
      <c r="AC4504" s="23"/>
      <c r="AD4504" s="23"/>
      <c r="AE4504" s="23"/>
      <c r="AF4504" s="23"/>
      <c r="AG4504" s="23"/>
      <c r="AH4504" s="23"/>
      <c r="AI4504" s="49"/>
    </row>
    <row r="4505" spans="1:35">
      <c r="A4505" s="23"/>
      <c r="B4505" s="42"/>
      <c r="C4505" s="49"/>
      <c r="E4505" s="49"/>
      <c r="G4505" s="43"/>
      <c r="H4505" s="44"/>
      <c r="L4505" s="42"/>
      <c r="M4505" s="42"/>
      <c r="N4505" s="25"/>
      <c r="O4505" s="54"/>
      <c r="P4505"/>
      <c r="Q4505" s="25"/>
      <c r="R4505" s="54"/>
      <c r="W4505" s="23"/>
      <c r="X4505" s="23"/>
      <c r="Y4505" s="23"/>
      <c r="Z4505" s="43"/>
      <c r="AA4505" s="23"/>
      <c r="AB4505" s="23"/>
      <c r="AC4505" s="23"/>
      <c r="AD4505" s="23"/>
      <c r="AE4505" s="23"/>
      <c r="AF4505" s="23"/>
      <c r="AG4505" s="23"/>
      <c r="AH4505" s="23"/>
      <c r="AI4505" s="49"/>
    </row>
    <row r="4506" spans="1:35">
      <c r="A4506" s="23"/>
      <c r="B4506" s="42"/>
      <c r="C4506" s="49"/>
      <c r="E4506" s="49"/>
      <c r="G4506" s="43"/>
      <c r="H4506" s="44"/>
      <c r="L4506" s="42"/>
      <c r="M4506" s="42"/>
      <c r="N4506" s="25"/>
      <c r="O4506" s="54"/>
      <c r="P4506"/>
      <c r="Q4506" s="25"/>
      <c r="R4506" s="54"/>
      <c r="W4506" s="23"/>
      <c r="X4506" s="23"/>
      <c r="Y4506" s="23"/>
      <c r="Z4506" s="43"/>
      <c r="AA4506" s="23"/>
      <c r="AB4506" s="23"/>
      <c r="AC4506" s="23"/>
      <c r="AD4506" s="23"/>
      <c r="AE4506" s="23"/>
      <c r="AF4506" s="23"/>
      <c r="AG4506" s="23"/>
      <c r="AH4506" s="23"/>
      <c r="AI4506" s="49"/>
    </row>
    <row r="4507" spans="1:35">
      <c r="A4507" s="23"/>
      <c r="B4507" s="42"/>
      <c r="C4507" s="49"/>
      <c r="E4507" s="49"/>
      <c r="G4507" s="43"/>
      <c r="H4507" s="44"/>
      <c r="L4507" s="42"/>
      <c r="M4507" s="42"/>
      <c r="N4507" s="25"/>
      <c r="O4507" s="54"/>
      <c r="P4507"/>
      <c r="Q4507" s="25"/>
      <c r="R4507" s="54"/>
      <c r="W4507" s="23"/>
      <c r="X4507" s="23"/>
      <c r="Y4507" s="23"/>
      <c r="Z4507" s="43"/>
      <c r="AA4507" s="23"/>
      <c r="AB4507" s="23"/>
      <c r="AC4507" s="23"/>
      <c r="AD4507" s="23"/>
      <c r="AE4507" s="23"/>
      <c r="AF4507" s="23"/>
      <c r="AG4507" s="23"/>
      <c r="AH4507" s="23"/>
      <c r="AI4507" s="49"/>
    </row>
    <row r="4508" spans="1:35">
      <c r="A4508" s="23"/>
      <c r="B4508" s="42"/>
      <c r="C4508" s="49"/>
      <c r="E4508" s="49"/>
      <c r="G4508" s="43"/>
      <c r="H4508" s="44"/>
      <c r="L4508" s="42"/>
      <c r="M4508" s="42"/>
      <c r="N4508" s="25"/>
      <c r="O4508" s="54"/>
      <c r="P4508"/>
      <c r="Q4508" s="25"/>
      <c r="R4508" s="54"/>
      <c r="W4508" s="23"/>
      <c r="X4508" s="23"/>
      <c r="Y4508" s="23"/>
      <c r="Z4508" s="43"/>
      <c r="AA4508" s="23"/>
      <c r="AB4508" s="23"/>
      <c r="AC4508" s="23"/>
      <c r="AD4508" s="23"/>
      <c r="AE4508" s="23"/>
      <c r="AF4508" s="23"/>
      <c r="AG4508" s="23"/>
      <c r="AH4508" s="23"/>
      <c r="AI4508" s="49"/>
    </row>
    <row r="4509" spans="1:35">
      <c r="A4509" s="23"/>
      <c r="B4509" s="42"/>
      <c r="C4509" s="49"/>
      <c r="E4509" s="49"/>
      <c r="G4509" s="43"/>
      <c r="H4509" s="44"/>
      <c r="L4509" s="42"/>
      <c r="M4509" s="42"/>
      <c r="N4509" s="25"/>
      <c r="O4509" s="54"/>
      <c r="P4509"/>
      <c r="Q4509" s="25"/>
      <c r="R4509" s="54"/>
      <c r="W4509" s="23"/>
      <c r="X4509" s="23"/>
      <c r="Y4509" s="23"/>
      <c r="Z4509" s="43"/>
      <c r="AA4509" s="23"/>
      <c r="AB4509" s="23"/>
      <c r="AC4509" s="23"/>
      <c r="AD4509" s="23"/>
      <c r="AE4509" s="23"/>
      <c r="AF4509" s="23"/>
      <c r="AG4509" s="23"/>
      <c r="AH4509" s="23"/>
      <c r="AI4509" s="49"/>
    </row>
    <row r="4510" spans="1:35">
      <c r="A4510" s="23"/>
      <c r="B4510" s="42"/>
      <c r="C4510" s="49"/>
      <c r="E4510" s="49"/>
      <c r="G4510" s="43"/>
      <c r="H4510" s="44"/>
      <c r="L4510" s="42"/>
      <c r="M4510" s="42"/>
      <c r="N4510" s="25"/>
      <c r="O4510" s="54"/>
      <c r="P4510"/>
      <c r="Q4510" s="25"/>
      <c r="R4510" s="54"/>
      <c r="W4510" s="23"/>
      <c r="X4510" s="23"/>
      <c r="Y4510" s="23"/>
      <c r="Z4510" s="43"/>
      <c r="AA4510" s="23"/>
      <c r="AB4510" s="23"/>
      <c r="AC4510" s="23"/>
      <c r="AD4510" s="23"/>
      <c r="AE4510" s="23"/>
      <c r="AF4510" s="23"/>
      <c r="AG4510" s="23"/>
      <c r="AH4510" s="23"/>
      <c r="AI4510" s="49"/>
    </row>
    <row r="4511" spans="1:35">
      <c r="A4511" s="23"/>
      <c r="B4511" s="42"/>
      <c r="C4511" s="49"/>
      <c r="E4511" s="49"/>
      <c r="G4511" s="43"/>
      <c r="H4511" s="44"/>
      <c r="L4511" s="42"/>
      <c r="M4511" s="42"/>
      <c r="N4511" s="25"/>
      <c r="O4511" s="54"/>
      <c r="P4511"/>
      <c r="Q4511" s="25"/>
      <c r="R4511" s="54"/>
      <c r="W4511" s="23"/>
      <c r="X4511" s="23"/>
      <c r="Y4511" s="23"/>
      <c r="Z4511" s="43"/>
      <c r="AA4511" s="23"/>
      <c r="AB4511" s="23"/>
      <c r="AC4511" s="23"/>
      <c r="AD4511" s="23"/>
      <c r="AE4511" s="23"/>
      <c r="AF4511" s="23"/>
      <c r="AG4511" s="23"/>
      <c r="AH4511" s="23"/>
      <c r="AI4511" s="49"/>
    </row>
    <row r="4512" spans="1:35">
      <c r="A4512" s="23"/>
      <c r="B4512" s="42"/>
      <c r="C4512" s="49"/>
      <c r="E4512" s="49"/>
      <c r="G4512" s="43"/>
      <c r="H4512" s="44"/>
      <c r="L4512" s="42"/>
      <c r="M4512" s="42"/>
      <c r="N4512" s="25"/>
      <c r="O4512" s="54"/>
      <c r="P4512"/>
      <c r="Q4512" s="25"/>
      <c r="R4512" s="54"/>
      <c r="W4512" s="23"/>
      <c r="X4512" s="23"/>
      <c r="Y4512" s="23"/>
      <c r="Z4512" s="43"/>
      <c r="AA4512" s="23"/>
      <c r="AB4512" s="23"/>
      <c r="AC4512" s="23"/>
      <c r="AD4512" s="23"/>
      <c r="AE4512" s="23"/>
      <c r="AF4512" s="23"/>
      <c r="AG4512" s="23"/>
      <c r="AH4512" s="23"/>
      <c r="AI4512" s="49"/>
    </row>
    <row r="4513" spans="1:35">
      <c r="A4513" s="23"/>
      <c r="B4513" s="42"/>
      <c r="C4513" s="49"/>
      <c r="E4513" s="49"/>
      <c r="G4513" s="43"/>
      <c r="H4513" s="44"/>
      <c r="L4513" s="42"/>
      <c r="M4513" s="42"/>
      <c r="N4513" s="25"/>
      <c r="O4513" s="54"/>
      <c r="P4513"/>
      <c r="Q4513" s="25"/>
      <c r="R4513" s="54"/>
      <c r="W4513" s="23"/>
      <c r="X4513" s="23"/>
      <c r="Y4513" s="23"/>
      <c r="Z4513" s="43"/>
      <c r="AA4513" s="23"/>
      <c r="AB4513" s="23"/>
      <c r="AC4513" s="23"/>
      <c r="AD4513" s="23"/>
      <c r="AE4513" s="23"/>
      <c r="AF4513" s="23"/>
      <c r="AG4513" s="23"/>
      <c r="AH4513" s="23"/>
      <c r="AI4513" s="49"/>
    </row>
    <row r="4514" spans="1:35">
      <c r="A4514" s="23"/>
      <c r="B4514" s="42"/>
      <c r="C4514" s="49"/>
      <c r="E4514" s="49"/>
      <c r="G4514" s="43"/>
      <c r="H4514" s="44"/>
      <c r="L4514" s="42"/>
      <c r="M4514" s="42"/>
      <c r="N4514" s="25"/>
      <c r="O4514" s="54"/>
      <c r="P4514"/>
      <c r="Q4514" s="25"/>
      <c r="R4514" s="54"/>
      <c r="W4514" s="23"/>
      <c r="X4514" s="23"/>
      <c r="Y4514" s="23"/>
      <c r="Z4514" s="43"/>
      <c r="AA4514" s="23"/>
      <c r="AB4514" s="23"/>
      <c r="AC4514" s="23"/>
      <c r="AD4514" s="23"/>
      <c r="AE4514" s="23"/>
      <c r="AF4514" s="23"/>
      <c r="AG4514" s="23"/>
      <c r="AH4514" s="23"/>
      <c r="AI4514" s="49"/>
    </row>
    <row r="4515" spans="1:35">
      <c r="A4515" s="23"/>
      <c r="B4515" s="42"/>
      <c r="C4515" s="49"/>
      <c r="E4515" s="49"/>
      <c r="G4515" s="43"/>
      <c r="H4515" s="44"/>
      <c r="L4515" s="42"/>
      <c r="M4515" s="42"/>
      <c r="N4515" s="25"/>
      <c r="O4515" s="54"/>
      <c r="P4515"/>
      <c r="Q4515" s="25"/>
      <c r="R4515" s="54"/>
      <c r="W4515" s="23"/>
      <c r="X4515" s="23"/>
      <c r="Y4515" s="23"/>
      <c r="Z4515" s="43"/>
      <c r="AA4515" s="23"/>
      <c r="AB4515" s="23"/>
      <c r="AC4515" s="23"/>
      <c r="AD4515" s="23"/>
      <c r="AE4515" s="23"/>
      <c r="AF4515" s="23"/>
      <c r="AG4515" s="23"/>
      <c r="AH4515" s="23"/>
      <c r="AI4515" s="49"/>
    </row>
    <row r="4516" spans="1:35">
      <c r="A4516" s="23"/>
      <c r="B4516" s="42"/>
      <c r="C4516" s="49"/>
      <c r="E4516" s="49"/>
      <c r="G4516" s="43"/>
      <c r="H4516" s="44"/>
      <c r="L4516" s="42"/>
      <c r="M4516" s="42"/>
      <c r="N4516" s="25"/>
      <c r="O4516" s="54"/>
      <c r="P4516"/>
      <c r="Q4516" s="25"/>
      <c r="R4516" s="54"/>
      <c r="W4516" s="23"/>
      <c r="X4516" s="23"/>
      <c r="Y4516" s="23"/>
      <c r="Z4516" s="43"/>
      <c r="AA4516" s="23"/>
      <c r="AB4516" s="23"/>
      <c r="AC4516" s="23"/>
      <c r="AD4516" s="23"/>
      <c r="AE4516" s="23"/>
      <c r="AF4516" s="23"/>
      <c r="AG4516" s="23"/>
      <c r="AH4516" s="23"/>
      <c r="AI4516" s="49"/>
    </row>
    <row r="4517" spans="1:35">
      <c r="A4517" s="23"/>
      <c r="B4517" s="42"/>
      <c r="C4517" s="49"/>
      <c r="E4517" s="49"/>
      <c r="G4517" s="43"/>
      <c r="H4517" s="44"/>
      <c r="L4517" s="42"/>
      <c r="M4517" s="42"/>
      <c r="N4517" s="25"/>
      <c r="O4517" s="54"/>
      <c r="P4517"/>
      <c r="Q4517" s="25"/>
      <c r="R4517" s="54"/>
      <c r="W4517" s="23"/>
      <c r="X4517" s="23"/>
      <c r="Y4517" s="23"/>
      <c r="Z4517" s="43"/>
      <c r="AA4517" s="23"/>
      <c r="AB4517" s="23"/>
      <c r="AC4517" s="23"/>
      <c r="AD4517" s="23"/>
      <c r="AE4517" s="23"/>
      <c r="AF4517" s="23"/>
      <c r="AG4517" s="23"/>
      <c r="AH4517" s="23"/>
      <c r="AI4517" s="49"/>
    </row>
    <row r="4518" spans="1:35">
      <c r="A4518" s="23"/>
      <c r="B4518" s="42"/>
      <c r="C4518" s="49"/>
      <c r="E4518" s="49"/>
      <c r="G4518" s="43"/>
      <c r="H4518" s="44"/>
      <c r="L4518" s="42"/>
      <c r="M4518" s="42"/>
      <c r="N4518" s="25"/>
      <c r="O4518" s="54"/>
      <c r="P4518"/>
      <c r="Q4518" s="25"/>
      <c r="R4518" s="54"/>
      <c r="W4518" s="23"/>
      <c r="X4518" s="23"/>
      <c r="Y4518" s="23"/>
      <c r="Z4518" s="43"/>
      <c r="AA4518" s="23"/>
      <c r="AB4518" s="23"/>
      <c r="AC4518" s="23"/>
      <c r="AD4518" s="23"/>
      <c r="AE4518" s="23"/>
      <c r="AF4518" s="23"/>
      <c r="AG4518" s="23"/>
      <c r="AH4518" s="23"/>
      <c r="AI4518" s="49"/>
    </row>
    <row r="4519" spans="1:35">
      <c r="A4519" s="23"/>
      <c r="B4519" s="42"/>
      <c r="C4519" s="49"/>
      <c r="E4519" s="49"/>
      <c r="G4519" s="43"/>
      <c r="H4519" s="44"/>
      <c r="L4519" s="42"/>
      <c r="M4519" s="42"/>
      <c r="N4519" s="25"/>
      <c r="O4519" s="54"/>
      <c r="P4519"/>
      <c r="Q4519" s="25"/>
      <c r="R4519" s="54"/>
      <c r="W4519" s="23"/>
      <c r="X4519" s="23"/>
      <c r="Y4519" s="23"/>
      <c r="Z4519" s="43"/>
      <c r="AA4519" s="23"/>
      <c r="AB4519" s="23"/>
      <c r="AC4519" s="23"/>
      <c r="AD4519" s="23"/>
      <c r="AE4519" s="23"/>
      <c r="AF4519" s="23"/>
      <c r="AG4519" s="23"/>
      <c r="AH4519" s="23"/>
      <c r="AI4519" s="49"/>
    </row>
    <row r="4520" spans="1:35">
      <c r="A4520" s="23"/>
      <c r="B4520" s="42"/>
      <c r="C4520" s="49"/>
      <c r="E4520" s="49"/>
      <c r="G4520" s="43"/>
      <c r="H4520" s="44"/>
      <c r="L4520" s="42"/>
      <c r="M4520" s="42"/>
      <c r="N4520" s="25"/>
      <c r="O4520" s="54"/>
      <c r="P4520"/>
      <c r="Q4520" s="25"/>
      <c r="R4520" s="54"/>
      <c r="W4520" s="23"/>
      <c r="X4520" s="23"/>
      <c r="Y4520" s="23"/>
      <c r="Z4520" s="43"/>
      <c r="AA4520" s="23"/>
      <c r="AB4520" s="23"/>
      <c r="AC4520" s="23"/>
      <c r="AD4520" s="23"/>
      <c r="AE4520" s="23"/>
      <c r="AF4520" s="23"/>
      <c r="AG4520" s="23"/>
      <c r="AH4520" s="23"/>
      <c r="AI4520" s="49"/>
    </row>
    <row r="4521" spans="1:35">
      <c r="A4521" s="23"/>
      <c r="B4521" s="42"/>
      <c r="C4521" s="49"/>
      <c r="E4521" s="49"/>
      <c r="G4521" s="43"/>
      <c r="H4521" s="44"/>
      <c r="L4521" s="42"/>
      <c r="M4521" s="42"/>
      <c r="N4521" s="25"/>
      <c r="O4521" s="54"/>
      <c r="P4521"/>
      <c r="Q4521" s="25"/>
      <c r="R4521" s="54"/>
      <c r="W4521" s="23"/>
      <c r="X4521" s="23"/>
      <c r="Y4521" s="23"/>
      <c r="Z4521" s="43"/>
      <c r="AA4521" s="23"/>
      <c r="AB4521" s="23"/>
      <c r="AC4521" s="23"/>
      <c r="AD4521" s="23"/>
      <c r="AE4521" s="23"/>
      <c r="AF4521" s="23"/>
      <c r="AG4521" s="23"/>
      <c r="AH4521" s="23"/>
      <c r="AI4521" s="49"/>
    </row>
    <row r="4522" spans="1:35">
      <c r="A4522" s="23"/>
      <c r="B4522" s="42"/>
      <c r="C4522" s="49"/>
      <c r="E4522" s="49"/>
      <c r="G4522" s="43"/>
      <c r="H4522" s="44"/>
      <c r="L4522" s="42"/>
      <c r="M4522" s="42"/>
      <c r="N4522" s="25"/>
      <c r="O4522" s="54"/>
      <c r="P4522"/>
      <c r="Q4522" s="25"/>
      <c r="R4522" s="54"/>
      <c r="W4522" s="23"/>
      <c r="X4522" s="23"/>
      <c r="Y4522" s="23"/>
      <c r="Z4522" s="43"/>
      <c r="AA4522" s="23"/>
      <c r="AB4522" s="23"/>
      <c r="AC4522" s="23"/>
      <c r="AD4522" s="23"/>
      <c r="AE4522" s="23"/>
      <c r="AF4522" s="23"/>
      <c r="AG4522" s="23"/>
      <c r="AH4522" s="23"/>
      <c r="AI4522" s="49"/>
    </row>
    <row r="4523" spans="1:35">
      <c r="A4523" s="23"/>
      <c r="B4523" s="42"/>
      <c r="C4523" s="49"/>
      <c r="E4523" s="49"/>
      <c r="G4523" s="43"/>
      <c r="H4523" s="44"/>
      <c r="L4523" s="42"/>
      <c r="M4523" s="42"/>
      <c r="N4523" s="25"/>
      <c r="O4523" s="54"/>
      <c r="P4523"/>
      <c r="Q4523" s="25"/>
      <c r="R4523" s="54"/>
      <c r="W4523" s="23"/>
      <c r="X4523" s="23"/>
      <c r="Y4523" s="23"/>
      <c r="Z4523" s="43"/>
      <c r="AA4523" s="23"/>
      <c r="AB4523" s="23"/>
      <c r="AC4523" s="23"/>
      <c r="AD4523" s="23"/>
      <c r="AE4523" s="23"/>
      <c r="AF4523" s="23"/>
      <c r="AG4523" s="23"/>
      <c r="AH4523" s="23"/>
      <c r="AI4523" s="49"/>
    </row>
    <row r="4524" spans="1:35">
      <c r="A4524" s="23"/>
      <c r="B4524" s="42"/>
      <c r="C4524" s="49"/>
      <c r="E4524" s="49"/>
      <c r="G4524" s="43"/>
      <c r="H4524" s="44"/>
      <c r="L4524" s="42"/>
      <c r="M4524" s="42"/>
      <c r="N4524" s="25"/>
      <c r="O4524" s="54"/>
      <c r="P4524"/>
      <c r="Q4524" s="25"/>
      <c r="R4524" s="54"/>
      <c r="W4524" s="23"/>
      <c r="X4524" s="23"/>
      <c r="Y4524" s="23"/>
      <c r="Z4524" s="43"/>
      <c r="AA4524" s="23"/>
      <c r="AB4524" s="23"/>
      <c r="AC4524" s="23"/>
      <c r="AD4524" s="23"/>
      <c r="AE4524" s="23"/>
      <c r="AF4524" s="23"/>
      <c r="AG4524" s="23"/>
      <c r="AH4524" s="23"/>
      <c r="AI4524" s="49"/>
    </row>
    <row r="4525" spans="1:35">
      <c r="A4525" s="23"/>
      <c r="B4525" s="42"/>
      <c r="C4525" s="49"/>
      <c r="E4525" s="49"/>
      <c r="G4525" s="43"/>
      <c r="H4525" s="44"/>
      <c r="L4525" s="42"/>
      <c r="M4525" s="42"/>
      <c r="N4525" s="25"/>
      <c r="O4525" s="54"/>
      <c r="P4525"/>
      <c r="Q4525" s="25"/>
      <c r="R4525" s="54"/>
      <c r="W4525" s="23"/>
      <c r="X4525" s="23"/>
      <c r="Y4525" s="23"/>
      <c r="Z4525" s="43"/>
      <c r="AA4525" s="23"/>
      <c r="AB4525" s="23"/>
      <c r="AC4525" s="23"/>
      <c r="AD4525" s="23"/>
      <c r="AE4525" s="23"/>
      <c r="AF4525" s="23"/>
      <c r="AG4525" s="23"/>
      <c r="AH4525" s="23"/>
      <c r="AI4525" s="49"/>
    </row>
    <row r="4526" spans="1:35">
      <c r="A4526" s="23"/>
      <c r="B4526" s="42"/>
      <c r="C4526" s="49"/>
      <c r="E4526" s="49"/>
      <c r="G4526" s="43"/>
      <c r="H4526" s="44"/>
      <c r="L4526" s="42"/>
      <c r="M4526" s="42"/>
      <c r="N4526" s="25"/>
      <c r="O4526" s="54"/>
      <c r="P4526"/>
      <c r="Q4526" s="25"/>
      <c r="R4526" s="54"/>
      <c r="W4526" s="23"/>
      <c r="X4526" s="23"/>
      <c r="Y4526" s="23"/>
      <c r="Z4526" s="43"/>
      <c r="AA4526" s="23"/>
      <c r="AB4526" s="23"/>
      <c r="AC4526" s="23"/>
      <c r="AD4526" s="23"/>
      <c r="AE4526" s="23"/>
      <c r="AF4526" s="23"/>
      <c r="AG4526" s="23"/>
      <c r="AH4526" s="23"/>
      <c r="AI4526" s="49"/>
    </row>
    <row r="4527" spans="1:35">
      <c r="A4527" s="23"/>
      <c r="B4527" s="42"/>
      <c r="C4527" s="49"/>
      <c r="E4527" s="49"/>
      <c r="G4527" s="43"/>
      <c r="H4527" s="44"/>
      <c r="L4527" s="42"/>
      <c r="M4527" s="42"/>
      <c r="N4527" s="25"/>
      <c r="O4527" s="54"/>
      <c r="P4527"/>
      <c r="Q4527" s="25"/>
      <c r="R4527" s="54"/>
      <c r="W4527" s="23"/>
      <c r="X4527" s="23"/>
      <c r="Y4527" s="23"/>
      <c r="Z4527" s="43"/>
      <c r="AA4527" s="23"/>
      <c r="AB4527" s="23"/>
      <c r="AC4527" s="23"/>
      <c r="AD4527" s="23"/>
      <c r="AE4527" s="23"/>
      <c r="AF4527" s="23"/>
      <c r="AG4527" s="23"/>
      <c r="AH4527" s="23"/>
      <c r="AI4527" s="49"/>
    </row>
    <row r="4528" spans="1:35">
      <c r="A4528" s="23"/>
      <c r="B4528" s="42"/>
      <c r="C4528" s="49"/>
      <c r="E4528" s="49"/>
      <c r="G4528" s="43"/>
      <c r="H4528" s="44"/>
      <c r="L4528" s="42"/>
      <c r="M4528" s="42"/>
      <c r="N4528" s="25"/>
      <c r="O4528" s="54"/>
      <c r="P4528"/>
      <c r="Q4528" s="25"/>
      <c r="R4528" s="54"/>
      <c r="W4528" s="23"/>
      <c r="X4528" s="23"/>
      <c r="Y4528" s="23"/>
      <c r="Z4528" s="43"/>
      <c r="AA4528" s="23"/>
      <c r="AB4528" s="23"/>
      <c r="AC4528" s="23"/>
      <c r="AD4528" s="23"/>
      <c r="AE4528" s="23"/>
      <c r="AF4528" s="23"/>
      <c r="AG4528" s="23"/>
      <c r="AH4528" s="23"/>
      <c r="AI4528" s="49"/>
    </row>
    <row r="4529" spans="1:35">
      <c r="A4529" s="23"/>
      <c r="B4529" s="42"/>
      <c r="C4529" s="49"/>
      <c r="E4529" s="49"/>
      <c r="G4529" s="43"/>
      <c r="H4529" s="44"/>
      <c r="L4529" s="42"/>
      <c r="M4529" s="42"/>
      <c r="N4529" s="25"/>
      <c r="O4529" s="54"/>
      <c r="P4529"/>
      <c r="Q4529" s="25"/>
      <c r="R4529" s="54"/>
      <c r="W4529" s="23"/>
      <c r="X4529" s="23"/>
      <c r="Y4529" s="23"/>
      <c r="Z4529" s="43"/>
      <c r="AA4529" s="23"/>
      <c r="AB4529" s="23"/>
      <c r="AC4529" s="23"/>
      <c r="AD4529" s="23"/>
      <c r="AE4529" s="23"/>
      <c r="AF4529" s="23"/>
      <c r="AG4529" s="23"/>
      <c r="AH4529" s="23"/>
      <c r="AI4529" s="49"/>
    </row>
    <row r="4530" spans="1:35">
      <c r="A4530" s="23"/>
      <c r="B4530" s="42"/>
      <c r="C4530" s="49"/>
      <c r="E4530" s="49"/>
      <c r="G4530" s="43"/>
      <c r="H4530" s="44"/>
      <c r="L4530" s="42"/>
      <c r="M4530" s="42"/>
      <c r="N4530" s="25"/>
      <c r="O4530" s="54"/>
      <c r="P4530"/>
      <c r="Q4530" s="25"/>
      <c r="R4530" s="54"/>
      <c r="W4530" s="23"/>
      <c r="X4530" s="23"/>
      <c r="Y4530" s="23"/>
      <c r="Z4530" s="43"/>
      <c r="AA4530" s="23"/>
      <c r="AB4530" s="23"/>
      <c r="AC4530" s="23"/>
      <c r="AD4530" s="23"/>
      <c r="AE4530" s="23"/>
      <c r="AF4530" s="23"/>
      <c r="AG4530" s="23"/>
      <c r="AH4530" s="23"/>
      <c r="AI4530" s="49"/>
    </row>
    <row r="4531" spans="1:35">
      <c r="A4531" s="23"/>
      <c r="B4531" s="42"/>
      <c r="C4531" s="49"/>
      <c r="E4531" s="49"/>
      <c r="G4531" s="43"/>
      <c r="H4531" s="44"/>
      <c r="L4531" s="42"/>
      <c r="M4531" s="42"/>
      <c r="N4531" s="25"/>
      <c r="O4531" s="54"/>
      <c r="P4531"/>
      <c r="Q4531" s="25"/>
      <c r="R4531" s="54"/>
      <c r="W4531" s="23"/>
      <c r="X4531" s="23"/>
      <c r="Y4531" s="23"/>
      <c r="Z4531" s="43"/>
      <c r="AA4531" s="23"/>
      <c r="AB4531" s="23"/>
      <c r="AC4531" s="23"/>
      <c r="AD4531" s="23"/>
      <c r="AE4531" s="23"/>
      <c r="AF4531" s="23"/>
      <c r="AG4531" s="23"/>
      <c r="AH4531" s="23"/>
      <c r="AI4531" s="49"/>
    </row>
    <row r="4532" spans="1:35">
      <c r="A4532" s="23"/>
      <c r="B4532" s="42"/>
      <c r="C4532" s="49"/>
      <c r="E4532" s="49"/>
      <c r="G4532" s="43"/>
      <c r="H4532" s="44"/>
      <c r="L4532" s="42"/>
      <c r="M4532" s="42"/>
      <c r="N4532" s="25"/>
      <c r="O4532" s="54"/>
      <c r="P4532"/>
      <c r="Q4532" s="25"/>
      <c r="R4532" s="54"/>
      <c r="W4532" s="23"/>
      <c r="X4532" s="23"/>
      <c r="Y4532" s="23"/>
      <c r="Z4532" s="43"/>
      <c r="AA4532" s="23"/>
      <c r="AB4532" s="23"/>
      <c r="AC4532" s="23"/>
      <c r="AD4532" s="23"/>
      <c r="AE4532" s="23"/>
      <c r="AF4532" s="23"/>
      <c r="AG4532" s="23"/>
      <c r="AH4532" s="23"/>
      <c r="AI4532" s="49"/>
    </row>
    <row r="4533" spans="1:35">
      <c r="A4533" s="23"/>
      <c r="B4533" s="42"/>
      <c r="C4533" s="49"/>
      <c r="E4533" s="49"/>
      <c r="G4533" s="43"/>
      <c r="H4533" s="44"/>
      <c r="L4533" s="42"/>
      <c r="M4533" s="42"/>
      <c r="N4533" s="25"/>
      <c r="O4533" s="54"/>
      <c r="P4533"/>
      <c r="Q4533" s="25"/>
      <c r="R4533" s="54"/>
      <c r="W4533" s="23"/>
      <c r="X4533" s="23"/>
      <c r="Y4533" s="23"/>
      <c r="Z4533" s="43"/>
      <c r="AA4533" s="23"/>
      <c r="AB4533" s="23"/>
      <c r="AC4533" s="23"/>
      <c r="AD4533" s="23"/>
      <c r="AE4533" s="23"/>
      <c r="AF4533" s="23"/>
      <c r="AG4533" s="23"/>
      <c r="AH4533" s="23"/>
      <c r="AI4533" s="49"/>
    </row>
    <row r="4534" spans="1:35">
      <c r="A4534" s="23"/>
      <c r="B4534" s="42"/>
      <c r="C4534" s="49"/>
      <c r="E4534" s="49"/>
      <c r="G4534" s="43"/>
      <c r="H4534" s="44"/>
      <c r="L4534" s="42"/>
      <c r="M4534" s="42"/>
      <c r="N4534" s="25"/>
      <c r="O4534" s="54"/>
      <c r="P4534"/>
      <c r="Q4534" s="25"/>
      <c r="R4534" s="54"/>
      <c r="W4534" s="23"/>
      <c r="X4534" s="23"/>
      <c r="Y4534" s="23"/>
      <c r="Z4534" s="43"/>
      <c r="AA4534" s="23"/>
      <c r="AB4534" s="23"/>
      <c r="AC4534" s="23"/>
      <c r="AD4534" s="23"/>
      <c r="AE4534" s="23"/>
      <c r="AF4534" s="23"/>
      <c r="AG4534" s="23"/>
      <c r="AH4534" s="23"/>
      <c r="AI4534" s="49"/>
    </row>
    <row r="4535" spans="1:35">
      <c r="A4535" s="23"/>
      <c r="B4535" s="42"/>
      <c r="C4535" s="49"/>
      <c r="E4535" s="49"/>
      <c r="G4535" s="43"/>
      <c r="H4535" s="44"/>
      <c r="L4535" s="42"/>
      <c r="M4535" s="42"/>
      <c r="N4535" s="25"/>
      <c r="O4535" s="54"/>
      <c r="P4535"/>
      <c r="Q4535" s="25"/>
      <c r="R4535" s="54"/>
      <c r="W4535" s="23"/>
      <c r="X4535" s="23"/>
      <c r="Y4535" s="23"/>
      <c r="Z4535" s="43"/>
      <c r="AA4535" s="23"/>
      <c r="AB4535" s="23"/>
      <c r="AC4535" s="23"/>
      <c r="AD4535" s="23"/>
      <c r="AE4535" s="23"/>
      <c r="AF4535" s="23"/>
      <c r="AG4535" s="23"/>
      <c r="AH4535" s="23"/>
      <c r="AI4535" s="49"/>
    </row>
    <row r="4536" spans="1:35">
      <c r="A4536" s="23"/>
      <c r="B4536" s="42"/>
      <c r="C4536" s="49"/>
      <c r="E4536" s="49"/>
      <c r="G4536" s="43"/>
      <c r="H4536" s="44"/>
      <c r="L4536" s="42"/>
      <c r="M4536" s="42"/>
      <c r="N4536" s="25"/>
      <c r="O4536" s="54"/>
      <c r="P4536"/>
      <c r="Q4536" s="25"/>
      <c r="R4536" s="54"/>
      <c r="W4536" s="23"/>
      <c r="X4536" s="23"/>
      <c r="Y4536" s="23"/>
      <c r="Z4536" s="43"/>
      <c r="AA4536" s="23"/>
      <c r="AB4536" s="23"/>
      <c r="AC4536" s="23"/>
      <c r="AD4536" s="23"/>
      <c r="AE4536" s="23"/>
      <c r="AF4536" s="23"/>
      <c r="AG4536" s="23"/>
      <c r="AH4536" s="23"/>
      <c r="AI4536" s="49"/>
    </row>
    <row r="4537" spans="1:35">
      <c r="A4537" s="23"/>
      <c r="B4537" s="42"/>
      <c r="C4537" s="49"/>
      <c r="E4537" s="49"/>
      <c r="G4537" s="43"/>
      <c r="H4537" s="44"/>
      <c r="L4537" s="42"/>
      <c r="M4537" s="42"/>
      <c r="N4537" s="25"/>
      <c r="O4537" s="54"/>
      <c r="P4537"/>
      <c r="Q4537" s="25"/>
      <c r="R4537" s="54"/>
      <c r="W4537" s="23"/>
      <c r="X4537" s="23"/>
      <c r="Y4537" s="23"/>
      <c r="Z4537" s="43"/>
      <c r="AA4537" s="23"/>
      <c r="AB4537" s="23"/>
      <c r="AC4537" s="23"/>
      <c r="AD4537" s="23"/>
      <c r="AE4537" s="23"/>
      <c r="AF4537" s="23"/>
      <c r="AG4537" s="23"/>
      <c r="AH4537" s="23"/>
      <c r="AI4537" s="49"/>
    </row>
    <row r="4538" spans="1:35">
      <c r="A4538" s="23"/>
      <c r="B4538" s="42"/>
      <c r="C4538" s="49"/>
      <c r="E4538" s="49"/>
      <c r="G4538" s="43"/>
      <c r="H4538" s="44"/>
      <c r="L4538" s="42"/>
      <c r="M4538" s="42"/>
      <c r="N4538" s="25"/>
      <c r="O4538" s="54"/>
      <c r="P4538"/>
      <c r="Q4538" s="25"/>
      <c r="R4538" s="54"/>
      <c r="W4538" s="23"/>
      <c r="X4538" s="23"/>
      <c r="Y4538" s="23"/>
      <c r="Z4538" s="43"/>
      <c r="AA4538" s="23"/>
      <c r="AB4538" s="23"/>
      <c r="AC4538" s="23"/>
      <c r="AD4538" s="23"/>
      <c r="AE4538" s="23"/>
      <c r="AF4538" s="23"/>
      <c r="AG4538" s="23"/>
      <c r="AH4538" s="23"/>
      <c r="AI4538" s="49"/>
    </row>
    <row r="4539" spans="1:35">
      <c r="A4539" s="23"/>
      <c r="B4539" s="42"/>
      <c r="C4539" s="49"/>
      <c r="E4539" s="49"/>
      <c r="G4539" s="43"/>
      <c r="H4539" s="44"/>
      <c r="L4539" s="42"/>
      <c r="M4539" s="42"/>
      <c r="N4539" s="25"/>
      <c r="O4539" s="54"/>
      <c r="P4539"/>
      <c r="Q4539" s="25"/>
      <c r="R4539" s="54"/>
      <c r="W4539" s="23"/>
      <c r="X4539" s="23"/>
      <c r="Y4539" s="23"/>
      <c r="Z4539" s="43"/>
      <c r="AA4539" s="23"/>
      <c r="AB4539" s="23"/>
      <c r="AC4539" s="23"/>
      <c r="AD4539" s="23"/>
      <c r="AE4539" s="23"/>
      <c r="AF4539" s="23"/>
      <c r="AG4539" s="23"/>
      <c r="AH4539" s="23"/>
      <c r="AI4539" s="49"/>
    </row>
    <row r="4540" spans="1:35">
      <c r="B4540" s="42"/>
      <c r="C4540" s="49"/>
      <c r="E4540" s="49"/>
      <c r="G4540" s="43"/>
      <c r="H4540" s="44"/>
      <c r="L4540" s="42"/>
      <c r="M4540" s="42"/>
      <c r="N4540" s="25"/>
      <c r="O4540" s="54"/>
      <c r="P4540"/>
      <c r="Q4540" s="25"/>
      <c r="R4540" s="54"/>
      <c r="W4540" s="23"/>
      <c r="X4540" s="23"/>
      <c r="Y4540" s="23"/>
      <c r="Z4540" s="43"/>
      <c r="AA4540" s="23"/>
      <c r="AB4540" s="23"/>
      <c r="AC4540" s="23"/>
      <c r="AD4540" s="23"/>
      <c r="AE4540" s="23"/>
      <c r="AF4540" s="23"/>
      <c r="AG4540" s="23"/>
      <c r="AH4540" s="23"/>
      <c r="AI4540" s="23"/>
    </row>
    <row r="4541" spans="1:35">
      <c r="A4541" s="23"/>
      <c r="B4541" s="42"/>
      <c r="C4541" s="49"/>
      <c r="E4541" s="49"/>
      <c r="G4541" s="43"/>
      <c r="H4541" s="44"/>
      <c r="L4541" s="42"/>
      <c r="M4541" s="42"/>
      <c r="N4541" s="25"/>
      <c r="O4541" s="54"/>
      <c r="P4541"/>
      <c r="Q4541" s="25"/>
      <c r="R4541" s="54"/>
      <c r="W4541" s="23"/>
      <c r="X4541" s="23"/>
      <c r="Y4541" s="23"/>
      <c r="Z4541" s="43"/>
      <c r="AA4541" s="23"/>
      <c r="AB4541" s="23"/>
      <c r="AC4541" s="23"/>
      <c r="AD4541" s="23"/>
      <c r="AE4541" s="23"/>
      <c r="AF4541" s="23"/>
      <c r="AG4541" s="23"/>
      <c r="AH4541" s="23"/>
      <c r="AI4541" s="49"/>
    </row>
    <row r="4542" spans="1:35">
      <c r="B4542" s="42"/>
      <c r="C4542" s="49"/>
      <c r="E4542" s="49"/>
      <c r="G4542" s="43"/>
      <c r="H4542" s="44"/>
      <c r="L4542" s="42"/>
      <c r="M4542" s="42"/>
      <c r="N4542" s="25"/>
      <c r="O4542" s="54"/>
      <c r="P4542"/>
      <c r="Q4542" s="25"/>
      <c r="R4542" s="54"/>
      <c r="W4542" s="23"/>
      <c r="X4542" s="23"/>
      <c r="Y4542" s="23"/>
      <c r="Z4542" s="43"/>
      <c r="AA4542" s="23"/>
      <c r="AB4542" s="23"/>
      <c r="AC4542" s="23"/>
      <c r="AD4542" s="23"/>
      <c r="AE4542" s="23"/>
      <c r="AF4542" s="23"/>
      <c r="AG4542" s="23"/>
      <c r="AH4542" s="23"/>
      <c r="AI4542" s="23"/>
    </row>
    <row r="4543" spans="1:35">
      <c r="A4543" s="23"/>
      <c r="B4543" s="42"/>
      <c r="C4543" s="49"/>
      <c r="E4543" s="49"/>
      <c r="G4543" s="43"/>
      <c r="H4543" s="44"/>
      <c r="L4543" s="42"/>
      <c r="M4543" s="42"/>
      <c r="N4543" s="25"/>
      <c r="O4543" s="54"/>
      <c r="P4543"/>
      <c r="Q4543" s="25"/>
      <c r="R4543" s="54"/>
      <c r="W4543" s="23"/>
      <c r="X4543" s="23"/>
      <c r="Y4543" s="23"/>
      <c r="Z4543" s="43"/>
      <c r="AA4543" s="23"/>
      <c r="AB4543" s="23"/>
      <c r="AC4543" s="23"/>
      <c r="AD4543" s="23"/>
      <c r="AE4543" s="23"/>
      <c r="AF4543" s="23"/>
      <c r="AG4543" s="23"/>
      <c r="AH4543" s="23"/>
      <c r="AI4543" s="49"/>
    </row>
    <row r="4544" spans="1:35">
      <c r="B4544" s="42"/>
      <c r="C4544" s="49"/>
      <c r="E4544" s="49"/>
      <c r="G4544" s="43"/>
      <c r="H4544" s="44"/>
      <c r="L4544" s="42"/>
      <c r="M4544" s="42"/>
      <c r="N4544" s="25"/>
      <c r="O4544" s="54"/>
      <c r="P4544"/>
      <c r="Q4544" s="25"/>
      <c r="R4544" s="54"/>
      <c r="W4544" s="23"/>
      <c r="X4544" s="23"/>
      <c r="Y4544" s="23"/>
      <c r="Z4544" s="43"/>
      <c r="AA4544" s="23"/>
      <c r="AB4544" s="23"/>
      <c r="AC4544" s="23"/>
      <c r="AD4544" s="23"/>
      <c r="AE4544" s="23"/>
      <c r="AF4544" s="23"/>
      <c r="AG4544" s="23"/>
      <c r="AH4544" s="23"/>
      <c r="AI4544" s="23"/>
    </row>
    <row r="4545" spans="1:35">
      <c r="B4545" s="42"/>
      <c r="G4545" s="43"/>
      <c r="H4545" s="44"/>
      <c r="L4545" s="42"/>
      <c r="M4545" s="42"/>
      <c r="N4545" s="25"/>
      <c r="O4545" s="54"/>
      <c r="P4545"/>
      <c r="Q4545" s="25"/>
      <c r="R4545" s="54"/>
      <c r="W4545" s="23"/>
      <c r="X4545" s="23"/>
      <c r="Y4545" s="23"/>
      <c r="Z4545" s="43"/>
      <c r="AA4545" s="23"/>
      <c r="AB4545" s="23"/>
      <c r="AC4545" s="23"/>
      <c r="AD4545" s="23"/>
      <c r="AE4545" s="23"/>
      <c r="AF4545" s="23"/>
      <c r="AG4545" s="23"/>
      <c r="AH4545" s="23"/>
      <c r="AI4545" s="48"/>
    </row>
    <row r="4546" spans="1:35">
      <c r="B4546" s="42"/>
      <c r="C4546" s="49"/>
      <c r="E4546" s="49"/>
      <c r="G4546" s="43"/>
      <c r="H4546" s="44"/>
      <c r="L4546" s="42"/>
      <c r="M4546" s="42"/>
      <c r="N4546" s="25"/>
      <c r="O4546" s="54"/>
      <c r="P4546"/>
      <c r="Q4546" s="25"/>
      <c r="R4546" s="54"/>
      <c r="W4546" s="23"/>
      <c r="X4546" s="23"/>
      <c r="Y4546" s="23"/>
      <c r="Z4546" s="43"/>
      <c r="AA4546" s="23"/>
      <c r="AB4546" s="23"/>
      <c r="AC4546" s="23"/>
      <c r="AD4546" s="23"/>
      <c r="AE4546" s="23"/>
      <c r="AF4546" s="23"/>
      <c r="AG4546" s="23"/>
      <c r="AH4546" s="23"/>
      <c r="AI4546" s="23"/>
    </row>
    <row r="4547" spans="1:35">
      <c r="A4547" s="23"/>
      <c r="B4547" s="42"/>
      <c r="C4547" s="49"/>
      <c r="E4547" s="49"/>
      <c r="G4547" s="43"/>
      <c r="H4547" s="44"/>
      <c r="L4547" s="42"/>
      <c r="M4547" s="42"/>
      <c r="N4547" s="25"/>
      <c r="O4547" s="54"/>
      <c r="P4547"/>
      <c r="Q4547" s="25"/>
      <c r="R4547" s="54"/>
      <c r="W4547" s="23"/>
      <c r="X4547" s="23"/>
      <c r="Y4547" s="23"/>
      <c r="Z4547" s="43"/>
      <c r="AA4547" s="23"/>
      <c r="AB4547" s="23"/>
      <c r="AC4547" s="23"/>
      <c r="AD4547" s="23"/>
      <c r="AE4547" s="23"/>
      <c r="AF4547" s="23"/>
      <c r="AG4547" s="23"/>
      <c r="AH4547" s="23"/>
      <c r="AI4547" s="49"/>
    </row>
    <row r="4548" spans="1:35">
      <c r="A4548" s="23"/>
      <c r="B4548" s="42"/>
      <c r="C4548" s="49"/>
      <c r="E4548" s="49"/>
      <c r="G4548" s="43"/>
      <c r="H4548" s="44"/>
      <c r="L4548" s="42"/>
      <c r="M4548" s="42"/>
      <c r="N4548" s="25"/>
      <c r="O4548" s="54"/>
      <c r="P4548"/>
      <c r="Q4548" s="25"/>
      <c r="R4548" s="54"/>
      <c r="W4548" s="23"/>
      <c r="X4548" s="23"/>
      <c r="Y4548" s="23"/>
      <c r="Z4548" s="43"/>
      <c r="AA4548" s="23"/>
      <c r="AB4548" s="23"/>
      <c r="AC4548" s="23"/>
      <c r="AD4548" s="23"/>
      <c r="AE4548" s="23"/>
      <c r="AF4548" s="23"/>
      <c r="AG4548" s="23"/>
      <c r="AH4548" s="23"/>
      <c r="AI4548" s="49"/>
    </row>
    <row r="4549" spans="1:35">
      <c r="A4549" s="23"/>
      <c r="B4549" s="42"/>
      <c r="C4549" s="49"/>
      <c r="E4549" s="49"/>
      <c r="G4549" s="43"/>
      <c r="H4549" s="44"/>
      <c r="L4549" s="42"/>
      <c r="M4549" s="42"/>
      <c r="N4549" s="25"/>
      <c r="O4549" s="54"/>
      <c r="P4549"/>
      <c r="Q4549" s="25"/>
      <c r="R4549" s="54"/>
      <c r="W4549" s="23"/>
      <c r="X4549" s="23"/>
      <c r="Y4549" s="23"/>
      <c r="Z4549" s="43"/>
      <c r="AA4549" s="23"/>
      <c r="AB4549" s="23"/>
      <c r="AC4549" s="23"/>
      <c r="AD4549" s="23"/>
      <c r="AE4549" s="23"/>
      <c r="AF4549" s="23"/>
      <c r="AG4549" s="23"/>
      <c r="AH4549" s="23"/>
      <c r="AI4549" s="49"/>
    </row>
    <row r="4550" spans="1:35">
      <c r="B4550" s="42"/>
      <c r="G4550" s="43"/>
      <c r="H4550" s="44"/>
      <c r="L4550" s="42"/>
      <c r="M4550" s="42"/>
      <c r="N4550" s="25"/>
      <c r="O4550" s="54"/>
      <c r="P4550"/>
      <c r="Q4550" s="25"/>
      <c r="R4550" s="54"/>
      <c r="W4550" s="23"/>
      <c r="X4550" s="23"/>
      <c r="Y4550" s="23"/>
      <c r="Z4550" s="43"/>
      <c r="AA4550" s="23"/>
      <c r="AB4550" s="23"/>
      <c r="AC4550" s="23"/>
      <c r="AD4550" s="23"/>
      <c r="AE4550" s="23"/>
      <c r="AF4550" s="23"/>
      <c r="AG4550" s="23"/>
      <c r="AH4550" s="23"/>
      <c r="AI4550" s="48"/>
    </row>
    <row r="4551" spans="1:35">
      <c r="A4551" s="23"/>
      <c r="B4551" s="42"/>
      <c r="G4551" s="43"/>
      <c r="H4551" s="44"/>
      <c r="L4551" s="42"/>
      <c r="M4551" s="42"/>
      <c r="N4551" s="25"/>
      <c r="O4551" s="54"/>
      <c r="P4551"/>
      <c r="Q4551" s="25"/>
      <c r="R4551" s="54"/>
      <c r="W4551" s="23"/>
      <c r="X4551" s="23"/>
      <c r="Y4551" s="23"/>
      <c r="Z4551" s="43"/>
      <c r="AA4551" s="23"/>
      <c r="AB4551" s="23"/>
      <c r="AC4551" s="23"/>
      <c r="AD4551" s="23"/>
      <c r="AE4551" s="23"/>
      <c r="AF4551" s="23"/>
      <c r="AG4551" s="23"/>
      <c r="AH4551" s="23"/>
      <c r="AI4551" s="23"/>
    </row>
    <row r="4552" spans="1:35">
      <c r="A4552" s="23"/>
      <c r="B4552" s="42"/>
      <c r="C4552" s="49"/>
      <c r="E4552" s="49"/>
      <c r="G4552" s="43"/>
      <c r="H4552" s="44"/>
      <c r="L4552" s="42"/>
      <c r="M4552" s="42"/>
      <c r="N4552" s="25"/>
      <c r="O4552" s="54"/>
      <c r="P4552"/>
      <c r="Q4552" s="25"/>
      <c r="R4552" s="54"/>
      <c r="W4552" s="23"/>
      <c r="X4552" s="23"/>
      <c r="Y4552" s="23"/>
      <c r="Z4552" s="43"/>
      <c r="AA4552" s="23"/>
      <c r="AB4552" s="23"/>
      <c r="AC4552" s="23"/>
      <c r="AD4552" s="23"/>
      <c r="AE4552" s="23"/>
      <c r="AF4552" s="23"/>
      <c r="AG4552" s="23"/>
      <c r="AH4552" s="23"/>
      <c r="AI4552" s="49"/>
    </row>
    <row r="4553" spans="1:35">
      <c r="A4553" s="23"/>
      <c r="B4553" s="42"/>
      <c r="C4553" s="49"/>
      <c r="E4553" s="49"/>
      <c r="G4553" s="43"/>
      <c r="H4553" s="44"/>
      <c r="L4553" s="42"/>
      <c r="M4553" s="42"/>
      <c r="N4553" s="25"/>
      <c r="O4553" s="54"/>
      <c r="P4553"/>
      <c r="Q4553" s="25"/>
      <c r="R4553" s="54"/>
      <c r="W4553" s="23"/>
      <c r="X4553" s="23"/>
      <c r="Y4553" s="23"/>
      <c r="Z4553" s="43"/>
      <c r="AA4553" s="23"/>
      <c r="AB4553" s="23"/>
      <c r="AC4553" s="23"/>
      <c r="AD4553" s="23"/>
      <c r="AE4553" s="23"/>
      <c r="AF4553" s="23"/>
      <c r="AG4553" s="23"/>
      <c r="AH4553" s="23"/>
      <c r="AI4553" s="49"/>
    </row>
    <row r="4554" spans="1:35">
      <c r="A4554" s="23"/>
      <c r="B4554" s="42"/>
      <c r="C4554" s="49"/>
      <c r="E4554" s="49"/>
      <c r="G4554" s="43"/>
      <c r="H4554" s="44"/>
      <c r="L4554" s="42"/>
      <c r="M4554" s="42"/>
      <c r="N4554" s="25"/>
      <c r="O4554" s="54"/>
      <c r="P4554"/>
      <c r="Q4554" s="25"/>
      <c r="R4554" s="54"/>
      <c r="W4554" s="23"/>
      <c r="X4554" s="23"/>
      <c r="Y4554" s="23"/>
      <c r="Z4554" s="43"/>
      <c r="AA4554" s="23"/>
      <c r="AB4554" s="23"/>
      <c r="AC4554" s="23"/>
      <c r="AD4554" s="23"/>
      <c r="AE4554" s="23"/>
      <c r="AF4554" s="23"/>
      <c r="AG4554" s="23"/>
      <c r="AH4554" s="23"/>
      <c r="AI4554" s="49"/>
    </row>
    <row r="4555" spans="1:35">
      <c r="A4555" s="23"/>
      <c r="B4555" s="42"/>
      <c r="C4555" s="49"/>
      <c r="E4555" s="49"/>
      <c r="G4555" s="43"/>
      <c r="H4555" s="44"/>
      <c r="L4555" s="42"/>
      <c r="M4555" s="42"/>
      <c r="N4555" s="25"/>
      <c r="O4555" s="54"/>
      <c r="P4555"/>
      <c r="Q4555" s="25"/>
      <c r="R4555" s="54"/>
      <c r="W4555" s="23"/>
      <c r="X4555" s="23"/>
      <c r="Y4555" s="23"/>
      <c r="Z4555" s="43"/>
      <c r="AA4555" s="23"/>
      <c r="AB4555" s="23"/>
      <c r="AC4555" s="23"/>
      <c r="AD4555" s="23"/>
      <c r="AE4555" s="23"/>
      <c r="AF4555" s="23"/>
      <c r="AG4555" s="23"/>
      <c r="AH4555" s="23"/>
      <c r="AI4555" s="49"/>
    </row>
    <row r="4556" spans="1:35">
      <c r="A4556" s="23"/>
      <c r="B4556" s="42"/>
      <c r="C4556" s="49"/>
      <c r="E4556" s="49"/>
      <c r="G4556" s="43"/>
      <c r="H4556" s="44"/>
      <c r="L4556" s="42"/>
      <c r="M4556" s="42"/>
      <c r="N4556" s="25"/>
      <c r="O4556" s="54"/>
      <c r="P4556"/>
      <c r="Q4556" s="25"/>
      <c r="R4556" s="54"/>
      <c r="W4556" s="23"/>
      <c r="X4556" s="23"/>
      <c r="Y4556" s="23"/>
      <c r="Z4556" s="43"/>
      <c r="AA4556" s="23"/>
      <c r="AB4556" s="23"/>
      <c r="AC4556" s="23"/>
      <c r="AD4556" s="23"/>
      <c r="AE4556" s="23"/>
      <c r="AF4556" s="23"/>
      <c r="AG4556" s="23"/>
      <c r="AH4556" s="23"/>
      <c r="AI4556" s="49"/>
    </row>
    <row r="4557" spans="1:35">
      <c r="A4557" s="23"/>
      <c r="B4557" s="42"/>
      <c r="C4557" s="49"/>
      <c r="E4557" s="49"/>
      <c r="G4557" s="43"/>
      <c r="H4557" s="44"/>
      <c r="L4557" s="42"/>
      <c r="M4557" s="42"/>
      <c r="N4557" s="25"/>
      <c r="O4557" s="54"/>
      <c r="P4557"/>
      <c r="Q4557" s="25"/>
      <c r="R4557" s="54"/>
      <c r="W4557" s="23"/>
      <c r="X4557" s="23"/>
      <c r="Y4557" s="23"/>
      <c r="Z4557" s="43"/>
      <c r="AA4557" s="23"/>
      <c r="AB4557" s="23"/>
      <c r="AC4557" s="23"/>
      <c r="AD4557" s="23"/>
      <c r="AE4557" s="23"/>
      <c r="AF4557" s="23"/>
      <c r="AG4557" s="23"/>
      <c r="AH4557" s="23"/>
      <c r="AI4557" s="49"/>
    </row>
    <row r="4558" spans="1:35">
      <c r="A4558" s="23"/>
      <c r="B4558" s="42"/>
      <c r="G4558" s="43"/>
      <c r="H4558" s="44"/>
      <c r="L4558" s="42"/>
      <c r="M4558" s="42"/>
      <c r="N4558" s="25"/>
      <c r="O4558" s="54"/>
      <c r="P4558"/>
      <c r="Q4558" s="25"/>
      <c r="R4558" s="54"/>
      <c r="W4558" s="23"/>
      <c r="X4558" s="23"/>
      <c r="Y4558" s="23"/>
      <c r="Z4558" s="43"/>
      <c r="AA4558" s="23"/>
      <c r="AB4558" s="23"/>
      <c r="AC4558" s="23"/>
      <c r="AD4558" s="23"/>
      <c r="AE4558" s="23"/>
      <c r="AF4558" s="23"/>
      <c r="AG4558" s="23"/>
      <c r="AH4558" s="23"/>
      <c r="AI4558" s="23"/>
    </row>
    <row r="4559" spans="1:35">
      <c r="B4559" s="42"/>
      <c r="C4559" s="49"/>
      <c r="E4559" s="49"/>
      <c r="G4559" s="43"/>
      <c r="H4559" s="44"/>
      <c r="L4559" s="42"/>
      <c r="M4559" s="42"/>
      <c r="N4559" s="25"/>
      <c r="O4559" s="54"/>
      <c r="P4559"/>
      <c r="Q4559" s="25"/>
      <c r="R4559" s="54"/>
      <c r="W4559" s="23"/>
      <c r="X4559" s="23"/>
      <c r="Y4559" s="23"/>
      <c r="Z4559" s="43"/>
      <c r="AA4559" s="23"/>
      <c r="AB4559" s="23"/>
      <c r="AC4559" s="23"/>
      <c r="AD4559" s="23"/>
      <c r="AE4559" s="23"/>
      <c r="AF4559" s="23"/>
      <c r="AG4559" s="23"/>
      <c r="AH4559" s="23"/>
      <c r="AI4559" s="23"/>
    </row>
    <row r="4560" spans="1:35">
      <c r="A4560" s="23"/>
      <c r="B4560" s="42"/>
      <c r="C4560" s="49"/>
      <c r="E4560" s="49"/>
      <c r="G4560" s="43"/>
      <c r="H4560" s="44"/>
      <c r="L4560" s="42"/>
      <c r="M4560" s="42"/>
      <c r="N4560" s="25"/>
      <c r="O4560" s="54"/>
      <c r="P4560"/>
      <c r="Q4560" s="25"/>
      <c r="R4560" s="54"/>
      <c r="W4560" s="23"/>
      <c r="X4560" s="23"/>
      <c r="Y4560" s="23"/>
      <c r="Z4560" s="43"/>
      <c r="AA4560" s="23"/>
      <c r="AB4560" s="23"/>
      <c r="AC4560" s="23"/>
      <c r="AD4560" s="23"/>
      <c r="AE4560" s="23"/>
      <c r="AF4560" s="23"/>
      <c r="AG4560" s="23"/>
      <c r="AH4560" s="23"/>
      <c r="AI4560" s="49"/>
    </row>
    <row r="4561" spans="1:35">
      <c r="B4561" s="42"/>
      <c r="C4561" s="49"/>
      <c r="E4561" s="49"/>
      <c r="G4561" s="43"/>
      <c r="H4561" s="44"/>
      <c r="L4561" s="42"/>
      <c r="M4561" s="42"/>
      <c r="N4561" s="25"/>
      <c r="O4561" s="54"/>
      <c r="P4561"/>
      <c r="Q4561" s="25"/>
      <c r="R4561" s="54"/>
      <c r="W4561" s="23"/>
      <c r="X4561" s="23"/>
      <c r="Y4561" s="23"/>
      <c r="Z4561" s="43"/>
      <c r="AA4561" s="23"/>
      <c r="AB4561" s="23"/>
      <c r="AC4561" s="23"/>
      <c r="AD4561" s="23"/>
      <c r="AE4561" s="23"/>
      <c r="AF4561" s="23"/>
      <c r="AG4561" s="23"/>
      <c r="AH4561" s="23"/>
      <c r="AI4561" s="23"/>
    </row>
    <row r="4562" spans="1:35">
      <c r="A4562" s="23"/>
      <c r="B4562" s="42"/>
      <c r="C4562" s="49"/>
      <c r="E4562" s="49"/>
      <c r="G4562" s="43"/>
      <c r="H4562" s="44"/>
      <c r="L4562" s="42"/>
      <c r="M4562" s="42"/>
      <c r="N4562" s="25"/>
      <c r="O4562" s="54"/>
      <c r="P4562"/>
      <c r="Q4562" s="25"/>
      <c r="R4562" s="54"/>
      <c r="W4562" s="23"/>
      <c r="X4562" s="23"/>
      <c r="Y4562" s="23"/>
      <c r="Z4562" s="43"/>
      <c r="AA4562" s="23"/>
      <c r="AB4562" s="23"/>
      <c r="AC4562" s="23"/>
      <c r="AD4562" s="23"/>
      <c r="AE4562" s="23"/>
      <c r="AF4562" s="23"/>
      <c r="AG4562" s="23"/>
      <c r="AH4562" s="23"/>
      <c r="AI4562" s="49"/>
    </row>
    <row r="4563" spans="1:35">
      <c r="A4563" s="23"/>
      <c r="B4563" s="42"/>
      <c r="C4563" s="49"/>
      <c r="E4563" s="49"/>
      <c r="G4563" s="43"/>
      <c r="H4563" s="44"/>
      <c r="L4563" s="42"/>
      <c r="M4563" s="42"/>
      <c r="N4563" s="25"/>
      <c r="O4563" s="54"/>
      <c r="P4563"/>
      <c r="Q4563" s="25"/>
      <c r="R4563" s="54"/>
      <c r="W4563" s="23"/>
      <c r="X4563" s="23"/>
      <c r="Y4563" s="23"/>
      <c r="Z4563" s="43"/>
      <c r="AA4563" s="23"/>
      <c r="AB4563" s="23"/>
      <c r="AC4563" s="23"/>
      <c r="AD4563" s="23"/>
      <c r="AE4563" s="23"/>
      <c r="AF4563" s="23"/>
      <c r="AG4563" s="23"/>
      <c r="AH4563" s="23"/>
      <c r="AI4563" s="49"/>
    </row>
    <row r="4564" spans="1:35">
      <c r="A4564" s="23"/>
      <c r="B4564" s="42"/>
      <c r="C4564" s="49"/>
      <c r="E4564" s="49"/>
      <c r="G4564" s="43"/>
      <c r="H4564" s="44"/>
      <c r="L4564" s="42"/>
      <c r="M4564" s="42"/>
      <c r="N4564" s="25"/>
      <c r="O4564" s="54"/>
      <c r="P4564"/>
      <c r="Q4564" s="25"/>
      <c r="R4564" s="54"/>
      <c r="W4564" s="23"/>
      <c r="X4564" s="23"/>
      <c r="Y4564" s="23"/>
      <c r="Z4564" s="43"/>
      <c r="AA4564" s="23"/>
      <c r="AB4564" s="23"/>
      <c r="AC4564" s="23"/>
      <c r="AD4564" s="23"/>
      <c r="AE4564" s="23"/>
      <c r="AF4564" s="23"/>
      <c r="AG4564" s="23"/>
      <c r="AH4564" s="23"/>
      <c r="AI4564" s="49"/>
    </row>
    <row r="4565" spans="1:35">
      <c r="A4565" s="23"/>
      <c r="B4565" s="42"/>
      <c r="C4565" s="49"/>
      <c r="E4565" s="49"/>
      <c r="G4565" s="43"/>
      <c r="H4565" s="44"/>
      <c r="L4565" s="42"/>
      <c r="M4565" s="42"/>
      <c r="N4565" s="25"/>
      <c r="O4565" s="54"/>
      <c r="P4565"/>
      <c r="Q4565" s="25"/>
      <c r="R4565" s="54"/>
      <c r="W4565" s="23"/>
      <c r="X4565" s="23"/>
      <c r="Y4565" s="23"/>
      <c r="Z4565" s="43"/>
      <c r="AA4565" s="23"/>
      <c r="AB4565" s="23"/>
      <c r="AC4565" s="23"/>
      <c r="AD4565" s="23"/>
      <c r="AE4565" s="23"/>
      <c r="AF4565" s="23"/>
      <c r="AG4565" s="23"/>
      <c r="AH4565" s="23"/>
      <c r="AI4565" s="49"/>
    </row>
    <row r="4566" spans="1:35">
      <c r="A4566" s="23"/>
      <c r="B4566" s="42"/>
      <c r="C4566" s="49"/>
      <c r="E4566" s="49"/>
      <c r="G4566" s="43"/>
      <c r="H4566" s="44"/>
      <c r="L4566" s="42"/>
      <c r="M4566" s="42"/>
      <c r="N4566" s="25"/>
      <c r="O4566" s="54"/>
      <c r="P4566"/>
      <c r="Q4566" s="25"/>
      <c r="R4566" s="54"/>
      <c r="W4566" s="23"/>
      <c r="X4566" s="23"/>
      <c r="Y4566" s="23"/>
      <c r="Z4566" s="43"/>
      <c r="AA4566" s="23"/>
      <c r="AB4566" s="23"/>
      <c r="AC4566" s="23"/>
      <c r="AD4566" s="23"/>
      <c r="AE4566" s="23"/>
      <c r="AF4566" s="23"/>
      <c r="AG4566" s="23"/>
      <c r="AH4566" s="23"/>
      <c r="AI4566" s="49"/>
    </row>
    <row r="4567" spans="1:35">
      <c r="A4567" s="23"/>
      <c r="B4567" s="42"/>
      <c r="C4567" s="49"/>
      <c r="E4567" s="49"/>
      <c r="G4567" s="43"/>
      <c r="H4567" s="44"/>
      <c r="L4567" s="42"/>
      <c r="M4567" s="42"/>
      <c r="N4567" s="25"/>
      <c r="O4567" s="54"/>
      <c r="P4567"/>
      <c r="Q4567" s="25"/>
      <c r="R4567" s="54"/>
      <c r="W4567" s="23"/>
      <c r="X4567" s="23"/>
      <c r="Y4567" s="23"/>
      <c r="Z4567" s="43"/>
      <c r="AA4567" s="23"/>
      <c r="AB4567" s="23"/>
      <c r="AC4567" s="23"/>
      <c r="AD4567" s="23"/>
      <c r="AE4567" s="23"/>
      <c r="AF4567" s="23"/>
      <c r="AG4567" s="23"/>
      <c r="AH4567" s="23"/>
      <c r="AI4567" s="49"/>
    </row>
    <row r="4568" spans="1:35">
      <c r="A4568" s="23"/>
      <c r="B4568" s="42"/>
      <c r="C4568" s="49"/>
      <c r="E4568" s="49"/>
      <c r="G4568" s="43"/>
      <c r="H4568" s="44"/>
      <c r="L4568" s="42"/>
      <c r="M4568" s="42"/>
      <c r="N4568" s="25"/>
      <c r="O4568" s="54"/>
      <c r="P4568"/>
      <c r="Q4568" s="25"/>
      <c r="R4568" s="54"/>
      <c r="W4568" s="23"/>
      <c r="X4568" s="23"/>
      <c r="Y4568" s="23"/>
      <c r="Z4568" s="43"/>
      <c r="AA4568" s="23"/>
      <c r="AB4568" s="23"/>
      <c r="AC4568" s="23"/>
      <c r="AD4568" s="23"/>
      <c r="AE4568" s="23"/>
      <c r="AF4568" s="23"/>
      <c r="AG4568" s="23"/>
      <c r="AH4568" s="23"/>
      <c r="AI4568" s="49"/>
    </row>
    <row r="4569" spans="1:35">
      <c r="A4569" s="23"/>
      <c r="B4569" s="42"/>
      <c r="C4569" s="49"/>
      <c r="E4569" s="49"/>
      <c r="G4569" s="43"/>
      <c r="H4569" s="44"/>
      <c r="L4569" s="42"/>
      <c r="M4569" s="42"/>
      <c r="N4569" s="25"/>
      <c r="O4569" s="54"/>
      <c r="P4569"/>
      <c r="Q4569" s="25"/>
      <c r="R4569" s="54"/>
      <c r="W4569" s="23"/>
      <c r="X4569" s="23"/>
      <c r="Y4569" s="23"/>
      <c r="Z4569" s="43"/>
      <c r="AA4569" s="23"/>
      <c r="AB4569" s="23"/>
      <c r="AC4569" s="23"/>
      <c r="AD4569" s="23"/>
      <c r="AE4569" s="23"/>
      <c r="AF4569" s="23"/>
      <c r="AG4569" s="23"/>
      <c r="AH4569" s="23"/>
      <c r="AI4569" s="23"/>
    </row>
    <row r="4570" spans="1:35">
      <c r="A4570" s="23"/>
      <c r="B4570" s="42"/>
      <c r="C4570" s="49"/>
      <c r="E4570" s="49"/>
      <c r="G4570" s="43"/>
      <c r="H4570" s="44"/>
      <c r="L4570" s="42"/>
      <c r="M4570" s="42"/>
      <c r="N4570" s="25"/>
      <c r="O4570" s="54"/>
      <c r="P4570"/>
      <c r="Q4570" s="25"/>
      <c r="R4570" s="54"/>
      <c r="W4570" s="23"/>
      <c r="X4570" s="23"/>
      <c r="Y4570" s="23"/>
      <c r="Z4570" s="43"/>
      <c r="AA4570" s="23"/>
      <c r="AB4570" s="23"/>
      <c r="AC4570" s="23"/>
      <c r="AD4570" s="23"/>
      <c r="AE4570" s="23"/>
      <c r="AF4570" s="23"/>
      <c r="AG4570" s="23"/>
      <c r="AH4570" s="23"/>
      <c r="AI4570" s="23"/>
    </row>
    <row r="4571" spans="1:35">
      <c r="A4571" s="23"/>
      <c r="B4571" s="42"/>
      <c r="C4571" s="49"/>
      <c r="E4571" s="49"/>
      <c r="G4571" s="43"/>
      <c r="H4571" s="44"/>
      <c r="L4571" s="42"/>
      <c r="M4571" s="42"/>
      <c r="N4571" s="25"/>
      <c r="O4571" s="54"/>
      <c r="P4571"/>
      <c r="Q4571" s="25"/>
      <c r="R4571" s="54"/>
      <c r="W4571" s="23"/>
      <c r="X4571" s="23"/>
      <c r="Y4571" s="23"/>
      <c r="Z4571" s="43"/>
      <c r="AA4571" s="23"/>
      <c r="AB4571" s="23"/>
      <c r="AC4571" s="23"/>
      <c r="AD4571" s="23"/>
      <c r="AE4571" s="23"/>
      <c r="AF4571" s="23"/>
      <c r="AG4571" s="23"/>
      <c r="AH4571" s="23"/>
      <c r="AI4571" s="23"/>
    </row>
    <row r="4572" spans="1:35">
      <c r="A4572" s="23"/>
      <c r="B4572" s="42"/>
      <c r="C4572" s="49"/>
      <c r="E4572" s="49"/>
      <c r="G4572" s="43"/>
      <c r="H4572" s="44"/>
      <c r="L4572" s="42"/>
      <c r="M4572" s="42"/>
      <c r="N4572" s="25"/>
      <c r="O4572" s="54"/>
      <c r="P4572"/>
      <c r="Q4572" s="25"/>
      <c r="R4572" s="54"/>
      <c r="W4572" s="23"/>
      <c r="X4572" s="23"/>
      <c r="Y4572" s="23"/>
      <c r="Z4572" s="43"/>
      <c r="AA4572" s="23"/>
      <c r="AB4572" s="23"/>
      <c r="AC4572" s="23"/>
      <c r="AD4572" s="23"/>
      <c r="AE4572" s="23"/>
      <c r="AF4572" s="23"/>
      <c r="AG4572" s="23"/>
      <c r="AH4572" s="23"/>
      <c r="AI4572" s="23"/>
    </row>
    <row r="4573" spans="1:35">
      <c r="A4573" s="23"/>
      <c r="B4573" s="42"/>
      <c r="C4573" s="49"/>
      <c r="E4573" s="49"/>
      <c r="G4573" s="43"/>
      <c r="H4573" s="44"/>
      <c r="L4573" s="42"/>
      <c r="M4573" s="42"/>
      <c r="N4573" s="25"/>
      <c r="O4573" s="54"/>
      <c r="P4573"/>
      <c r="Q4573" s="25"/>
      <c r="R4573" s="54"/>
      <c r="W4573" s="23"/>
      <c r="X4573" s="23"/>
      <c r="Y4573" s="23"/>
      <c r="Z4573" s="43"/>
      <c r="AA4573" s="23"/>
      <c r="AB4573" s="23"/>
      <c r="AC4573" s="23"/>
      <c r="AD4573" s="23"/>
      <c r="AE4573" s="23"/>
      <c r="AF4573" s="23"/>
      <c r="AG4573" s="23"/>
      <c r="AH4573" s="23"/>
      <c r="AI4573" s="23"/>
    </row>
    <row r="4574" spans="1:35">
      <c r="A4574" s="23"/>
      <c r="B4574" s="42"/>
      <c r="C4574" s="49"/>
      <c r="E4574" s="49"/>
      <c r="G4574" s="43"/>
      <c r="H4574" s="44"/>
      <c r="L4574" s="42"/>
      <c r="M4574" s="42"/>
      <c r="N4574" s="25"/>
      <c r="O4574" s="54"/>
      <c r="P4574"/>
      <c r="Q4574" s="25"/>
      <c r="R4574" s="54"/>
      <c r="W4574" s="23"/>
      <c r="X4574" s="23"/>
      <c r="Y4574" s="23"/>
      <c r="Z4574" s="43"/>
      <c r="AA4574" s="23"/>
      <c r="AB4574" s="23"/>
      <c r="AC4574" s="23"/>
      <c r="AD4574" s="23"/>
      <c r="AE4574" s="23"/>
      <c r="AF4574" s="23"/>
      <c r="AG4574" s="23"/>
      <c r="AH4574" s="23"/>
      <c r="AI4574" s="23"/>
    </row>
    <row r="4575" spans="1:35">
      <c r="A4575" s="50"/>
      <c r="B4575" s="42"/>
      <c r="C4575" s="49"/>
      <c r="E4575" s="49"/>
      <c r="G4575" s="43"/>
      <c r="H4575" s="44"/>
      <c r="L4575" s="42"/>
      <c r="M4575" s="42"/>
      <c r="N4575" s="25"/>
      <c r="O4575" s="54"/>
      <c r="P4575"/>
      <c r="Q4575" s="25"/>
      <c r="R4575" s="54"/>
      <c r="W4575" s="23"/>
      <c r="X4575" s="23"/>
      <c r="Y4575" s="23"/>
      <c r="Z4575" s="43"/>
      <c r="AA4575" s="23"/>
      <c r="AB4575" s="23"/>
      <c r="AC4575" s="23"/>
      <c r="AD4575" s="23"/>
      <c r="AE4575" s="23"/>
      <c r="AF4575" s="23"/>
      <c r="AG4575" s="23"/>
      <c r="AH4575" s="23"/>
      <c r="AI4575" s="49"/>
    </row>
    <row r="4576" spans="1:35">
      <c r="A4576" s="50"/>
      <c r="B4576" s="42"/>
      <c r="C4576" s="49"/>
      <c r="E4576" s="49"/>
      <c r="G4576" s="43"/>
      <c r="H4576" s="44"/>
      <c r="L4576" s="42"/>
      <c r="M4576" s="42"/>
      <c r="N4576" s="25"/>
      <c r="O4576" s="54"/>
      <c r="P4576"/>
      <c r="Q4576" s="25"/>
      <c r="R4576" s="54"/>
      <c r="W4576" s="23"/>
      <c r="X4576" s="23"/>
      <c r="Y4576" s="23"/>
      <c r="Z4576" s="43"/>
      <c r="AA4576" s="23"/>
      <c r="AB4576" s="23"/>
      <c r="AC4576" s="23"/>
      <c r="AD4576" s="23"/>
      <c r="AE4576" s="23"/>
      <c r="AF4576" s="23"/>
      <c r="AG4576" s="23"/>
      <c r="AH4576" s="23"/>
      <c r="AI4576" s="49"/>
    </row>
    <row r="4577" spans="1:35">
      <c r="A4577" s="50"/>
      <c r="B4577" s="42"/>
      <c r="C4577" s="49"/>
      <c r="E4577" s="49"/>
      <c r="G4577" s="43"/>
      <c r="H4577" s="44"/>
      <c r="L4577" s="42"/>
      <c r="M4577" s="42"/>
      <c r="N4577" s="25"/>
      <c r="O4577" s="54"/>
      <c r="P4577"/>
      <c r="Q4577" s="25"/>
      <c r="R4577" s="54"/>
      <c r="W4577" s="23"/>
      <c r="X4577" s="23"/>
      <c r="Y4577" s="23"/>
      <c r="Z4577" s="43"/>
      <c r="AA4577" s="23"/>
      <c r="AB4577" s="23"/>
      <c r="AC4577" s="23"/>
      <c r="AD4577" s="23"/>
      <c r="AE4577" s="23"/>
      <c r="AF4577" s="23"/>
      <c r="AG4577" s="23"/>
      <c r="AH4577" s="23"/>
      <c r="AI4577" s="49"/>
    </row>
    <row r="4578" spans="1:35">
      <c r="A4578" s="50"/>
      <c r="B4578" s="42"/>
      <c r="C4578" s="49"/>
      <c r="E4578" s="49"/>
      <c r="G4578" s="43"/>
      <c r="H4578" s="44"/>
      <c r="L4578" s="42"/>
      <c r="M4578" s="42"/>
      <c r="N4578" s="25"/>
      <c r="O4578" s="54"/>
      <c r="P4578"/>
      <c r="Q4578" s="25"/>
      <c r="R4578" s="54"/>
      <c r="W4578" s="23"/>
      <c r="X4578" s="23"/>
      <c r="Y4578" s="23"/>
      <c r="Z4578" s="43"/>
      <c r="AA4578" s="23"/>
      <c r="AB4578" s="23"/>
      <c r="AC4578" s="23"/>
      <c r="AD4578" s="23"/>
      <c r="AE4578" s="23"/>
      <c r="AF4578" s="23"/>
      <c r="AG4578" s="23"/>
      <c r="AH4578" s="23"/>
      <c r="AI4578" s="49"/>
    </row>
    <row r="4579" spans="1:35">
      <c r="A4579" s="50"/>
      <c r="B4579" s="42"/>
      <c r="C4579" s="49"/>
      <c r="E4579" s="49"/>
      <c r="G4579" s="43"/>
      <c r="H4579" s="44"/>
      <c r="L4579" s="42"/>
      <c r="M4579" s="42"/>
      <c r="N4579" s="25"/>
      <c r="O4579" s="54"/>
      <c r="P4579"/>
      <c r="Q4579" s="25"/>
      <c r="R4579" s="54"/>
      <c r="W4579" s="23"/>
      <c r="X4579" s="23"/>
      <c r="Y4579" s="23"/>
      <c r="Z4579" s="43"/>
      <c r="AA4579" s="23"/>
      <c r="AB4579" s="23"/>
      <c r="AC4579" s="23"/>
      <c r="AD4579" s="23"/>
      <c r="AE4579" s="23"/>
      <c r="AF4579" s="23"/>
      <c r="AG4579" s="23"/>
      <c r="AH4579" s="23"/>
      <c r="AI4579" s="49"/>
    </row>
    <row r="4580" spans="1:35">
      <c r="A4580" s="50"/>
      <c r="B4580" s="42"/>
      <c r="C4580" s="49"/>
      <c r="E4580" s="49"/>
      <c r="G4580" s="43"/>
      <c r="H4580" s="44"/>
      <c r="L4580" s="42"/>
      <c r="M4580" s="42"/>
      <c r="N4580" s="25"/>
      <c r="O4580" s="54"/>
      <c r="P4580"/>
      <c r="Q4580" s="25"/>
      <c r="R4580" s="54"/>
      <c r="W4580" s="23"/>
      <c r="X4580" s="23"/>
      <c r="Y4580" s="23"/>
      <c r="Z4580" s="43"/>
      <c r="AA4580" s="23"/>
      <c r="AB4580" s="23"/>
      <c r="AC4580" s="23"/>
      <c r="AD4580" s="23"/>
      <c r="AE4580" s="23"/>
      <c r="AF4580" s="23"/>
      <c r="AG4580" s="23"/>
      <c r="AH4580" s="23"/>
      <c r="AI4580" s="49"/>
    </row>
    <row r="4581" spans="1:35">
      <c r="A4581" s="50"/>
      <c r="B4581" s="42"/>
      <c r="C4581" s="49"/>
      <c r="E4581" s="49"/>
      <c r="G4581" s="43"/>
      <c r="H4581" s="44"/>
      <c r="L4581" s="42"/>
      <c r="M4581" s="42"/>
      <c r="N4581" s="25"/>
      <c r="O4581" s="54"/>
      <c r="P4581"/>
      <c r="Q4581" s="25"/>
      <c r="R4581" s="54"/>
      <c r="W4581" s="23"/>
      <c r="X4581" s="23"/>
      <c r="Y4581" s="23"/>
      <c r="Z4581" s="43"/>
      <c r="AA4581" s="23"/>
      <c r="AB4581" s="23"/>
      <c r="AC4581" s="23"/>
      <c r="AD4581" s="23"/>
      <c r="AE4581" s="23"/>
      <c r="AF4581" s="23"/>
      <c r="AG4581" s="23"/>
      <c r="AH4581" s="23"/>
      <c r="AI4581" s="49"/>
    </row>
    <row r="4582" spans="1:35">
      <c r="A4582" s="50"/>
      <c r="B4582" s="42"/>
      <c r="C4582" s="49"/>
      <c r="E4582" s="49"/>
      <c r="G4582" s="43"/>
      <c r="H4582" s="44"/>
      <c r="L4582" s="42"/>
      <c r="M4582" s="42"/>
      <c r="N4582" s="25"/>
      <c r="O4582" s="54"/>
      <c r="P4582"/>
      <c r="Q4582" s="25"/>
      <c r="R4582" s="54"/>
      <c r="W4582" s="23"/>
      <c r="X4582" s="23"/>
      <c r="Y4582" s="23"/>
      <c r="Z4582" s="43"/>
      <c r="AA4582" s="23"/>
      <c r="AB4582" s="23"/>
      <c r="AC4582" s="23"/>
      <c r="AD4582" s="23"/>
      <c r="AE4582" s="23"/>
      <c r="AF4582" s="23"/>
      <c r="AG4582" s="23"/>
      <c r="AH4582" s="23"/>
      <c r="AI4582" s="49"/>
    </row>
    <row r="4583" spans="1:35">
      <c r="A4583" s="50"/>
      <c r="B4583" s="42"/>
      <c r="C4583" s="49"/>
      <c r="E4583" s="49"/>
      <c r="G4583" s="43"/>
      <c r="H4583" s="44"/>
      <c r="L4583" s="42"/>
      <c r="M4583" s="42"/>
      <c r="N4583" s="25"/>
      <c r="O4583" s="54"/>
      <c r="P4583"/>
      <c r="Q4583" s="25"/>
      <c r="R4583" s="54"/>
      <c r="W4583" s="23"/>
      <c r="X4583" s="23"/>
      <c r="Y4583" s="23"/>
      <c r="Z4583" s="43"/>
      <c r="AA4583" s="23"/>
      <c r="AB4583" s="23"/>
      <c r="AC4583" s="23"/>
      <c r="AD4583" s="23"/>
      <c r="AE4583" s="23"/>
      <c r="AF4583" s="23"/>
      <c r="AG4583" s="23"/>
      <c r="AH4583" s="23"/>
      <c r="AI4583" s="49"/>
    </row>
    <row r="4584" spans="1:35">
      <c r="A4584" s="50"/>
      <c r="B4584" s="42"/>
      <c r="C4584" s="49"/>
      <c r="E4584" s="49"/>
      <c r="G4584" s="43"/>
      <c r="H4584" s="44"/>
      <c r="L4584" s="42"/>
      <c r="M4584" s="42"/>
      <c r="N4584" s="25"/>
      <c r="O4584" s="54"/>
      <c r="P4584"/>
      <c r="Q4584" s="25"/>
      <c r="R4584" s="54"/>
      <c r="W4584" s="23"/>
      <c r="X4584" s="23"/>
      <c r="Y4584" s="23"/>
      <c r="Z4584" s="43"/>
      <c r="AA4584" s="23"/>
      <c r="AB4584" s="23"/>
      <c r="AC4584" s="23"/>
      <c r="AD4584" s="23"/>
      <c r="AE4584" s="23"/>
      <c r="AF4584" s="23"/>
      <c r="AG4584" s="23"/>
      <c r="AH4584" s="23"/>
      <c r="AI4584" s="49"/>
    </row>
    <row r="4585" spans="1:35">
      <c r="A4585" s="50"/>
      <c r="B4585" s="42"/>
      <c r="C4585" s="49"/>
      <c r="E4585" s="49"/>
      <c r="G4585" s="43"/>
      <c r="H4585" s="44"/>
      <c r="L4585" s="42"/>
      <c r="M4585" s="42"/>
      <c r="N4585" s="25"/>
      <c r="O4585" s="54"/>
      <c r="P4585"/>
      <c r="Q4585" s="25"/>
      <c r="R4585" s="54"/>
      <c r="W4585" s="23"/>
      <c r="X4585" s="23"/>
      <c r="Y4585" s="23"/>
      <c r="Z4585" s="43"/>
      <c r="AA4585" s="23"/>
      <c r="AB4585" s="23"/>
      <c r="AC4585" s="23"/>
      <c r="AD4585" s="23"/>
      <c r="AE4585" s="23"/>
      <c r="AF4585" s="23"/>
      <c r="AG4585" s="23"/>
      <c r="AH4585" s="23"/>
      <c r="AI4585" s="49"/>
    </row>
    <row r="4586" spans="1:35">
      <c r="A4586" s="50"/>
      <c r="B4586" s="42"/>
      <c r="C4586" s="49"/>
      <c r="E4586" s="49"/>
      <c r="G4586" s="43"/>
      <c r="H4586" s="44"/>
      <c r="L4586" s="42"/>
      <c r="M4586" s="42"/>
      <c r="N4586" s="25"/>
      <c r="O4586" s="54"/>
      <c r="P4586"/>
      <c r="Q4586" s="25"/>
      <c r="R4586" s="54"/>
      <c r="W4586" s="23"/>
      <c r="X4586" s="23"/>
      <c r="Y4586" s="23"/>
      <c r="Z4586" s="43"/>
      <c r="AA4586" s="23"/>
      <c r="AB4586" s="23"/>
      <c r="AC4586" s="23"/>
      <c r="AD4586" s="23"/>
      <c r="AE4586" s="23"/>
      <c r="AF4586" s="23"/>
      <c r="AG4586" s="23"/>
      <c r="AH4586" s="23"/>
      <c r="AI4586" s="49"/>
    </row>
    <row r="4587" spans="1:35">
      <c r="A4587" s="50"/>
      <c r="B4587" s="42"/>
      <c r="C4587" s="49"/>
      <c r="E4587" s="49"/>
      <c r="G4587" s="43"/>
      <c r="H4587" s="44"/>
      <c r="L4587" s="42"/>
      <c r="M4587" s="42"/>
      <c r="N4587" s="25"/>
      <c r="O4587" s="54"/>
      <c r="P4587"/>
      <c r="Q4587" s="25"/>
      <c r="R4587" s="54"/>
      <c r="W4587" s="23"/>
      <c r="X4587" s="23"/>
      <c r="Y4587" s="23"/>
      <c r="Z4587" s="43"/>
      <c r="AA4587" s="23"/>
      <c r="AB4587" s="23"/>
      <c r="AC4587" s="23"/>
      <c r="AD4587" s="23"/>
      <c r="AE4587" s="23"/>
      <c r="AF4587" s="23"/>
      <c r="AG4587" s="23"/>
      <c r="AH4587" s="23"/>
      <c r="AI4587" s="49"/>
    </row>
    <row r="4588" spans="1:35">
      <c r="A4588" s="50"/>
      <c r="B4588" s="42"/>
      <c r="C4588" s="49"/>
      <c r="E4588" s="49"/>
      <c r="G4588" s="43"/>
      <c r="H4588" s="44"/>
      <c r="L4588" s="42"/>
      <c r="M4588" s="42"/>
      <c r="N4588" s="25"/>
      <c r="O4588" s="54"/>
      <c r="P4588"/>
      <c r="Q4588" s="25"/>
      <c r="R4588" s="54"/>
      <c r="W4588" s="23"/>
      <c r="X4588" s="23"/>
      <c r="Y4588" s="23"/>
      <c r="Z4588" s="43"/>
      <c r="AA4588" s="23"/>
      <c r="AB4588" s="23"/>
      <c r="AC4588" s="23"/>
      <c r="AD4588" s="23"/>
      <c r="AE4588" s="23"/>
      <c r="AF4588" s="23"/>
      <c r="AG4588" s="23"/>
      <c r="AH4588" s="23"/>
      <c r="AI4588" s="49"/>
    </row>
    <row r="4589" spans="1:35">
      <c r="A4589" s="50"/>
      <c r="B4589" s="42"/>
      <c r="C4589" s="49"/>
      <c r="E4589" s="49"/>
      <c r="G4589" s="43"/>
      <c r="H4589" s="44"/>
      <c r="L4589" s="42"/>
      <c r="M4589" s="42"/>
      <c r="N4589" s="25"/>
      <c r="O4589" s="54"/>
      <c r="P4589"/>
      <c r="Q4589" s="25"/>
      <c r="R4589" s="54"/>
      <c r="W4589" s="23"/>
      <c r="X4589" s="23"/>
      <c r="Y4589" s="23"/>
      <c r="Z4589" s="43"/>
      <c r="AA4589" s="23"/>
      <c r="AB4589" s="23"/>
      <c r="AC4589" s="23"/>
      <c r="AD4589" s="23"/>
      <c r="AE4589" s="23"/>
      <c r="AF4589" s="23"/>
      <c r="AG4589" s="23"/>
      <c r="AH4589" s="23"/>
      <c r="AI4589" s="49"/>
    </row>
    <row r="4590" spans="1:35">
      <c r="A4590" s="50"/>
      <c r="B4590" s="42"/>
      <c r="C4590" s="49"/>
      <c r="E4590" s="49"/>
      <c r="G4590" s="43"/>
      <c r="H4590" s="44"/>
      <c r="L4590" s="42"/>
      <c r="M4590" s="42"/>
      <c r="N4590" s="25"/>
      <c r="O4590" s="54"/>
      <c r="P4590"/>
      <c r="Q4590" s="25"/>
      <c r="R4590" s="54"/>
      <c r="W4590" s="23"/>
      <c r="X4590" s="23"/>
      <c r="Y4590" s="23"/>
      <c r="Z4590" s="43"/>
      <c r="AA4590" s="23"/>
      <c r="AB4590" s="23"/>
      <c r="AC4590" s="23"/>
      <c r="AD4590" s="23"/>
      <c r="AE4590" s="23"/>
      <c r="AF4590" s="23"/>
      <c r="AG4590" s="23"/>
      <c r="AH4590" s="23"/>
      <c r="AI4590" s="49"/>
    </row>
    <row r="4591" spans="1:35">
      <c r="A4591" s="50"/>
      <c r="B4591" s="42"/>
      <c r="C4591" s="49"/>
      <c r="E4591" s="49"/>
      <c r="G4591" s="43"/>
      <c r="H4591" s="44"/>
      <c r="L4591" s="42"/>
      <c r="M4591" s="42"/>
      <c r="N4591" s="25"/>
      <c r="O4591" s="54"/>
      <c r="P4591"/>
      <c r="Q4591" s="25"/>
      <c r="R4591" s="54"/>
      <c r="W4591" s="23"/>
      <c r="X4591" s="23"/>
      <c r="Y4591" s="23"/>
      <c r="Z4591" s="43"/>
      <c r="AA4591" s="23"/>
      <c r="AB4591" s="23"/>
      <c r="AC4591" s="23"/>
      <c r="AD4591" s="23"/>
      <c r="AE4591" s="23"/>
      <c r="AF4591" s="23"/>
      <c r="AG4591" s="23"/>
      <c r="AH4591" s="23"/>
      <c r="AI4591" s="49"/>
    </row>
    <row r="4592" spans="1:35">
      <c r="A4592" s="50"/>
      <c r="B4592" s="42"/>
      <c r="C4592" s="49"/>
      <c r="E4592" s="49"/>
      <c r="G4592" s="43"/>
      <c r="H4592" s="44"/>
      <c r="L4592" s="42"/>
      <c r="M4592" s="42"/>
      <c r="N4592" s="25"/>
      <c r="O4592" s="54"/>
      <c r="P4592"/>
      <c r="Q4592" s="25"/>
      <c r="R4592" s="54"/>
      <c r="W4592" s="23"/>
      <c r="X4592" s="23"/>
      <c r="Y4592" s="23"/>
      <c r="Z4592" s="43"/>
      <c r="AA4592" s="23"/>
      <c r="AB4592" s="23"/>
      <c r="AC4592" s="23"/>
      <c r="AD4592" s="23"/>
      <c r="AE4592" s="23"/>
      <c r="AF4592" s="23"/>
      <c r="AG4592" s="23"/>
      <c r="AH4592" s="23"/>
      <c r="AI4592" s="49"/>
    </row>
    <row r="4593" spans="1:35">
      <c r="A4593" s="50"/>
      <c r="B4593" s="42"/>
      <c r="C4593" s="49"/>
      <c r="E4593" s="49"/>
      <c r="G4593" s="43"/>
      <c r="H4593" s="44"/>
      <c r="L4593" s="42"/>
      <c r="M4593" s="42"/>
      <c r="N4593" s="25"/>
      <c r="O4593" s="54"/>
      <c r="P4593"/>
      <c r="Q4593" s="25"/>
      <c r="R4593" s="54"/>
      <c r="W4593" s="23"/>
      <c r="X4593" s="23"/>
      <c r="Y4593" s="23"/>
      <c r="Z4593" s="43"/>
      <c r="AA4593" s="23"/>
      <c r="AB4593" s="23"/>
      <c r="AC4593" s="23"/>
      <c r="AD4593" s="23"/>
      <c r="AE4593" s="23"/>
      <c r="AF4593" s="23"/>
      <c r="AG4593" s="23"/>
      <c r="AH4593" s="23"/>
      <c r="AI4593" s="49"/>
    </row>
    <row r="4594" spans="1:35">
      <c r="A4594" s="50"/>
      <c r="B4594" s="42"/>
      <c r="C4594" s="49"/>
      <c r="E4594" s="49"/>
      <c r="G4594" s="43"/>
      <c r="H4594" s="44"/>
      <c r="L4594" s="42"/>
      <c r="M4594" s="42"/>
      <c r="N4594" s="25"/>
      <c r="O4594" s="54"/>
      <c r="P4594"/>
      <c r="Q4594" s="25"/>
      <c r="R4594" s="54"/>
      <c r="W4594" s="23"/>
      <c r="X4594" s="23"/>
      <c r="Y4594" s="23"/>
      <c r="Z4594" s="43"/>
      <c r="AA4594" s="23"/>
      <c r="AB4594" s="23"/>
      <c r="AC4594" s="23"/>
      <c r="AD4594" s="23"/>
      <c r="AE4594" s="23"/>
      <c r="AF4594" s="23"/>
      <c r="AG4594" s="23"/>
      <c r="AH4594" s="23"/>
      <c r="AI4594" s="49"/>
    </row>
    <row r="4595" spans="1:35">
      <c r="A4595" s="50"/>
      <c r="B4595" s="42"/>
      <c r="C4595" s="49"/>
      <c r="E4595" s="49"/>
      <c r="G4595" s="43"/>
      <c r="H4595" s="44"/>
      <c r="L4595" s="42"/>
      <c r="M4595" s="42"/>
      <c r="N4595" s="25"/>
      <c r="O4595" s="54"/>
      <c r="P4595"/>
      <c r="Q4595" s="25"/>
      <c r="R4595" s="54"/>
      <c r="W4595" s="23"/>
      <c r="X4595" s="23"/>
      <c r="Y4595" s="23"/>
      <c r="Z4595" s="43"/>
      <c r="AA4595" s="23"/>
      <c r="AB4595" s="23"/>
      <c r="AC4595" s="23"/>
      <c r="AD4595" s="23"/>
      <c r="AE4595" s="23"/>
      <c r="AF4595" s="23"/>
      <c r="AG4595" s="23"/>
      <c r="AH4595" s="23"/>
      <c r="AI4595" s="49"/>
    </row>
    <row r="4596" spans="1:35">
      <c r="A4596" s="50"/>
      <c r="B4596" s="42"/>
      <c r="C4596" s="49"/>
      <c r="E4596" s="49"/>
      <c r="G4596" s="43"/>
      <c r="H4596" s="44"/>
      <c r="L4596" s="42"/>
      <c r="M4596" s="42"/>
      <c r="N4596" s="25"/>
      <c r="O4596" s="54"/>
      <c r="P4596"/>
      <c r="Q4596" s="25"/>
      <c r="R4596" s="54"/>
      <c r="W4596" s="23"/>
      <c r="X4596" s="23"/>
      <c r="Y4596" s="23"/>
      <c r="Z4596" s="43"/>
      <c r="AA4596" s="23"/>
      <c r="AB4596" s="23"/>
      <c r="AC4596" s="23"/>
      <c r="AD4596" s="23"/>
      <c r="AE4596" s="23"/>
      <c r="AF4596" s="23"/>
      <c r="AG4596" s="23"/>
      <c r="AH4596" s="23"/>
      <c r="AI4596" s="49"/>
    </row>
    <row r="4597" spans="1:35">
      <c r="A4597" s="50"/>
      <c r="B4597" s="42"/>
      <c r="C4597" s="49"/>
      <c r="E4597" s="49"/>
      <c r="G4597" s="43"/>
      <c r="H4597" s="44"/>
      <c r="L4597" s="42"/>
      <c r="M4597" s="42"/>
      <c r="N4597" s="25"/>
      <c r="O4597" s="54"/>
      <c r="P4597"/>
      <c r="Q4597" s="25"/>
      <c r="R4597" s="54"/>
      <c r="W4597" s="23"/>
      <c r="X4597" s="23"/>
      <c r="Y4597" s="23"/>
      <c r="Z4597" s="43"/>
      <c r="AA4597" s="23"/>
      <c r="AB4597" s="23"/>
      <c r="AC4597" s="23"/>
      <c r="AD4597" s="23"/>
      <c r="AE4597" s="23"/>
      <c r="AF4597" s="23"/>
      <c r="AG4597" s="23"/>
      <c r="AH4597" s="23"/>
      <c r="AI4597" s="49"/>
    </row>
    <row r="4598" spans="1:35">
      <c r="A4598" s="50"/>
      <c r="B4598" s="42"/>
      <c r="C4598" s="49"/>
      <c r="E4598" s="49"/>
      <c r="G4598" s="43"/>
      <c r="H4598" s="44"/>
      <c r="L4598" s="42"/>
      <c r="M4598" s="42"/>
      <c r="N4598" s="25"/>
      <c r="O4598" s="54"/>
      <c r="P4598"/>
      <c r="Q4598" s="25"/>
      <c r="R4598" s="54"/>
      <c r="W4598" s="23"/>
      <c r="X4598" s="23"/>
      <c r="Y4598" s="23"/>
      <c r="Z4598" s="43"/>
      <c r="AA4598" s="23"/>
      <c r="AB4598" s="23"/>
      <c r="AC4598" s="23"/>
      <c r="AD4598" s="23"/>
      <c r="AE4598" s="23"/>
      <c r="AF4598" s="23"/>
      <c r="AG4598" s="23"/>
      <c r="AH4598" s="23"/>
      <c r="AI4598" s="49"/>
    </row>
    <row r="4599" spans="1:35">
      <c r="A4599" s="50"/>
      <c r="B4599" s="42"/>
      <c r="C4599" s="49"/>
      <c r="E4599" s="49"/>
      <c r="G4599" s="43"/>
      <c r="H4599" s="44"/>
      <c r="L4599" s="42"/>
      <c r="M4599" s="42"/>
      <c r="N4599" s="25"/>
      <c r="O4599" s="54"/>
      <c r="P4599"/>
      <c r="Q4599" s="25"/>
      <c r="R4599" s="54"/>
      <c r="W4599" s="23"/>
      <c r="X4599" s="23"/>
      <c r="Y4599" s="23"/>
      <c r="Z4599" s="43"/>
      <c r="AA4599" s="23"/>
      <c r="AB4599" s="23"/>
      <c r="AC4599" s="23"/>
      <c r="AD4599" s="23"/>
      <c r="AE4599" s="23"/>
      <c r="AF4599" s="23"/>
      <c r="AG4599" s="23"/>
      <c r="AH4599" s="23"/>
      <c r="AI4599" s="49"/>
    </row>
    <row r="4600" spans="1:35">
      <c r="A4600" s="50"/>
      <c r="B4600" s="42"/>
      <c r="C4600" s="49"/>
      <c r="E4600" s="49"/>
      <c r="G4600" s="43"/>
      <c r="H4600" s="44"/>
      <c r="L4600" s="42"/>
      <c r="M4600" s="42"/>
      <c r="N4600" s="25"/>
      <c r="O4600" s="54"/>
      <c r="P4600"/>
      <c r="Q4600" s="25"/>
      <c r="R4600" s="54"/>
      <c r="W4600" s="23"/>
      <c r="X4600" s="23"/>
      <c r="Y4600" s="23"/>
      <c r="Z4600" s="43"/>
      <c r="AA4600" s="23"/>
      <c r="AB4600" s="23"/>
      <c r="AC4600" s="23"/>
      <c r="AD4600" s="23"/>
      <c r="AE4600" s="23"/>
      <c r="AF4600" s="23"/>
      <c r="AG4600" s="23"/>
      <c r="AH4600" s="23"/>
      <c r="AI4600" s="49"/>
    </row>
    <row r="4601" spans="1:35">
      <c r="A4601" s="50"/>
      <c r="B4601" s="42"/>
      <c r="C4601" s="49"/>
      <c r="E4601" s="49"/>
      <c r="G4601" s="43"/>
      <c r="H4601" s="44"/>
      <c r="L4601" s="42"/>
      <c r="M4601" s="42"/>
      <c r="N4601" s="25"/>
      <c r="O4601" s="54"/>
      <c r="P4601"/>
      <c r="Q4601" s="25"/>
      <c r="R4601" s="54"/>
      <c r="W4601" s="23"/>
      <c r="X4601" s="23"/>
      <c r="Y4601" s="23"/>
      <c r="Z4601" s="43"/>
      <c r="AA4601" s="23"/>
      <c r="AB4601" s="23"/>
      <c r="AC4601" s="23"/>
      <c r="AD4601" s="23"/>
      <c r="AE4601" s="23"/>
      <c r="AF4601" s="23"/>
      <c r="AG4601" s="23"/>
      <c r="AH4601" s="23"/>
      <c r="AI4601" s="49"/>
    </row>
    <row r="4602" spans="1:35">
      <c r="A4602" s="50"/>
      <c r="B4602" s="42"/>
      <c r="C4602" s="49"/>
      <c r="E4602" s="49"/>
      <c r="G4602" s="43"/>
      <c r="H4602" s="44"/>
      <c r="L4602" s="42"/>
      <c r="M4602" s="42"/>
      <c r="N4602" s="25"/>
      <c r="O4602" s="54"/>
      <c r="P4602"/>
      <c r="Q4602" s="25"/>
      <c r="R4602" s="54"/>
      <c r="W4602" s="23"/>
      <c r="X4602" s="23"/>
      <c r="Y4602" s="23"/>
      <c r="Z4602" s="43"/>
      <c r="AA4602" s="23"/>
      <c r="AB4602" s="23"/>
      <c r="AC4602" s="23"/>
      <c r="AD4602" s="23"/>
      <c r="AE4602" s="23"/>
      <c r="AF4602" s="23"/>
      <c r="AG4602" s="23"/>
      <c r="AH4602" s="23"/>
      <c r="AI4602" s="49"/>
    </row>
    <row r="4603" spans="1:35">
      <c r="A4603" s="50"/>
      <c r="B4603" s="42"/>
      <c r="C4603" s="49"/>
      <c r="E4603" s="49"/>
      <c r="G4603" s="43"/>
      <c r="H4603" s="44"/>
      <c r="L4603" s="42"/>
      <c r="M4603" s="42"/>
      <c r="N4603" s="25"/>
      <c r="O4603" s="54"/>
      <c r="P4603"/>
      <c r="Q4603" s="25"/>
      <c r="R4603" s="54"/>
      <c r="W4603" s="23"/>
      <c r="X4603" s="23"/>
      <c r="Y4603" s="23"/>
      <c r="Z4603" s="43"/>
      <c r="AA4603" s="23"/>
      <c r="AB4603" s="23"/>
      <c r="AC4603" s="23"/>
      <c r="AD4603" s="23"/>
      <c r="AE4603" s="23"/>
      <c r="AF4603" s="23"/>
      <c r="AG4603" s="23"/>
      <c r="AH4603" s="23"/>
      <c r="AI4603" s="49"/>
    </row>
    <row r="4604" spans="1:35">
      <c r="A4604" s="50"/>
      <c r="B4604" s="42"/>
      <c r="C4604" s="49"/>
      <c r="E4604" s="49"/>
      <c r="G4604" s="43"/>
      <c r="H4604" s="44"/>
      <c r="L4604" s="42"/>
      <c r="M4604" s="42"/>
      <c r="N4604" s="25"/>
      <c r="O4604" s="54"/>
      <c r="P4604"/>
      <c r="Q4604" s="25"/>
      <c r="R4604" s="54"/>
      <c r="W4604" s="23"/>
      <c r="X4604" s="23"/>
      <c r="Y4604" s="23"/>
      <c r="Z4604" s="43"/>
      <c r="AA4604" s="23"/>
      <c r="AB4604" s="23"/>
      <c r="AC4604" s="23"/>
      <c r="AD4604" s="23"/>
      <c r="AE4604" s="23"/>
      <c r="AF4604" s="23"/>
      <c r="AG4604" s="23"/>
      <c r="AH4604" s="23"/>
      <c r="AI4604" s="49"/>
    </row>
    <row r="4605" spans="1:35">
      <c r="A4605" s="50"/>
      <c r="B4605" s="42"/>
      <c r="C4605" s="49"/>
      <c r="E4605" s="49"/>
      <c r="G4605" s="43"/>
      <c r="H4605" s="44"/>
      <c r="L4605" s="42"/>
      <c r="M4605" s="42"/>
      <c r="N4605" s="25"/>
      <c r="O4605" s="54"/>
      <c r="P4605"/>
      <c r="Q4605" s="25"/>
      <c r="R4605" s="54"/>
      <c r="W4605" s="23"/>
      <c r="X4605" s="23"/>
      <c r="Y4605" s="23"/>
      <c r="Z4605" s="43"/>
      <c r="AA4605" s="23"/>
      <c r="AB4605" s="23"/>
      <c r="AC4605" s="23"/>
      <c r="AD4605" s="23"/>
      <c r="AE4605" s="23"/>
      <c r="AF4605" s="23"/>
      <c r="AG4605" s="23"/>
      <c r="AH4605" s="23"/>
      <c r="AI4605" s="49"/>
    </row>
    <row r="4606" spans="1:35">
      <c r="A4606" s="50"/>
      <c r="B4606" s="42"/>
      <c r="C4606" s="49"/>
      <c r="E4606" s="49"/>
      <c r="G4606" s="43"/>
      <c r="H4606" s="44"/>
      <c r="L4606" s="42"/>
      <c r="M4606" s="42"/>
      <c r="N4606" s="25"/>
      <c r="O4606" s="54"/>
      <c r="P4606"/>
      <c r="Q4606" s="25"/>
      <c r="R4606" s="54"/>
      <c r="W4606" s="23"/>
      <c r="X4606" s="23"/>
      <c r="Y4606" s="23"/>
      <c r="Z4606" s="43"/>
      <c r="AA4606" s="23"/>
      <c r="AB4606" s="23"/>
      <c r="AC4606" s="23"/>
      <c r="AD4606" s="23"/>
      <c r="AE4606" s="23"/>
      <c r="AF4606" s="23"/>
      <c r="AG4606" s="23"/>
      <c r="AH4606" s="23"/>
      <c r="AI4606" s="49"/>
    </row>
    <row r="4607" spans="1:35">
      <c r="A4607" s="50"/>
      <c r="B4607" s="42"/>
      <c r="C4607" s="49"/>
      <c r="E4607" s="49"/>
      <c r="G4607" s="43"/>
      <c r="H4607" s="44"/>
      <c r="L4607" s="42"/>
      <c r="M4607" s="42"/>
      <c r="N4607" s="25"/>
      <c r="O4607" s="54"/>
      <c r="P4607"/>
      <c r="Q4607" s="25"/>
      <c r="R4607" s="54"/>
      <c r="W4607" s="23"/>
      <c r="X4607" s="23"/>
      <c r="Y4607" s="23"/>
      <c r="Z4607" s="43"/>
      <c r="AA4607" s="23"/>
      <c r="AB4607" s="23"/>
      <c r="AC4607" s="23"/>
      <c r="AD4607" s="23"/>
      <c r="AE4607" s="23"/>
      <c r="AF4607" s="23"/>
      <c r="AG4607" s="23"/>
      <c r="AH4607" s="23"/>
      <c r="AI4607" s="49"/>
    </row>
    <row r="4608" spans="1:35">
      <c r="A4608" s="50"/>
      <c r="B4608" s="42"/>
      <c r="C4608" s="49"/>
      <c r="E4608" s="49"/>
      <c r="G4608" s="43"/>
      <c r="H4608" s="44"/>
      <c r="L4608" s="42"/>
      <c r="M4608" s="42"/>
      <c r="N4608" s="25"/>
      <c r="O4608" s="54"/>
      <c r="P4608"/>
      <c r="Q4608" s="25"/>
      <c r="R4608" s="54"/>
      <c r="W4608" s="23"/>
      <c r="X4608" s="23"/>
      <c r="Y4608" s="23"/>
      <c r="Z4608" s="43"/>
      <c r="AA4608" s="23"/>
      <c r="AB4608" s="23"/>
      <c r="AC4608" s="23"/>
      <c r="AD4608" s="23"/>
      <c r="AE4608" s="23"/>
      <c r="AF4608" s="23"/>
      <c r="AG4608" s="23"/>
      <c r="AH4608" s="23"/>
      <c r="AI4608" s="49"/>
    </row>
    <row r="4609" spans="1:35">
      <c r="A4609" s="50"/>
      <c r="B4609" s="42"/>
      <c r="C4609" s="49"/>
      <c r="E4609" s="49"/>
      <c r="G4609" s="43"/>
      <c r="H4609" s="44"/>
      <c r="L4609" s="42"/>
      <c r="M4609" s="42"/>
      <c r="N4609" s="25"/>
      <c r="O4609" s="54"/>
      <c r="P4609"/>
      <c r="Q4609" s="25"/>
      <c r="R4609" s="54"/>
      <c r="W4609" s="23"/>
      <c r="X4609" s="23"/>
      <c r="Y4609" s="23"/>
      <c r="Z4609" s="43"/>
      <c r="AA4609" s="23"/>
      <c r="AB4609" s="23"/>
      <c r="AC4609" s="23"/>
      <c r="AD4609" s="23"/>
      <c r="AE4609" s="23"/>
      <c r="AF4609" s="23"/>
      <c r="AG4609" s="23"/>
      <c r="AH4609" s="23"/>
      <c r="AI4609" s="49"/>
    </row>
    <row r="4610" spans="1:35">
      <c r="A4610" s="50"/>
      <c r="B4610" s="42"/>
      <c r="C4610" s="49"/>
      <c r="E4610" s="49"/>
      <c r="G4610" s="43"/>
      <c r="H4610" s="44"/>
      <c r="L4610" s="42"/>
      <c r="M4610" s="42"/>
      <c r="N4610" s="25"/>
      <c r="O4610" s="54"/>
      <c r="P4610"/>
      <c r="Q4610" s="25"/>
      <c r="R4610" s="54"/>
      <c r="W4610" s="23"/>
      <c r="X4610" s="23"/>
      <c r="Y4610" s="23"/>
      <c r="Z4610" s="43"/>
      <c r="AA4610" s="23"/>
      <c r="AB4610" s="23"/>
      <c r="AC4610" s="23"/>
      <c r="AD4610" s="23"/>
      <c r="AE4610" s="23"/>
      <c r="AF4610" s="23"/>
      <c r="AG4610" s="23"/>
      <c r="AH4610" s="23"/>
      <c r="AI4610" s="49"/>
    </row>
    <row r="4611" spans="1:35">
      <c r="A4611" s="50"/>
      <c r="B4611" s="42"/>
      <c r="C4611" s="49"/>
      <c r="E4611" s="49"/>
      <c r="G4611" s="43"/>
      <c r="H4611" s="44"/>
      <c r="L4611" s="42"/>
      <c r="M4611" s="42"/>
      <c r="N4611" s="25"/>
      <c r="O4611" s="54"/>
      <c r="P4611"/>
      <c r="Q4611" s="25"/>
      <c r="R4611" s="54"/>
      <c r="W4611" s="23"/>
      <c r="X4611" s="23"/>
      <c r="Y4611" s="23"/>
      <c r="Z4611" s="43"/>
      <c r="AA4611" s="23"/>
      <c r="AB4611" s="23"/>
      <c r="AC4611" s="23"/>
      <c r="AD4611" s="23"/>
      <c r="AE4611" s="23"/>
      <c r="AF4611" s="23"/>
      <c r="AG4611" s="23"/>
      <c r="AH4611" s="23"/>
      <c r="AI4611" s="49"/>
    </row>
    <row r="4612" spans="1:35">
      <c r="A4612" s="50"/>
      <c r="B4612" s="42"/>
      <c r="C4612" s="49"/>
      <c r="E4612" s="49"/>
      <c r="G4612" s="43"/>
      <c r="H4612" s="44"/>
      <c r="L4612" s="42"/>
      <c r="M4612" s="42"/>
      <c r="N4612" s="25"/>
      <c r="O4612" s="54"/>
      <c r="P4612"/>
      <c r="Q4612" s="25"/>
      <c r="R4612" s="54"/>
      <c r="W4612" s="23"/>
      <c r="X4612" s="23"/>
      <c r="Y4612" s="23"/>
      <c r="Z4612" s="43"/>
      <c r="AA4612" s="23"/>
      <c r="AB4612" s="23"/>
      <c r="AC4612" s="23"/>
      <c r="AD4612" s="23"/>
      <c r="AE4612" s="23"/>
      <c r="AF4612" s="23"/>
      <c r="AG4612" s="23"/>
      <c r="AH4612" s="23"/>
      <c r="AI4612" s="49"/>
    </row>
    <row r="4613" spans="1:35">
      <c r="A4613" s="50"/>
      <c r="B4613" s="42"/>
      <c r="C4613" s="49"/>
      <c r="E4613" s="49"/>
      <c r="G4613" s="43"/>
      <c r="H4613" s="44"/>
      <c r="L4613" s="42"/>
      <c r="M4613" s="42"/>
      <c r="N4613" s="25"/>
      <c r="O4613" s="54"/>
      <c r="P4613"/>
      <c r="Q4613" s="25"/>
      <c r="R4613" s="54"/>
      <c r="W4613" s="23"/>
      <c r="X4613" s="23"/>
      <c r="Y4613" s="23"/>
      <c r="Z4613" s="43"/>
      <c r="AA4613" s="23"/>
      <c r="AB4613" s="23"/>
      <c r="AC4613" s="23"/>
      <c r="AD4613" s="23"/>
      <c r="AE4613" s="23"/>
      <c r="AF4613" s="23"/>
      <c r="AG4613" s="23"/>
      <c r="AH4613" s="23"/>
      <c r="AI4613" s="49"/>
    </row>
    <row r="4614" spans="1:35">
      <c r="A4614" s="50"/>
      <c r="B4614" s="42"/>
      <c r="C4614" s="49"/>
      <c r="E4614" s="49"/>
      <c r="G4614" s="43"/>
      <c r="H4614" s="44"/>
      <c r="L4614" s="42"/>
      <c r="M4614" s="42"/>
      <c r="N4614" s="25"/>
      <c r="O4614" s="54"/>
      <c r="P4614"/>
      <c r="Q4614" s="25"/>
      <c r="R4614" s="54"/>
      <c r="W4614" s="23"/>
      <c r="X4614" s="23"/>
      <c r="Y4614" s="23"/>
      <c r="Z4614" s="43"/>
      <c r="AA4614" s="23"/>
      <c r="AB4614" s="23"/>
      <c r="AC4614" s="23"/>
      <c r="AD4614" s="23"/>
      <c r="AE4614" s="23"/>
      <c r="AF4614" s="23"/>
      <c r="AG4614" s="23"/>
      <c r="AH4614" s="23"/>
      <c r="AI4614" s="49"/>
    </row>
    <row r="4615" spans="1:35">
      <c r="A4615" s="50"/>
      <c r="B4615" s="42"/>
      <c r="C4615" s="49"/>
      <c r="E4615" s="49"/>
      <c r="G4615" s="43"/>
      <c r="H4615" s="44"/>
      <c r="L4615" s="42"/>
      <c r="M4615" s="42"/>
      <c r="N4615" s="25"/>
      <c r="O4615" s="54"/>
      <c r="P4615"/>
      <c r="Q4615" s="25"/>
      <c r="R4615" s="54"/>
      <c r="W4615" s="23"/>
      <c r="X4615" s="23"/>
      <c r="Y4615" s="23"/>
      <c r="Z4615" s="43"/>
      <c r="AA4615" s="23"/>
      <c r="AB4615" s="23"/>
      <c r="AC4615" s="23"/>
      <c r="AD4615" s="23"/>
      <c r="AE4615" s="23"/>
      <c r="AF4615" s="23"/>
      <c r="AG4615" s="23"/>
      <c r="AH4615" s="23"/>
      <c r="AI4615" s="49"/>
    </row>
    <row r="4616" spans="1:35">
      <c r="A4616" s="50"/>
      <c r="B4616" s="42"/>
      <c r="C4616" s="49"/>
      <c r="E4616" s="49"/>
      <c r="G4616" s="43"/>
      <c r="H4616" s="44"/>
      <c r="L4616" s="42"/>
      <c r="M4616" s="42"/>
      <c r="N4616" s="25"/>
      <c r="O4616" s="54"/>
      <c r="P4616"/>
      <c r="Q4616" s="25"/>
      <c r="R4616" s="54"/>
      <c r="W4616" s="23"/>
      <c r="X4616" s="23"/>
      <c r="Y4616" s="23"/>
      <c r="Z4616" s="43"/>
      <c r="AA4616" s="23"/>
      <c r="AB4616" s="23"/>
      <c r="AC4616" s="23"/>
      <c r="AD4616" s="23"/>
      <c r="AE4616" s="23"/>
      <c r="AF4616" s="23"/>
      <c r="AG4616" s="23"/>
      <c r="AH4616" s="23"/>
      <c r="AI4616" s="49"/>
    </row>
    <row r="4617" spans="1:35">
      <c r="A4617" s="50"/>
      <c r="B4617" s="42"/>
      <c r="C4617" s="49"/>
      <c r="E4617" s="49"/>
      <c r="G4617" s="43"/>
      <c r="H4617" s="44"/>
      <c r="L4617" s="42"/>
      <c r="M4617" s="42"/>
      <c r="N4617" s="25"/>
      <c r="O4617" s="54"/>
      <c r="P4617"/>
      <c r="Q4617" s="25"/>
      <c r="R4617" s="54"/>
      <c r="W4617" s="23"/>
      <c r="X4617" s="23"/>
      <c r="Y4617" s="23"/>
      <c r="Z4617" s="43"/>
      <c r="AA4617" s="23"/>
      <c r="AB4617" s="23"/>
      <c r="AC4617" s="23"/>
      <c r="AD4617" s="23"/>
      <c r="AE4617" s="23"/>
      <c r="AF4617" s="23"/>
      <c r="AG4617" s="23"/>
      <c r="AH4617" s="23"/>
      <c r="AI4617" s="49"/>
    </row>
    <row r="4618" spans="1:35">
      <c r="A4618" s="50"/>
      <c r="B4618" s="42"/>
      <c r="C4618" s="49"/>
      <c r="E4618" s="49"/>
      <c r="G4618" s="43"/>
      <c r="H4618" s="44"/>
      <c r="L4618" s="42"/>
      <c r="M4618" s="42"/>
      <c r="N4618" s="25"/>
      <c r="O4618" s="54"/>
      <c r="P4618"/>
      <c r="Q4618" s="25"/>
      <c r="R4618" s="54"/>
      <c r="W4618" s="23"/>
      <c r="X4618" s="23"/>
      <c r="Y4618" s="23"/>
      <c r="Z4618" s="43"/>
      <c r="AA4618" s="23"/>
      <c r="AB4618" s="23"/>
      <c r="AC4618" s="23"/>
      <c r="AD4618" s="23"/>
      <c r="AE4618" s="23"/>
      <c r="AF4618" s="23"/>
      <c r="AG4618" s="23"/>
      <c r="AH4618" s="23"/>
      <c r="AI4618" s="49"/>
    </row>
    <row r="4619" spans="1:35">
      <c r="A4619" s="50"/>
      <c r="B4619" s="42"/>
      <c r="C4619" s="49"/>
      <c r="E4619" s="49"/>
      <c r="G4619" s="43"/>
      <c r="H4619" s="44"/>
      <c r="L4619" s="42"/>
      <c r="M4619" s="42"/>
      <c r="N4619" s="25"/>
      <c r="O4619" s="54"/>
      <c r="P4619"/>
      <c r="Q4619" s="25"/>
      <c r="R4619" s="54"/>
      <c r="W4619" s="23"/>
      <c r="X4619" s="23"/>
      <c r="Y4619" s="23"/>
      <c r="Z4619" s="43"/>
      <c r="AA4619" s="23"/>
      <c r="AB4619" s="23"/>
      <c r="AC4619" s="23"/>
      <c r="AD4619" s="23"/>
      <c r="AE4619" s="23"/>
      <c r="AF4619" s="23"/>
      <c r="AG4619" s="23"/>
      <c r="AH4619" s="23"/>
      <c r="AI4619" s="49"/>
    </row>
    <row r="4620" spans="1:35">
      <c r="A4620" s="50"/>
      <c r="B4620" s="42"/>
      <c r="C4620" s="49"/>
      <c r="E4620" s="49"/>
      <c r="G4620" s="43"/>
      <c r="H4620" s="44"/>
      <c r="L4620" s="42"/>
      <c r="M4620" s="42"/>
      <c r="N4620" s="25"/>
      <c r="O4620" s="54"/>
      <c r="P4620"/>
      <c r="Q4620" s="25"/>
      <c r="R4620" s="54"/>
      <c r="W4620" s="23"/>
      <c r="X4620" s="23"/>
      <c r="Y4620" s="23"/>
      <c r="Z4620" s="43"/>
      <c r="AA4620" s="23"/>
      <c r="AB4620" s="23"/>
      <c r="AC4620" s="23"/>
      <c r="AD4620" s="23"/>
      <c r="AE4620" s="23"/>
      <c r="AF4620" s="23"/>
      <c r="AG4620" s="23"/>
      <c r="AH4620" s="23"/>
      <c r="AI4620" s="49"/>
    </row>
    <row r="4621" spans="1:35">
      <c r="A4621" s="50"/>
      <c r="B4621" s="42"/>
      <c r="C4621" s="49"/>
      <c r="E4621" s="49"/>
      <c r="G4621" s="43"/>
      <c r="H4621" s="44"/>
      <c r="L4621" s="42"/>
      <c r="M4621" s="42"/>
      <c r="N4621" s="25"/>
      <c r="O4621" s="54"/>
      <c r="P4621"/>
      <c r="Q4621" s="25"/>
      <c r="R4621" s="54"/>
      <c r="W4621" s="23"/>
      <c r="X4621" s="23"/>
      <c r="Y4621" s="23"/>
      <c r="Z4621" s="43"/>
      <c r="AA4621" s="23"/>
      <c r="AB4621" s="23"/>
      <c r="AC4621" s="23"/>
      <c r="AD4621" s="23"/>
      <c r="AE4621" s="23"/>
      <c r="AF4621" s="23"/>
      <c r="AG4621" s="23"/>
      <c r="AH4621" s="23"/>
      <c r="AI4621" s="49"/>
    </row>
    <row r="4622" spans="1:35">
      <c r="A4622" s="50"/>
      <c r="B4622" s="42"/>
      <c r="C4622" s="49"/>
      <c r="E4622" s="49"/>
      <c r="G4622" s="43"/>
      <c r="H4622" s="44"/>
      <c r="L4622" s="42"/>
      <c r="M4622" s="42"/>
      <c r="N4622" s="25"/>
      <c r="O4622" s="54"/>
      <c r="P4622"/>
      <c r="Q4622" s="25"/>
      <c r="R4622" s="54"/>
      <c r="W4622" s="23"/>
      <c r="X4622" s="23"/>
      <c r="Y4622" s="23"/>
      <c r="Z4622" s="43"/>
      <c r="AA4622" s="23"/>
      <c r="AB4622" s="23"/>
      <c r="AC4622" s="23"/>
      <c r="AD4622" s="23"/>
      <c r="AE4622" s="23"/>
      <c r="AF4622" s="23"/>
      <c r="AG4622" s="23"/>
      <c r="AH4622" s="23"/>
      <c r="AI4622" s="49"/>
    </row>
    <row r="4623" spans="1:35">
      <c r="A4623" s="50"/>
      <c r="B4623" s="42"/>
      <c r="C4623" s="49"/>
      <c r="E4623" s="49"/>
      <c r="G4623" s="43"/>
      <c r="H4623" s="44"/>
      <c r="L4623" s="42"/>
      <c r="M4623" s="42"/>
      <c r="N4623" s="25"/>
      <c r="O4623" s="54"/>
      <c r="P4623"/>
      <c r="Q4623" s="25"/>
      <c r="R4623" s="54"/>
      <c r="W4623" s="23"/>
      <c r="X4623" s="23"/>
      <c r="Y4623" s="23"/>
      <c r="Z4623" s="43"/>
      <c r="AA4623" s="23"/>
      <c r="AB4623" s="23"/>
      <c r="AC4623" s="23"/>
      <c r="AD4623" s="23"/>
      <c r="AE4623" s="23"/>
      <c r="AF4623" s="23"/>
      <c r="AG4623" s="23"/>
      <c r="AH4623" s="23"/>
      <c r="AI4623" s="49"/>
    </row>
    <row r="4624" spans="1:35">
      <c r="A4624" s="50"/>
      <c r="B4624" s="42"/>
      <c r="C4624" s="49"/>
      <c r="E4624" s="49"/>
      <c r="G4624" s="43"/>
      <c r="H4624" s="44"/>
      <c r="L4624" s="42"/>
      <c r="M4624" s="42"/>
      <c r="N4624" s="25"/>
      <c r="O4624" s="54"/>
      <c r="P4624"/>
      <c r="Q4624" s="25"/>
      <c r="R4624" s="54"/>
      <c r="W4624" s="23"/>
      <c r="X4624" s="23"/>
      <c r="Y4624" s="23"/>
      <c r="Z4624" s="43"/>
      <c r="AA4624" s="23"/>
      <c r="AB4624" s="23"/>
      <c r="AC4624" s="23"/>
      <c r="AD4624" s="23"/>
      <c r="AE4624" s="23"/>
      <c r="AF4624" s="23"/>
      <c r="AG4624" s="23"/>
      <c r="AH4624" s="23"/>
      <c r="AI4624" s="49"/>
    </row>
    <row r="4625" spans="1:35">
      <c r="A4625" s="50"/>
      <c r="B4625" s="42"/>
      <c r="C4625" s="49"/>
      <c r="E4625" s="49"/>
      <c r="G4625" s="43"/>
      <c r="H4625" s="44"/>
      <c r="L4625" s="42"/>
      <c r="M4625" s="42"/>
      <c r="N4625" s="25"/>
      <c r="O4625" s="54"/>
      <c r="P4625"/>
      <c r="Q4625" s="25"/>
      <c r="R4625" s="54"/>
      <c r="W4625" s="23"/>
      <c r="X4625" s="23"/>
      <c r="Y4625" s="23"/>
      <c r="Z4625" s="43"/>
      <c r="AA4625" s="23"/>
      <c r="AB4625" s="23"/>
      <c r="AC4625" s="23"/>
      <c r="AD4625" s="23"/>
      <c r="AE4625" s="23"/>
      <c r="AF4625" s="23"/>
      <c r="AG4625" s="23"/>
      <c r="AH4625" s="23"/>
      <c r="AI4625" s="49"/>
    </row>
    <row r="4626" spans="1:35">
      <c r="A4626" s="50"/>
      <c r="B4626" s="42"/>
      <c r="C4626" s="49"/>
      <c r="E4626" s="49"/>
      <c r="G4626" s="43"/>
      <c r="H4626" s="44"/>
      <c r="L4626" s="42"/>
      <c r="M4626" s="42"/>
      <c r="N4626" s="25"/>
      <c r="O4626" s="54"/>
      <c r="P4626"/>
      <c r="Q4626" s="25"/>
      <c r="R4626" s="54"/>
      <c r="W4626" s="23"/>
      <c r="X4626" s="23"/>
      <c r="Y4626" s="23"/>
      <c r="Z4626" s="43"/>
      <c r="AA4626" s="23"/>
      <c r="AB4626" s="23"/>
      <c r="AC4626" s="23"/>
      <c r="AD4626" s="23"/>
      <c r="AE4626" s="23"/>
      <c r="AF4626" s="23"/>
      <c r="AG4626" s="23"/>
      <c r="AH4626" s="23"/>
      <c r="AI4626" s="49"/>
    </row>
    <row r="4627" spans="1:35">
      <c r="A4627" s="50"/>
      <c r="B4627" s="42"/>
      <c r="C4627" s="49"/>
      <c r="E4627" s="49"/>
      <c r="G4627" s="43"/>
      <c r="H4627" s="44"/>
      <c r="L4627" s="42"/>
      <c r="M4627" s="42"/>
      <c r="N4627" s="25"/>
      <c r="O4627" s="54"/>
      <c r="P4627"/>
      <c r="Q4627" s="25"/>
      <c r="R4627" s="54"/>
      <c r="W4627" s="23"/>
      <c r="X4627" s="23"/>
      <c r="Y4627" s="23"/>
      <c r="Z4627" s="43"/>
      <c r="AA4627" s="23"/>
      <c r="AB4627" s="23"/>
      <c r="AC4627" s="23"/>
      <c r="AD4627" s="23"/>
      <c r="AE4627" s="23"/>
      <c r="AF4627" s="23"/>
      <c r="AG4627" s="23"/>
      <c r="AH4627" s="23"/>
      <c r="AI4627" s="49"/>
    </row>
    <row r="4628" spans="1:35">
      <c r="A4628" s="50"/>
      <c r="B4628" s="42"/>
      <c r="C4628" s="49"/>
      <c r="E4628" s="49"/>
      <c r="G4628" s="43"/>
      <c r="H4628" s="44"/>
      <c r="L4628" s="42"/>
      <c r="M4628" s="42"/>
      <c r="N4628" s="25"/>
      <c r="O4628" s="54"/>
      <c r="P4628"/>
      <c r="Q4628" s="25"/>
      <c r="R4628" s="54"/>
      <c r="W4628" s="23"/>
      <c r="X4628" s="23"/>
      <c r="Y4628" s="23"/>
      <c r="Z4628" s="43"/>
      <c r="AA4628" s="23"/>
      <c r="AB4628" s="23"/>
      <c r="AC4628" s="23"/>
      <c r="AD4628" s="23"/>
      <c r="AE4628" s="23"/>
      <c r="AF4628" s="23"/>
      <c r="AG4628" s="23"/>
      <c r="AH4628" s="23"/>
      <c r="AI4628" s="49"/>
    </row>
    <row r="4629" spans="1:35">
      <c r="A4629" s="23"/>
      <c r="B4629" s="42"/>
      <c r="C4629" s="49"/>
      <c r="E4629" s="49"/>
      <c r="G4629" s="43"/>
      <c r="H4629" s="44"/>
      <c r="L4629" s="42"/>
      <c r="M4629" s="42"/>
      <c r="N4629" s="25"/>
      <c r="O4629" s="54"/>
      <c r="P4629"/>
      <c r="Q4629" s="25"/>
      <c r="R4629" s="54"/>
      <c r="W4629" s="23"/>
      <c r="X4629" s="23"/>
      <c r="Y4629" s="23"/>
      <c r="Z4629" s="43"/>
      <c r="AA4629" s="23"/>
      <c r="AB4629" s="23"/>
      <c r="AC4629" s="23"/>
      <c r="AD4629" s="23"/>
      <c r="AE4629" s="23"/>
      <c r="AF4629" s="23"/>
      <c r="AG4629" s="23"/>
      <c r="AH4629" s="23"/>
      <c r="AI4629" s="23"/>
    </row>
    <row r="4630" spans="1:35">
      <c r="A4630" s="23"/>
      <c r="B4630" s="42"/>
      <c r="C4630" s="49"/>
      <c r="E4630" s="49"/>
      <c r="G4630" s="43"/>
      <c r="H4630" s="44"/>
      <c r="L4630" s="42"/>
      <c r="M4630" s="42"/>
      <c r="N4630" s="25"/>
      <c r="O4630" s="54"/>
      <c r="P4630"/>
      <c r="Q4630" s="25"/>
      <c r="R4630" s="54"/>
      <c r="W4630" s="23"/>
      <c r="X4630" s="23"/>
      <c r="Y4630" s="23"/>
      <c r="Z4630" s="43"/>
      <c r="AA4630" s="23"/>
      <c r="AB4630" s="23"/>
      <c r="AC4630" s="23"/>
      <c r="AD4630" s="23"/>
      <c r="AE4630" s="23"/>
      <c r="AF4630" s="23"/>
      <c r="AG4630" s="23"/>
      <c r="AH4630" s="23"/>
      <c r="AI4630" s="23"/>
    </row>
    <row r="4631" spans="1:35">
      <c r="A4631" s="23"/>
      <c r="B4631" s="42"/>
      <c r="C4631" s="49"/>
      <c r="E4631" s="49"/>
      <c r="G4631" s="43"/>
      <c r="H4631" s="44"/>
      <c r="L4631" s="42"/>
      <c r="M4631" s="42"/>
      <c r="N4631" s="25"/>
      <c r="O4631" s="54"/>
      <c r="P4631"/>
      <c r="Q4631" s="25"/>
      <c r="R4631" s="54"/>
      <c r="W4631" s="23"/>
      <c r="X4631" s="23"/>
      <c r="Y4631" s="23"/>
      <c r="Z4631" s="43"/>
      <c r="AA4631" s="23"/>
      <c r="AB4631" s="23"/>
      <c r="AC4631" s="23"/>
      <c r="AD4631" s="23"/>
      <c r="AE4631" s="23"/>
      <c r="AF4631" s="23"/>
      <c r="AG4631" s="23"/>
      <c r="AH4631" s="23"/>
      <c r="AI4631" s="23"/>
    </row>
    <row r="4632" spans="1:35">
      <c r="A4632" s="23"/>
      <c r="B4632" s="42"/>
      <c r="C4632" s="49"/>
      <c r="E4632" s="49"/>
      <c r="G4632" s="43"/>
      <c r="H4632" s="44"/>
      <c r="L4632" s="42"/>
      <c r="M4632" s="42"/>
      <c r="N4632" s="25"/>
      <c r="O4632" s="54"/>
      <c r="P4632"/>
      <c r="Q4632" s="25"/>
      <c r="R4632" s="54"/>
      <c r="W4632" s="23"/>
      <c r="X4632" s="23"/>
      <c r="Y4632" s="23"/>
      <c r="Z4632" s="43"/>
      <c r="AA4632" s="23"/>
      <c r="AB4632" s="23"/>
      <c r="AC4632" s="23"/>
      <c r="AD4632" s="23"/>
      <c r="AE4632" s="23"/>
      <c r="AF4632" s="23"/>
      <c r="AG4632" s="23"/>
      <c r="AH4632" s="23"/>
      <c r="AI4632" s="23"/>
    </row>
    <row r="4633" spans="1:35">
      <c r="A4633" s="23"/>
      <c r="B4633" s="42"/>
      <c r="C4633" s="49"/>
      <c r="E4633" s="49"/>
      <c r="G4633" s="43"/>
      <c r="H4633" s="44"/>
      <c r="L4633" s="42"/>
      <c r="M4633" s="42"/>
      <c r="N4633" s="25"/>
      <c r="O4633" s="54"/>
      <c r="P4633"/>
      <c r="Q4633" s="25"/>
      <c r="R4633" s="54"/>
      <c r="W4633" s="23"/>
      <c r="X4633" s="23"/>
      <c r="Y4633" s="23"/>
      <c r="Z4633" s="43"/>
      <c r="AA4633" s="23"/>
      <c r="AB4633" s="23"/>
      <c r="AC4633" s="23"/>
      <c r="AD4633" s="23"/>
      <c r="AE4633" s="23"/>
      <c r="AF4633" s="23"/>
      <c r="AG4633" s="23"/>
      <c r="AH4633" s="23"/>
      <c r="AI4633" s="23"/>
    </row>
    <row r="4634" spans="1:35">
      <c r="A4634" s="23"/>
      <c r="B4634" s="42"/>
      <c r="C4634" s="49"/>
      <c r="E4634" s="49"/>
      <c r="G4634" s="43"/>
      <c r="H4634" s="44"/>
      <c r="L4634" s="42"/>
      <c r="M4634" s="42"/>
      <c r="N4634" s="25"/>
      <c r="O4634" s="54"/>
      <c r="P4634"/>
      <c r="Q4634" s="25"/>
      <c r="R4634" s="54"/>
      <c r="W4634" s="23"/>
      <c r="X4634" s="23"/>
      <c r="Y4634" s="23"/>
      <c r="Z4634" s="43"/>
      <c r="AA4634" s="23"/>
      <c r="AB4634" s="23"/>
      <c r="AC4634" s="23"/>
      <c r="AD4634" s="23"/>
      <c r="AE4634" s="23"/>
      <c r="AF4634" s="23"/>
      <c r="AG4634" s="23"/>
      <c r="AH4634" s="23"/>
      <c r="AI4634" s="23"/>
    </row>
    <row r="4635" spans="1:35">
      <c r="A4635" s="23"/>
      <c r="B4635" s="42"/>
      <c r="C4635" s="49"/>
      <c r="E4635" s="49"/>
      <c r="G4635" s="43"/>
      <c r="H4635" s="44"/>
      <c r="L4635" s="42"/>
      <c r="M4635" s="42"/>
      <c r="N4635" s="25"/>
      <c r="O4635" s="54"/>
      <c r="P4635"/>
      <c r="Q4635" s="25"/>
      <c r="R4635" s="54"/>
      <c r="W4635" s="23"/>
      <c r="X4635" s="23"/>
      <c r="Y4635" s="23"/>
      <c r="Z4635" s="43"/>
      <c r="AA4635" s="23"/>
      <c r="AB4635" s="23"/>
      <c r="AC4635" s="23"/>
      <c r="AD4635" s="23"/>
      <c r="AE4635" s="23"/>
      <c r="AF4635" s="23"/>
      <c r="AG4635" s="23"/>
      <c r="AH4635" s="23"/>
      <c r="AI4635" s="23"/>
    </row>
    <row r="4636" spans="1:35">
      <c r="A4636" s="23"/>
      <c r="B4636" s="42"/>
      <c r="C4636" s="49"/>
      <c r="E4636" s="49"/>
      <c r="G4636" s="43"/>
      <c r="H4636" s="44"/>
      <c r="L4636" s="42"/>
      <c r="M4636" s="42"/>
      <c r="N4636" s="25"/>
      <c r="O4636" s="54"/>
      <c r="P4636"/>
      <c r="Q4636" s="25"/>
      <c r="R4636" s="54"/>
      <c r="W4636" s="23"/>
      <c r="X4636" s="23"/>
      <c r="Y4636" s="23"/>
      <c r="Z4636" s="43"/>
      <c r="AA4636" s="23"/>
      <c r="AB4636" s="23"/>
      <c r="AC4636" s="23"/>
      <c r="AD4636" s="23"/>
      <c r="AE4636" s="23"/>
      <c r="AF4636" s="23"/>
      <c r="AG4636" s="23"/>
      <c r="AH4636" s="23"/>
      <c r="AI4636" s="23"/>
    </row>
    <row r="4637" spans="1:35">
      <c r="A4637" s="23"/>
      <c r="B4637" s="42"/>
      <c r="C4637" s="49"/>
      <c r="E4637" s="49"/>
      <c r="G4637" s="43"/>
      <c r="H4637" s="44"/>
      <c r="L4637" s="42"/>
      <c r="M4637" s="42"/>
      <c r="N4637" s="25"/>
      <c r="O4637" s="54"/>
      <c r="P4637"/>
      <c r="Q4637" s="25"/>
      <c r="R4637" s="54"/>
      <c r="W4637" s="23"/>
      <c r="X4637" s="23"/>
      <c r="Y4637" s="23"/>
      <c r="Z4637" s="43"/>
      <c r="AA4637" s="23"/>
      <c r="AB4637" s="23"/>
      <c r="AC4637" s="23"/>
      <c r="AD4637" s="23"/>
      <c r="AE4637" s="23"/>
      <c r="AF4637" s="23"/>
      <c r="AG4637" s="23"/>
      <c r="AH4637" s="23"/>
      <c r="AI4637" s="23"/>
    </row>
    <row r="4638" spans="1:35">
      <c r="A4638" s="23"/>
      <c r="B4638" s="42"/>
      <c r="C4638" s="49"/>
      <c r="E4638" s="49"/>
      <c r="G4638" s="43"/>
      <c r="H4638" s="44"/>
      <c r="L4638" s="42"/>
      <c r="M4638" s="42"/>
      <c r="N4638" s="25"/>
      <c r="O4638" s="54"/>
      <c r="P4638"/>
      <c r="Q4638" s="25"/>
      <c r="R4638" s="54"/>
      <c r="W4638" s="23"/>
      <c r="X4638" s="23"/>
      <c r="Y4638" s="23"/>
      <c r="Z4638" s="43"/>
      <c r="AA4638" s="23"/>
      <c r="AB4638" s="23"/>
      <c r="AC4638" s="23"/>
      <c r="AD4638" s="23"/>
      <c r="AE4638" s="23"/>
      <c r="AF4638" s="23"/>
      <c r="AG4638" s="23"/>
      <c r="AH4638" s="23"/>
      <c r="AI4638" s="23"/>
    </row>
    <row r="4639" spans="1:35">
      <c r="A4639" s="23"/>
      <c r="B4639" s="42"/>
      <c r="C4639" s="49"/>
      <c r="E4639" s="49"/>
      <c r="G4639" s="43"/>
      <c r="H4639" s="44"/>
      <c r="L4639" s="42"/>
      <c r="M4639" s="42"/>
      <c r="N4639" s="25"/>
      <c r="O4639" s="54"/>
      <c r="P4639"/>
      <c r="Q4639" s="25"/>
      <c r="R4639" s="54"/>
      <c r="W4639" s="23"/>
      <c r="X4639" s="23"/>
      <c r="Y4639" s="23"/>
      <c r="Z4639" s="43"/>
      <c r="AA4639" s="23"/>
      <c r="AB4639" s="23"/>
      <c r="AC4639" s="23"/>
      <c r="AD4639" s="23"/>
      <c r="AE4639" s="23"/>
      <c r="AF4639" s="23"/>
      <c r="AG4639" s="23"/>
      <c r="AH4639" s="23"/>
      <c r="AI4639" s="23"/>
    </row>
    <row r="4640" spans="1:35">
      <c r="A4640" s="23"/>
      <c r="B4640" s="42"/>
      <c r="C4640" s="49"/>
      <c r="E4640" s="49"/>
      <c r="G4640" s="43"/>
      <c r="H4640" s="44"/>
      <c r="L4640" s="42"/>
      <c r="M4640" s="42"/>
      <c r="N4640" s="25"/>
      <c r="O4640" s="54"/>
      <c r="P4640"/>
      <c r="Q4640" s="25"/>
      <c r="R4640" s="54"/>
      <c r="W4640" s="23"/>
      <c r="X4640" s="23"/>
      <c r="Y4640" s="23"/>
      <c r="Z4640" s="43"/>
      <c r="AA4640" s="23"/>
      <c r="AB4640" s="23"/>
      <c r="AC4640" s="23"/>
      <c r="AD4640" s="23"/>
      <c r="AE4640" s="23"/>
      <c r="AF4640" s="23"/>
      <c r="AG4640" s="23"/>
      <c r="AH4640" s="23"/>
      <c r="AI4640" s="23"/>
    </row>
    <row r="4641" spans="1:35">
      <c r="A4641" s="23"/>
      <c r="B4641" s="42"/>
      <c r="C4641" s="49"/>
      <c r="E4641" s="49"/>
      <c r="G4641" s="43"/>
      <c r="H4641" s="44"/>
      <c r="L4641" s="42"/>
      <c r="M4641" s="42"/>
      <c r="N4641" s="25"/>
      <c r="O4641" s="54"/>
      <c r="P4641"/>
      <c r="Q4641" s="25"/>
      <c r="R4641" s="54"/>
      <c r="W4641" s="23"/>
      <c r="X4641" s="23"/>
      <c r="Y4641" s="23"/>
      <c r="Z4641" s="43"/>
      <c r="AA4641" s="23"/>
      <c r="AB4641" s="23"/>
      <c r="AC4641" s="23"/>
      <c r="AD4641" s="23"/>
      <c r="AE4641" s="23"/>
      <c r="AF4641" s="23"/>
      <c r="AG4641" s="23"/>
      <c r="AH4641" s="23"/>
      <c r="AI4641" s="23"/>
    </row>
    <row r="4642" spans="1:35">
      <c r="A4642" s="23"/>
      <c r="B4642" s="42"/>
      <c r="C4642" s="49"/>
      <c r="E4642" s="49"/>
      <c r="G4642" s="43"/>
      <c r="H4642" s="44"/>
      <c r="L4642" s="42"/>
      <c r="M4642" s="42"/>
      <c r="N4642" s="25"/>
      <c r="O4642" s="54"/>
      <c r="P4642"/>
      <c r="Q4642" s="25"/>
      <c r="R4642" s="54"/>
      <c r="W4642" s="23"/>
      <c r="X4642" s="23"/>
      <c r="Y4642" s="23"/>
      <c r="Z4642" s="43"/>
      <c r="AA4642" s="23"/>
      <c r="AB4642" s="23"/>
      <c r="AC4642" s="23"/>
      <c r="AD4642" s="23"/>
      <c r="AE4642" s="23"/>
      <c r="AF4642" s="23"/>
      <c r="AG4642" s="23"/>
      <c r="AH4642" s="23"/>
      <c r="AI4642" s="23"/>
    </row>
    <row r="4643" spans="1:35">
      <c r="A4643" s="50"/>
      <c r="B4643" s="42"/>
      <c r="C4643" s="49"/>
      <c r="E4643" s="49"/>
      <c r="G4643" s="43"/>
      <c r="H4643" s="44"/>
      <c r="L4643" s="42"/>
      <c r="M4643" s="42"/>
      <c r="N4643" s="25"/>
      <c r="O4643" s="54"/>
      <c r="P4643"/>
      <c r="Q4643" s="25"/>
      <c r="R4643" s="54"/>
      <c r="W4643" s="23"/>
      <c r="X4643" s="23"/>
      <c r="Y4643" s="23"/>
      <c r="Z4643" s="43"/>
      <c r="AA4643" s="23"/>
      <c r="AB4643" s="23"/>
      <c r="AC4643" s="23"/>
      <c r="AD4643" s="23"/>
      <c r="AE4643" s="23"/>
      <c r="AF4643" s="23"/>
      <c r="AG4643" s="23"/>
      <c r="AH4643" s="23"/>
      <c r="AI4643" s="49"/>
    </row>
    <row r="4644" spans="1:35">
      <c r="A4644" s="23"/>
      <c r="B4644" s="42"/>
      <c r="C4644" s="49"/>
      <c r="E4644" s="49"/>
      <c r="G4644" s="43"/>
      <c r="H4644" s="44"/>
      <c r="L4644" s="42"/>
      <c r="M4644" s="42"/>
      <c r="N4644" s="25"/>
      <c r="O4644" s="54"/>
      <c r="P4644"/>
      <c r="Q4644" s="25"/>
      <c r="R4644" s="54"/>
      <c r="W4644" s="23"/>
      <c r="X4644" s="23"/>
      <c r="Y4644" s="23"/>
      <c r="Z4644" s="43"/>
      <c r="AA4644" s="23"/>
      <c r="AB4644" s="23"/>
      <c r="AC4644" s="23"/>
      <c r="AD4644" s="23"/>
      <c r="AE4644" s="23"/>
      <c r="AF4644" s="23"/>
      <c r="AG4644" s="23"/>
      <c r="AH4644" s="23"/>
      <c r="AI4644" s="23"/>
    </row>
    <row r="4645" spans="1:35">
      <c r="A4645" s="23"/>
      <c r="B4645" s="42"/>
      <c r="C4645" s="49"/>
      <c r="E4645" s="49"/>
      <c r="G4645" s="43"/>
      <c r="H4645" s="44"/>
      <c r="L4645" s="42"/>
      <c r="M4645" s="42"/>
      <c r="N4645" s="25"/>
      <c r="O4645" s="54"/>
      <c r="P4645"/>
      <c r="Q4645" s="25"/>
      <c r="R4645" s="54"/>
      <c r="W4645" s="23"/>
      <c r="X4645" s="23"/>
      <c r="Y4645" s="23"/>
      <c r="Z4645" s="43"/>
      <c r="AA4645" s="23"/>
      <c r="AB4645" s="23"/>
      <c r="AC4645" s="23"/>
      <c r="AD4645" s="23"/>
      <c r="AE4645" s="23"/>
      <c r="AF4645" s="23"/>
      <c r="AG4645" s="23"/>
      <c r="AH4645" s="23"/>
      <c r="AI4645" s="23"/>
    </row>
    <row r="4646" spans="1:35">
      <c r="A4646" s="23"/>
      <c r="B4646" s="42"/>
      <c r="C4646" s="49"/>
      <c r="E4646" s="49"/>
      <c r="G4646" s="43"/>
      <c r="H4646" s="44"/>
      <c r="L4646" s="42"/>
      <c r="M4646" s="42"/>
      <c r="N4646" s="25"/>
      <c r="O4646" s="54"/>
      <c r="P4646"/>
      <c r="Q4646" s="25"/>
      <c r="R4646" s="54"/>
      <c r="W4646" s="23"/>
      <c r="X4646" s="23"/>
      <c r="Y4646" s="23"/>
      <c r="Z4646" s="43"/>
      <c r="AA4646" s="23"/>
      <c r="AB4646" s="23"/>
      <c r="AC4646" s="23"/>
      <c r="AD4646" s="23"/>
      <c r="AE4646" s="23"/>
      <c r="AF4646" s="23"/>
      <c r="AG4646" s="23"/>
      <c r="AH4646" s="23"/>
      <c r="AI4646" s="23"/>
    </row>
    <row r="4647" spans="1:35">
      <c r="A4647" s="50"/>
      <c r="B4647" s="42"/>
      <c r="C4647" s="49"/>
      <c r="E4647" s="49"/>
      <c r="G4647" s="43"/>
      <c r="H4647" s="44"/>
      <c r="L4647" s="42"/>
      <c r="M4647" s="42"/>
      <c r="N4647" s="25"/>
      <c r="O4647" s="54"/>
      <c r="P4647"/>
      <c r="Q4647" s="25"/>
      <c r="R4647" s="54"/>
      <c r="W4647" s="23"/>
      <c r="X4647" s="23"/>
      <c r="Y4647" s="23"/>
      <c r="Z4647" s="43"/>
      <c r="AA4647" s="23"/>
      <c r="AB4647" s="23"/>
      <c r="AC4647" s="23"/>
      <c r="AD4647" s="23"/>
      <c r="AE4647" s="23"/>
      <c r="AF4647" s="23"/>
      <c r="AG4647" s="23"/>
      <c r="AH4647" s="23"/>
      <c r="AI4647" s="49"/>
    </row>
    <row r="4648" spans="1:35">
      <c r="A4648" s="50"/>
      <c r="B4648" s="42"/>
      <c r="C4648" s="49"/>
      <c r="E4648" s="49"/>
      <c r="G4648" s="43"/>
      <c r="H4648" s="44"/>
      <c r="L4648" s="42"/>
      <c r="M4648" s="42"/>
      <c r="N4648" s="25"/>
      <c r="O4648" s="54"/>
      <c r="P4648"/>
      <c r="Q4648" s="25"/>
      <c r="R4648" s="54"/>
      <c r="W4648" s="23"/>
      <c r="X4648" s="23"/>
      <c r="Y4648" s="23"/>
      <c r="Z4648" s="43"/>
      <c r="AA4648" s="23"/>
      <c r="AB4648" s="23"/>
      <c r="AC4648" s="23"/>
      <c r="AD4648" s="23"/>
      <c r="AE4648" s="23"/>
      <c r="AF4648" s="23"/>
      <c r="AG4648" s="23"/>
      <c r="AH4648" s="23"/>
      <c r="AI4648" s="49"/>
    </row>
    <row r="4649" spans="1:35">
      <c r="A4649" s="23"/>
      <c r="B4649" s="42"/>
      <c r="C4649" s="49"/>
      <c r="E4649" s="49"/>
      <c r="G4649" s="43"/>
      <c r="H4649" s="44"/>
      <c r="L4649" s="42"/>
      <c r="M4649" s="42"/>
      <c r="N4649" s="25"/>
      <c r="O4649" s="54"/>
      <c r="P4649"/>
      <c r="Q4649" s="25"/>
      <c r="R4649" s="54"/>
      <c r="W4649" s="23"/>
      <c r="X4649" s="23"/>
      <c r="Y4649" s="23"/>
      <c r="Z4649" s="43"/>
      <c r="AA4649" s="23"/>
      <c r="AB4649" s="23"/>
      <c r="AC4649" s="23"/>
      <c r="AD4649" s="23"/>
      <c r="AE4649" s="23"/>
      <c r="AF4649" s="23"/>
      <c r="AG4649" s="23"/>
      <c r="AH4649" s="23"/>
      <c r="AI4649" s="23"/>
    </row>
    <row r="4650" spans="1:35">
      <c r="A4650" s="23"/>
      <c r="B4650" s="42"/>
      <c r="C4650" s="49"/>
      <c r="E4650" s="49"/>
      <c r="G4650" s="43"/>
      <c r="H4650" s="44"/>
      <c r="L4650" s="42"/>
      <c r="M4650" s="42"/>
      <c r="N4650" s="25"/>
      <c r="O4650" s="54"/>
      <c r="P4650"/>
      <c r="Q4650" s="25"/>
      <c r="R4650" s="54"/>
      <c r="W4650" s="23"/>
      <c r="X4650" s="23"/>
      <c r="Y4650" s="23"/>
      <c r="Z4650" s="43"/>
      <c r="AA4650" s="23"/>
      <c r="AB4650" s="23"/>
      <c r="AC4650" s="23"/>
      <c r="AD4650" s="23"/>
      <c r="AE4650" s="23"/>
      <c r="AF4650" s="23"/>
      <c r="AG4650" s="23"/>
      <c r="AH4650" s="23"/>
      <c r="AI4650" s="23"/>
    </row>
    <row r="4651" spans="1:35">
      <c r="A4651" s="50"/>
      <c r="B4651" s="42"/>
      <c r="C4651" s="49"/>
      <c r="E4651" s="49"/>
      <c r="G4651" s="43"/>
      <c r="H4651" s="44"/>
      <c r="L4651" s="42"/>
      <c r="M4651" s="42"/>
      <c r="N4651" s="25"/>
      <c r="O4651" s="54"/>
      <c r="P4651"/>
      <c r="Q4651" s="25"/>
      <c r="R4651" s="54"/>
      <c r="W4651" s="23"/>
      <c r="X4651" s="23"/>
      <c r="Y4651" s="23"/>
      <c r="Z4651" s="43"/>
      <c r="AA4651" s="23"/>
      <c r="AB4651" s="23"/>
      <c r="AC4651" s="23"/>
      <c r="AD4651" s="23"/>
      <c r="AE4651" s="23"/>
      <c r="AF4651" s="23"/>
      <c r="AG4651" s="23"/>
      <c r="AH4651" s="23"/>
      <c r="AI4651" s="49"/>
    </row>
    <row r="4652" spans="1:35">
      <c r="A4652" s="50"/>
      <c r="B4652" s="42"/>
      <c r="C4652" s="49"/>
      <c r="E4652" s="49"/>
      <c r="G4652" s="43"/>
      <c r="H4652" s="44"/>
      <c r="L4652" s="42"/>
      <c r="M4652" s="42"/>
      <c r="N4652" s="25"/>
      <c r="O4652" s="54"/>
      <c r="P4652"/>
      <c r="Q4652" s="25"/>
      <c r="R4652" s="54"/>
      <c r="W4652" s="23"/>
      <c r="X4652" s="23"/>
      <c r="Y4652" s="23"/>
      <c r="Z4652" s="43"/>
      <c r="AA4652" s="23"/>
      <c r="AB4652" s="23"/>
      <c r="AC4652" s="23"/>
      <c r="AD4652" s="23"/>
      <c r="AE4652" s="23"/>
      <c r="AF4652" s="23"/>
      <c r="AG4652" s="23"/>
      <c r="AH4652" s="23"/>
      <c r="AI4652" s="49"/>
    </row>
    <row r="4653" spans="1:35">
      <c r="A4653" s="50"/>
      <c r="B4653" s="42"/>
      <c r="C4653" s="49"/>
      <c r="E4653" s="49"/>
      <c r="G4653" s="43"/>
      <c r="H4653" s="44"/>
      <c r="L4653" s="42"/>
      <c r="M4653" s="42"/>
      <c r="N4653" s="25"/>
      <c r="O4653" s="54"/>
      <c r="P4653"/>
      <c r="Q4653" s="25"/>
      <c r="R4653" s="54"/>
      <c r="W4653" s="23"/>
      <c r="X4653" s="23"/>
      <c r="Y4653" s="23"/>
      <c r="Z4653" s="43"/>
      <c r="AA4653" s="23"/>
      <c r="AB4653" s="23"/>
      <c r="AC4653" s="23"/>
      <c r="AD4653" s="23"/>
      <c r="AE4653" s="23"/>
      <c r="AF4653" s="23"/>
      <c r="AG4653" s="23"/>
      <c r="AH4653" s="23"/>
      <c r="AI4653" s="49"/>
    </row>
    <row r="4654" spans="1:35">
      <c r="A4654" s="50"/>
      <c r="B4654" s="42"/>
      <c r="C4654" s="49"/>
      <c r="E4654" s="49"/>
      <c r="G4654" s="43"/>
      <c r="H4654" s="44"/>
      <c r="L4654" s="42"/>
      <c r="M4654" s="42"/>
      <c r="N4654" s="25"/>
      <c r="O4654" s="54"/>
      <c r="P4654"/>
      <c r="Q4654" s="25"/>
      <c r="R4654" s="54"/>
      <c r="W4654" s="23"/>
      <c r="X4654" s="23"/>
      <c r="Y4654" s="23"/>
      <c r="Z4654" s="43"/>
      <c r="AA4654" s="23"/>
      <c r="AB4654" s="23"/>
      <c r="AC4654" s="23"/>
      <c r="AD4654" s="23"/>
      <c r="AE4654" s="23"/>
      <c r="AF4654" s="23"/>
      <c r="AG4654" s="23"/>
      <c r="AH4654" s="23"/>
      <c r="AI4654" s="49"/>
    </row>
    <row r="4655" spans="1:35">
      <c r="A4655" s="50"/>
      <c r="B4655" s="42"/>
      <c r="C4655" s="49"/>
      <c r="E4655" s="49"/>
      <c r="G4655" s="43"/>
      <c r="H4655" s="44"/>
      <c r="L4655" s="42"/>
      <c r="M4655" s="42"/>
      <c r="N4655" s="25"/>
      <c r="O4655" s="54"/>
      <c r="P4655"/>
      <c r="Q4655" s="25"/>
      <c r="R4655" s="54"/>
      <c r="W4655" s="23"/>
      <c r="X4655" s="23"/>
      <c r="Y4655" s="23"/>
      <c r="Z4655" s="43"/>
      <c r="AA4655" s="23"/>
      <c r="AB4655" s="23"/>
      <c r="AC4655" s="23"/>
      <c r="AD4655" s="23"/>
      <c r="AE4655" s="23"/>
      <c r="AF4655" s="23"/>
      <c r="AG4655" s="23"/>
      <c r="AH4655" s="23"/>
      <c r="AI4655" s="49"/>
    </row>
    <row r="4656" spans="1:35">
      <c r="A4656" s="50"/>
      <c r="B4656" s="42"/>
      <c r="C4656" s="49"/>
      <c r="E4656" s="49"/>
      <c r="G4656" s="43"/>
      <c r="H4656" s="44"/>
      <c r="L4656" s="42"/>
      <c r="M4656" s="42"/>
      <c r="N4656" s="25"/>
      <c r="O4656" s="54"/>
      <c r="P4656"/>
      <c r="Q4656" s="25"/>
      <c r="R4656" s="54"/>
      <c r="W4656" s="23"/>
      <c r="X4656" s="23"/>
      <c r="Y4656" s="23"/>
      <c r="Z4656" s="43"/>
      <c r="AA4656" s="23"/>
      <c r="AB4656" s="23"/>
      <c r="AC4656" s="23"/>
      <c r="AD4656" s="23"/>
      <c r="AE4656" s="23"/>
      <c r="AF4656" s="23"/>
      <c r="AG4656" s="23"/>
      <c r="AH4656" s="23"/>
      <c r="AI4656" s="49"/>
    </row>
    <row r="4657" spans="1:35">
      <c r="A4657" s="50"/>
      <c r="B4657" s="42"/>
      <c r="C4657" s="49"/>
      <c r="E4657" s="49"/>
      <c r="G4657" s="43"/>
      <c r="H4657" s="44"/>
      <c r="L4657" s="42"/>
      <c r="M4657" s="42"/>
      <c r="N4657" s="25"/>
      <c r="O4657" s="54"/>
      <c r="P4657"/>
      <c r="Q4657" s="25"/>
      <c r="R4657" s="54"/>
      <c r="W4657" s="23"/>
      <c r="X4657" s="23"/>
      <c r="Y4657" s="23"/>
      <c r="Z4657" s="43"/>
      <c r="AA4657" s="23"/>
      <c r="AB4657" s="23"/>
      <c r="AC4657" s="23"/>
      <c r="AD4657" s="23"/>
      <c r="AE4657" s="23"/>
      <c r="AF4657" s="23"/>
      <c r="AG4657" s="23"/>
      <c r="AH4657" s="23"/>
      <c r="AI4657" s="49"/>
    </row>
    <row r="4658" spans="1:35">
      <c r="A4658" s="50"/>
      <c r="B4658" s="42"/>
      <c r="C4658" s="49"/>
      <c r="E4658" s="49"/>
      <c r="G4658" s="43"/>
      <c r="H4658" s="44"/>
      <c r="L4658" s="42"/>
      <c r="M4658" s="42"/>
      <c r="N4658" s="25"/>
      <c r="O4658" s="54"/>
      <c r="P4658"/>
      <c r="Q4658" s="25"/>
      <c r="R4658" s="54"/>
      <c r="W4658" s="23"/>
      <c r="X4658" s="23"/>
      <c r="Y4658" s="23"/>
      <c r="Z4658" s="43"/>
      <c r="AA4658" s="23"/>
      <c r="AB4658" s="23"/>
      <c r="AC4658" s="23"/>
      <c r="AD4658" s="23"/>
      <c r="AE4658" s="23"/>
      <c r="AF4658" s="23"/>
      <c r="AG4658" s="23"/>
      <c r="AH4658" s="23"/>
      <c r="AI4658" s="49"/>
    </row>
    <row r="4659" spans="1:35">
      <c r="A4659" s="50"/>
      <c r="B4659" s="42"/>
      <c r="C4659" s="49"/>
      <c r="E4659" s="49"/>
      <c r="G4659" s="43"/>
      <c r="H4659" s="44"/>
      <c r="L4659" s="42"/>
      <c r="M4659" s="42"/>
      <c r="N4659" s="25"/>
      <c r="O4659" s="54"/>
      <c r="P4659"/>
      <c r="Q4659" s="25"/>
      <c r="R4659" s="54"/>
      <c r="W4659" s="23"/>
      <c r="X4659" s="23"/>
      <c r="Y4659" s="23"/>
      <c r="Z4659" s="43"/>
      <c r="AA4659" s="23"/>
      <c r="AB4659" s="23"/>
      <c r="AC4659" s="23"/>
      <c r="AD4659" s="23"/>
      <c r="AE4659" s="23"/>
      <c r="AF4659" s="23"/>
      <c r="AG4659" s="23"/>
      <c r="AH4659" s="23"/>
      <c r="AI4659" s="49"/>
    </row>
    <row r="4660" spans="1:35">
      <c r="A4660" s="50"/>
      <c r="B4660" s="42"/>
      <c r="C4660" s="49"/>
      <c r="E4660" s="49"/>
      <c r="G4660" s="43"/>
      <c r="H4660" s="44"/>
      <c r="L4660" s="42"/>
      <c r="M4660" s="42"/>
      <c r="N4660" s="25"/>
      <c r="O4660" s="54"/>
      <c r="P4660"/>
      <c r="Q4660" s="25"/>
      <c r="R4660" s="54"/>
      <c r="W4660" s="23"/>
      <c r="X4660" s="23"/>
      <c r="Y4660" s="23"/>
      <c r="Z4660" s="43"/>
      <c r="AA4660" s="23"/>
      <c r="AB4660" s="23"/>
      <c r="AC4660" s="23"/>
      <c r="AD4660" s="23"/>
      <c r="AE4660" s="23"/>
      <c r="AF4660" s="23"/>
      <c r="AG4660" s="23"/>
      <c r="AH4660" s="23"/>
      <c r="AI4660" s="49"/>
    </row>
    <row r="4661" spans="1:35">
      <c r="A4661" s="50"/>
      <c r="B4661" s="42"/>
      <c r="C4661" s="49"/>
      <c r="E4661" s="49"/>
      <c r="G4661" s="43"/>
      <c r="H4661" s="44"/>
      <c r="L4661" s="42"/>
      <c r="M4661" s="42"/>
      <c r="N4661" s="25"/>
      <c r="O4661" s="54"/>
      <c r="P4661"/>
      <c r="Q4661" s="25"/>
      <c r="R4661" s="54"/>
      <c r="W4661" s="23"/>
      <c r="X4661" s="23"/>
      <c r="Y4661" s="23"/>
      <c r="Z4661" s="43"/>
      <c r="AA4661" s="23"/>
      <c r="AB4661" s="23"/>
      <c r="AC4661" s="23"/>
      <c r="AD4661" s="23"/>
      <c r="AE4661" s="23"/>
      <c r="AF4661" s="23"/>
      <c r="AG4661" s="23"/>
      <c r="AH4661" s="23"/>
      <c r="AI4661" s="49"/>
    </row>
    <row r="4662" spans="1:35">
      <c r="A4662" s="50"/>
      <c r="B4662" s="42"/>
      <c r="C4662" s="49"/>
      <c r="E4662" s="49"/>
      <c r="G4662" s="43"/>
      <c r="H4662" s="44"/>
      <c r="L4662" s="42"/>
      <c r="M4662" s="42"/>
      <c r="N4662" s="25"/>
      <c r="O4662" s="54"/>
      <c r="P4662"/>
      <c r="Q4662" s="25"/>
      <c r="R4662" s="54"/>
      <c r="W4662" s="23"/>
      <c r="X4662" s="23"/>
      <c r="Y4662" s="23"/>
      <c r="Z4662" s="43"/>
      <c r="AA4662" s="23"/>
      <c r="AB4662" s="23"/>
      <c r="AC4662" s="23"/>
      <c r="AD4662" s="23"/>
      <c r="AE4662" s="23"/>
      <c r="AF4662" s="23"/>
      <c r="AG4662" s="23"/>
      <c r="AH4662" s="23"/>
      <c r="AI4662" s="49"/>
    </row>
    <row r="4663" spans="1:35">
      <c r="A4663" s="50"/>
      <c r="B4663" s="42"/>
      <c r="C4663" s="49"/>
      <c r="E4663" s="49"/>
      <c r="G4663" s="43"/>
      <c r="H4663" s="44"/>
      <c r="L4663" s="42"/>
      <c r="M4663" s="42"/>
      <c r="N4663" s="25"/>
      <c r="O4663" s="54"/>
      <c r="P4663"/>
      <c r="Q4663" s="25"/>
      <c r="R4663" s="54"/>
      <c r="W4663" s="23"/>
      <c r="X4663" s="23"/>
      <c r="Y4663" s="23"/>
      <c r="Z4663" s="43"/>
      <c r="AA4663" s="23"/>
      <c r="AB4663" s="23"/>
      <c r="AC4663" s="23"/>
      <c r="AD4663" s="23"/>
      <c r="AE4663" s="23"/>
      <c r="AF4663" s="23"/>
      <c r="AG4663" s="23"/>
      <c r="AH4663" s="23"/>
      <c r="AI4663" s="49"/>
    </row>
    <row r="4664" spans="1:35">
      <c r="A4664" s="50"/>
      <c r="B4664" s="42"/>
      <c r="C4664" s="49"/>
      <c r="E4664" s="49"/>
      <c r="G4664" s="43"/>
      <c r="H4664" s="44"/>
      <c r="L4664" s="42"/>
      <c r="M4664" s="42"/>
      <c r="N4664" s="25"/>
      <c r="O4664" s="54"/>
      <c r="P4664"/>
      <c r="Q4664" s="25"/>
      <c r="R4664" s="54"/>
      <c r="W4664" s="23"/>
      <c r="X4664" s="23"/>
      <c r="Y4664" s="23"/>
      <c r="Z4664" s="43"/>
      <c r="AA4664" s="23"/>
      <c r="AB4664" s="23"/>
      <c r="AC4664" s="23"/>
      <c r="AD4664" s="23"/>
      <c r="AE4664" s="23"/>
      <c r="AF4664" s="23"/>
      <c r="AG4664" s="23"/>
      <c r="AH4664" s="23"/>
      <c r="AI4664" s="49"/>
    </row>
    <row r="4665" spans="1:35">
      <c r="A4665" s="50"/>
      <c r="B4665" s="42"/>
      <c r="C4665" s="49"/>
      <c r="E4665" s="49"/>
      <c r="G4665" s="43"/>
      <c r="H4665" s="44"/>
      <c r="L4665" s="42"/>
      <c r="M4665" s="42"/>
      <c r="N4665" s="25"/>
      <c r="O4665" s="54"/>
      <c r="P4665"/>
      <c r="Q4665" s="25"/>
      <c r="R4665" s="54"/>
      <c r="W4665" s="23"/>
      <c r="X4665" s="23"/>
      <c r="Y4665" s="23"/>
      <c r="Z4665" s="43"/>
      <c r="AA4665" s="23"/>
      <c r="AB4665" s="23"/>
      <c r="AC4665" s="23"/>
      <c r="AD4665" s="23"/>
      <c r="AE4665" s="23"/>
      <c r="AF4665" s="23"/>
      <c r="AG4665" s="23"/>
      <c r="AH4665" s="23"/>
      <c r="AI4665" s="49"/>
    </row>
    <row r="4666" spans="1:35">
      <c r="A4666" s="50"/>
      <c r="B4666" s="42"/>
      <c r="C4666" s="49"/>
      <c r="E4666" s="49"/>
      <c r="G4666" s="43"/>
      <c r="H4666" s="44"/>
      <c r="L4666" s="42"/>
      <c r="M4666" s="42"/>
      <c r="N4666" s="25"/>
      <c r="O4666" s="54"/>
      <c r="P4666"/>
      <c r="Q4666" s="25"/>
      <c r="R4666" s="54"/>
      <c r="W4666" s="23"/>
      <c r="X4666" s="23"/>
      <c r="Y4666" s="23"/>
      <c r="Z4666" s="43"/>
      <c r="AA4666" s="23"/>
      <c r="AB4666" s="23"/>
      <c r="AC4666" s="23"/>
      <c r="AD4666" s="23"/>
      <c r="AE4666" s="23"/>
      <c r="AF4666" s="23"/>
      <c r="AG4666" s="23"/>
      <c r="AH4666" s="23"/>
      <c r="AI4666" s="49"/>
    </row>
    <row r="4667" spans="1:35">
      <c r="A4667" s="50"/>
      <c r="B4667" s="42"/>
      <c r="C4667" s="49"/>
      <c r="E4667" s="49"/>
      <c r="G4667" s="43"/>
      <c r="H4667" s="44"/>
      <c r="L4667" s="42"/>
      <c r="M4667" s="42"/>
      <c r="N4667" s="25"/>
      <c r="O4667" s="54"/>
      <c r="P4667"/>
      <c r="Q4667" s="25"/>
      <c r="R4667" s="54"/>
      <c r="W4667" s="23"/>
      <c r="X4667" s="23"/>
      <c r="Y4667" s="23"/>
      <c r="Z4667" s="43"/>
      <c r="AA4667" s="23"/>
      <c r="AB4667" s="23"/>
      <c r="AC4667" s="23"/>
      <c r="AD4667" s="23"/>
      <c r="AE4667" s="23"/>
      <c r="AF4667" s="23"/>
      <c r="AG4667" s="23"/>
      <c r="AH4667" s="23"/>
      <c r="AI4667" s="49"/>
    </row>
    <row r="4668" spans="1:35">
      <c r="A4668" s="50"/>
      <c r="B4668" s="42"/>
      <c r="C4668" s="49"/>
      <c r="E4668" s="49"/>
      <c r="G4668" s="43"/>
      <c r="H4668" s="44"/>
      <c r="L4668" s="42"/>
      <c r="M4668" s="42"/>
      <c r="N4668" s="25"/>
      <c r="O4668" s="54"/>
      <c r="P4668"/>
      <c r="Q4668" s="25"/>
      <c r="R4668" s="54"/>
      <c r="W4668" s="23"/>
      <c r="X4668" s="23"/>
      <c r="Y4668" s="23"/>
      <c r="Z4668" s="43"/>
      <c r="AA4668" s="23"/>
      <c r="AB4668" s="23"/>
      <c r="AC4668" s="23"/>
      <c r="AD4668" s="23"/>
      <c r="AE4668" s="23"/>
      <c r="AF4668" s="23"/>
      <c r="AG4668" s="23"/>
      <c r="AH4668" s="23"/>
      <c r="AI4668" s="49"/>
    </row>
    <row r="4669" spans="1:35">
      <c r="A4669" s="50"/>
      <c r="B4669" s="42"/>
      <c r="C4669" s="49"/>
      <c r="E4669" s="49"/>
      <c r="G4669" s="43"/>
      <c r="H4669" s="44"/>
      <c r="L4669" s="42"/>
      <c r="M4669" s="42"/>
      <c r="N4669" s="25"/>
      <c r="O4669" s="54"/>
      <c r="P4669"/>
      <c r="Q4669" s="25"/>
      <c r="R4669" s="54"/>
      <c r="W4669" s="23"/>
      <c r="X4669" s="23"/>
      <c r="Y4669" s="23"/>
      <c r="Z4669" s="43"/>
      <c r="AA4669" s="23"/>
      <c r="AB4669" s="23"/>
      <c r="AC4669" s="23"/>
      <c r="AD4669" s="23"/>
      <c r="AE4669" s="23"/>
      <c r="AF4669" s="23"/>
      <c r="AG4669" s="23"/>
      <c r="AH4669" s="23"/>
      <c r="AI4669" s="49"/>
    </row>
    <row r="4670" spans="1:35">
      <c r="A4670" s="50"/>
      <c r="B4670" s="42"/>
      <c r="C4670" s="49"/>
      <c r="E4670" s="49"/>
      <c r="G4670" s="43"/>
      <c r="H4670" s="44"/>
      <c r="L4670" s="42"/>
      <c r="M4670" s="42"/>
      <c r="N4670" s="25"/>
      <c r="O4670" s="54"/>
      <c r="P4670"/>
      <c r="Q4670" s="25"/>
      <c r="R4670" s="54"/>
      <c r="W4670" s="23"/>
      <c r="X4670" s="23"/>
      <c r="Y4670" s="23"/>
      <c r="Z4670" s="43"/>
      <c r="AA4670" s="23"/>
      <c r="AB4670" s="23"/>
      <c r="AC4670" s="23"/>
      <c r="AD4670" s="23"/>
      <c r="AE4670" s="23"/>
      <c r="AF4670" s="23"/>
      <c r="AG4670" s="23"/>
      <c r="AH4670" s="23"/>
      <c r="AI4670" s="49"/>
    </row>
    <row r="4671" spans="1:35">
      <c r="A4671" s="50"/>
      <c r="B4671" s="42"/>
      <c r="C4671" s="49"/>
      <c r="E4671" s="49"/>
      <c r="G4671" s="43"/>
      <c r="H4671" s="44"/>
      <c r="L4671" s="42"/>
      <c r="M4671" s="42"/>
      <c r="N4671" s="25"/>
      <c r="O4671" s="54"/>
      <c r="P4671"/>
      <c r="Q4671" s="25"/>
      <c r="R4671" s="54"/>
      <c r="W4671" s="23"/>
      <c r="X4671" s="23"/>
      <c r="Y4671" s="23"/>
      <c r="Z4671" s="43"/>
      <c r="AA4671" s="23"/>
      <c r="AB4671" s="23"/>
      <c r="AC4671" s="23"/>
      <c r="AD4671" s="23"/>
      <c r="AE4671" s="23"/>
      <c r="AF4671" s="23"/>
      <c r="AG4671" s="23"/>
      <c r="AH4671" s="23"/>
      <c r="AI4671" s="49"/>
    </row>
    <row r="4672" spans="1:35">
      <c r="A4672" s="50"/>
      <c r="B4672" s="42"/>
      <c r="C4672" s="49"/>
      <c r="E4672" s="49"/>
      <c r="G4672" s="43"/>
      <c r="H4672" s="44"/>
      <c r="L4672" s="42"/>
      <c r="M4672" s="42"/>
      <c r="N4672" s="25"/>
      <c r="O4672" s="54"/>
      <c r="P4672"/>
      <c r="Q4672" s="25"/>
      <c r="R4672" s="54"/>
      <c r="W4672" s="23"/>
      <c r="X4672" s="23"/>
      <c r="Y4672" s="23"/>
      <c r="Z4672" s="43"/>
      <c r="AA4672" s="23"/>
      <c r="AB4672" s="23"/>
      <c r="AC4672" s="23"/>
      <c r="AD4672" s="23"/>
      <c r="AE4672" s="23"/>
      <c r="AF4672" s="23"/>
      <c r="AG4672" s="23"/>
      <c r="AH4672" s="23"/>
      <c r="AI4672" s="49"/>
    </row>
    <row r="4673" spans="1:35">
      <c r="A4673" s="50"/>
      <c r="B4673" s="42"/>
      <c r="C4673" s="49"/>
      <c r="E4673" s="49"/>
      <c r="G4673" s="43"/>
      <c r="H4673" s="44"/>
      <c r="L4673" s="42"/>
      <c r="M4673" s="42"/>
      <c r="N4673" s="25"/>
      <c r="O4673" s="54"/>
      <c r="P4673"/>
      <c r="Q4673" s="25"/>
      <c r="R4673" s="54"/>
      <c r="W4673" s="23"/>
      <c r="X4673" s="23"/>
      <c r="Y4673" s="23"/>
      <c r="Z4673" s="43"/>
      <c r="AA4673" s="23"/>
      <c r="AB4673" s="23"/>
      <c r="AC4673" s="23"/>
      <c r="AD4673" s="23"/>
      <c r="AE4673" s="23"/>
      <c r="AF4673" s="23"/>
      <c r="AG4673" s="23"/>
      <c r="AH4673" s="23"/>
      <c r="AI4673" s="49"/>
    </row>
    <row r="4674" spans="1:35">
      <c r="A4674" s="50"/>
      <c r="B4674" s="42"/>
      <c r="C4674" s="49"/>
      <c r="E4674" s="49"/>
      <c r="G4674" s="43"/>
      <c r="H4674" s="44"/>
      <c r="L4674" s="42"/>
      <c r="M4674" s="42"/>
      <c r="N4674" s="25"/>
      <c r="O4674" s="54"/>
      <c r="P4674"/>
      <c r="Q4674" s="25"/>
      <c r="R4674" s="54"/>
      <c r="W4674" s="23"/>
      <c r="X4674" s="23"/>
      <c r="Y4674" s="23"/>
      <c r="Z4674" s="43"/>
      <c r="AA4674" s="23"/>
      <c r="AB4674" s="23"/>
      <c r="AC4674" s="23"/>
      <c r="AD4674" s="23"/>
      <c r="AE4674" s="23"/>
      <c r="AF4674" s="23"/>
      <c r="AG4674" s="23"/>
      <c r="AH4674" s="23"/>
      <c r="AI4674" s="49"/>
    </row>
    <row r="4675" spans="1:35">
      <c r="A4675" s="50"/>
      <c r="B4675" s="42"/>
      <c r="C4675" s="49"/>
      <c r="E4675" s="49"/>
      <c r="G4675" s="43"/>
      <c r="H4675" s="44"/>
      <c r="L4675" s="42"/>
      <c r="M4675" s="42"/>
      <c r="N4675" s="25"/>
      <c r="O4675" s="54"/>
      <c r="P4675"/>
      <c r="Q4675" s="25"/>
      <c r="R4675" s="54"/>
      <c r="W4675" s="23"/>
      <c r="X4675" s="23"/>
      <c r="Y4675" s="23"/>
      <c r="Z4675" s="43"/>
      <c r="AA4675" s="23"/>
      <c r="AB4675" s="23"/>
      <c r="AC4675" s="23"/>
      <c r="AD4675" s="23"/>
      <c r="AE4675" s="23"/>
      <c r="AF4675" s="23"/>
      <c r="AG4675" s="23"/>
      <c r="AH4675" s="23"/>
      <c r="AI4675" s="49"/>
    </row>
    <row r="4676" spans="1:35">
      <c r="A4676" s="50"/>
      <c r="B4676" s="42"/>
      <c r="C4676" s="49"/>
      <c r="E4676" s="49"/>
      <c r="G4676" s="43"/>
      <c r="H4676" s="44"/>
      <c r="L4676" s="42"/>
      <c r="M4676" s="42"/>
      <c r="N4676" s="25"/>
      <c r="O4676" s="54"/>
      <c r="P4676"/>
      <c r="Q4676" s="25"/>
      <c r="R4676" s="54"/>
      <c r="W4676" s="23"/>
      <c r="X4676" s="23"/>
      <c r="Y4676" s="23"/>
      <c r="Z4676" s="43"/>
      <c r="AA4676" s="23"/>
      <c r="AB4676" s="23"/>
      <c r="AC4676" s="23"/>
      <c r="AD4676" s="23"/>
      <c r="AE4676" s="23"/>
      <c r="AF4676" s="23"/>
      <c r="AG4676" s="23"/>
      <c r="AH4676" s="23"/>
      <c r="AI4676" s="49"/>
    </row>
    <row r="4677" spans="1:35">
      <c r="A4677" s="50"/>
      <c r="B4677" s="42"/>
      <c r="C4677" s="49"/>
      <c r="E4677" s="49"/>
      <c r="G4677" s="43"/>
      <c r="H4677" s="44"/>
      <c r="L4677" s="42"/>
      <c r="M4677" s="42"/>
      <c r="N4677" s="25"/>
      <c r="O4677" s="54"/>
      <c r="P4677"/>
      <c r="Q4677" s="25"/>
      <c r="R4677" s="54"/>
      <c r="W4677" s="23"/>
      <c r="X4677" s="23"/>
      <c r="Y4677" s="23"/>
      <c r="Z4677" s="43"/>
      <c r="AA4677" s="23"/>
      <c r="AB4677" s="23"/>
      <c r="AC4677" s="23"/>
      <c r="AD4677" s="23"/>
      <c r="AE4677" s="23"/>
      <c r="AF4677" s="23"/>
      <c r="AG4677" s="23"/>
      <c r="AH4677" s="23"/>
      <c r="AI4677" s="49"/>
    </row>
    <row r="4678" spans="1:35">
      <c r="A4678" s="50"/>
      <c r="B4678" s="42"/>
      <c r="C4678" s="49"/>
      <c r="E4678" s="49"/>
      <c r="G4678" s="43"/>
      <c r="H4678" s="44"/>
      <c r="L4678" s="42"/>
      <c r="M4678" s="42"/>
      <c r="N4678" s="25"/>
      <c r="O4678" s="54"/>
      <c r="P4678"/>
      <c r="Q4678" s="25"/>
      <c r="R4678" s="54"/>
      <c r="W4678" s="23"/>
      <c r="X4678" s="23"/>
      <c r="Y4678" s="23"/>
      <c r="Z4678" s="43"/>
      <c r="AA4678" s="23"/>
      <c r="AB4678" s="23"/>
      <c r="AC4678" s="23"/>
      <c r="AD4678" s="23"/>
      <c r="AE4678" s="23"/>
      <c r="AF4678" s="23"/>
      <c r="AG4678" s="23"/>
      <c r="AH4678" s="23"/>
      <c r="AI4678" s="49"/>
    </row>
    <row r="4679" spans="1:35">
      <c r="A4679" s="50"/>
      <c r="B4679" s="42"/>
      <c r="C4679" s="49"/>
      <c r="E4679" s="49"/>
      <c r="G4679" s="43"/>
      <c r="H4679" s="44"/>
      <c r="L4679" s="42"/>
      <c r="M4679" s="42"/>
      <c r="N4679" s="25"/>
      <c r="O4679" s="54"/>
      <c r="P4679"/>
      <c r="Q4679" s="25"/>
      <c r="R4679" s="54"/>
      <c r="W4679" s="23"/>
      <c r="X4679" s="23"/>
      <c r="Y4679" s="23"/>
      <c r="Z4679" s="43"/>
      <c r="AA4679" s="23"/>
      <c r="AB4679" s="23"/>
      <c r="AC4679" s="23"/>
      <c r="AD4679" s="23"/>
      <c r="AE4679" s="23"/>
      <c r="AF4679" s="23"/>
      <c r="AG4679" s="23"/>
      <c r="AH4679" s="23"/>
      <c r="AI4679" s="49"/>
    </row>
    <row r="4680" spans="1:35">
      <c r="A4680" s="50"/>
      <c r="B4680" s="42"/>
      <c r="C4680" s="49"/>
      <c r="E4680" s="49"/>
      <c r="G4680" s="43"/>
      <c r="H4680" s="44"/>
      <c r="L4680" s="42"/>
      <c r="M4680" s="42"/>
      <c r="N4680" s="25"/>
      <c r="O4680" s="54"/>
      <c r="P4680"/>
      <c r="Q4680" s="25"/>
      <c r="R4680" s="54"/>
      <c r="W4680" s="23"/>
      <c r="X4680" s="23"/>
      <c r="Y4680" s="23"/>
      <c r="Z4680" s="43"/>
      <c r="AA4680" s="23"/>
      <c r="AB4680" s="23"/>
      <c r="AC4680" s="23"/>
      <c r="AD4680" s="23"/>
      <c r="AE4680" s="23"/>
      <c r="AF4680" s="23"/>
      <c r="AG4680" s="23"/>
      <c r="AH4680" s="23"/>
      <c r="AI4680" s="49"/>
    </row>
    <row r="4681" spans="1:35">
      <c r="A4681" s="50"/>
      <c r="B4681" s="42"/>
      <c r="C4681" s="49"/>
      <c r="E4681" s="49"/>
      <c r="G4681" s="43"/>
      <c r="H4681" s="44"/>
      <c r="L4681" s="42"/>
      <c r="M4681" s="42"/>
      <c r="N4681" s="25"/>
      <c r="O4681" s="54"/>
      <c r="P4681"/>
      <c r="Q4681" s="25"/>
      <c r="R4681" s="54"/>
      <c r="W4681" s="23"/>
      <c r="X4681" s="23"/>
      <c r="Y4681" s="23"/>
      <c r="Z4681" s="43"/>
      <c r="AA4681" s="23"/>
      <c r="AB4681" s="23"/>
      <c r="AC4681" s="23"/>
      <c r="AD4681" s="23"/>
      <c r="AE4681" s="23"/>
      <c r="AF4681" s="23"/>
      <c r="AG4681" s="23"/>
      <c r="AH4681" s="23"/>
      <c r="AI4681" s="49"/>
    </row>
    <row r="4682" spans="1:35">
      <c r="A4682" s="50"/>
      <c r="B4682" s="42"/>
      <c r="C4682" s="49"/>
      <c r="E4682" s="49"/>
      <c r="G4682" s="43"/>
      <c r="H4682" s="44"/>
      <c r="L4682" s="42"/>
      <c r="M4682" s="42"/>
      <c r="N4682" s="25"/>
      <c r="O4682" s="54"/>
      <c r="P4682"/>
      <c r="Q4682" s="25"/>
      <c r="R4682" s="54"/>
      <c r="W4682" s="23"/>
      <c r="X4682" s="23"/>
      <c r="Y4682" s="23"/>
      <c r="Z4682" s="43"/>
      <c r="AA4682" s="23"/>
      <c r="AB4682" s="23"/>
      <c r="AC4682" s="23"/>
      <c r="AD4682" s="23"/>
      <c r="AE4682" s="23"/>
      <c r="AF4682" s="23"/>
      <c r="AG4682" s="23"/>
      <c r="AH4682" s="23"/>
      <c r="AI4682" s="49"/>
    </row>
    <row r="4683" spans="1:35">
      <c r="A4683" s="50"/>
      <c r="B4683" s="42"/>
      <c r="C4683" s="49"/>
      <c r="E4683" s="49"/>
      <c r="G4683" s="43"/>
      <c r="H4683" s="44"/>
      <c r="L4683" s="42"/>
      <c r="M4683" s="42"/>
      <c r="N4683" s="25"/>
      <c r="O4683" s="54"/>
      <c r="P4683"/>
      <c r="Q4683" s="25"/>
      <c r="R4683" s="54"/>
      <c r="W4683" s="23"/>
      <c r="X4683" s="23"/>
      <c r="Y4683" s="23"/>
      <c r="Z4683" s="43"/>
      <c r="AA4683" s="23"/>
      <c r="AB4683" s="23"/>
      <c r="AC4683" s="23"/>
      <c r="AD4683" s="23"/>
      <c r="AE4683" s="23"/>
      <c r="AF4683" s="23"/>
      <c r="AG4683" s="23"/>
      <c r="AH4683" s="23"/>
      <c r="AI4683" s="49"/>
    </row>
    <row r="4684" spans="1:35">
      <c r="A4684" s="50"/>
      <c r="B4684" s="42"/>
      <c r="C4684" s="49"/>
      <c r="E4684" s="49"/>
      <c r="G4684" s="43"/>
      <c r="H4684" s="44"/>
      <c r="L4684" s="42"/>
      <c r="M4684" s="42"/>
      <c r="N4684" s="25"/>
      <c r="O4684" s="54"/>
      <c r="P4684"/>
      <c r="Q4684" s="25"/>
      <c r="R4684" s="54"/>
      <c r="W4684" s="23"/>
      <c r="X4684" s="23"/>
      <c r="Y4684" s="23"/>
      <c r="Z4684" s="43"/>
      <c r="AA4684" s="23"/>
      <c r="AB4684" s="23"/>
      <c r="AC4684" s="23"/>
      <c r="AD4684" s="23"/>
      <c r="AE4684" s="23"/>
      <c r="AF4684" s="23"/>
      <c r="AG4684" s="23"/>
      <c r="AH4684" s="23"/>
      <c r="AI4684" s="49"/>
    </row>
    <row r="4685" spans="1:35">
      <c r="A4685" s="50"/>
      <c r="B4685" s="42"/>
      <c r="C4685" s="49"/>
      <c r="E4685" s="49"/>
      <c r="G4685" s="43"/>
      <c r="H4685" s="44"/>
      <c r="L4685" s="42"/>
      <c r="M4685" s="42"/>
      <c r="N4685" s="25"/>
      <c r="O4685" s="54"/>
      <c r="P4685"/>
      <c r="Q4685" s="25"/>
      <c r="R4685" s="54"/>
      <c r="W4685" s="23"/>
      <c r="X4685" s="23"/>
      <c r="Y4685" s="23"/>
      <c r="Z4685" s="43"/>
      <c r="AA4685" s="23"/>
      <c r="AB4685" s="23"/>
      <c r="AC4685" s="23"/>
      <c r="AD4685" s="23"/>
      <c r="AE4685" s="23"/>
      <c r="AF4685" s="23"/>
      <c r="AG4685" s="23"/>
      <c r="AH4685" s="23"/>
      <c r="AI4685" s="49"/>
    </row>
    <row r="4686" spans="1:35">
      <c r="A4686" s="50"/>
      <c r="B4686" s="42"/>
      <c r="C4686" s="49"/>
      <c r="E4686" s="49"/>
      <c r="G4686" s="43"/>
      <c r="H4686" s="44"/>
      <c r="L4686" s="42"/>
      <c r="M4686" s="42"/>
      <c r="N4686" s="25"/>
      <c r="O4686" s="54"/>
      <c r="P4686"/>
      <c r="Q4686" s="25"/>
      <c r="R4686" s="54"/>
      <c r="W4686" s="23"/>
      <c r="X4686" s="23"/>
      <c r="Y4686" s="23"/>
      <c r="Z4686" s="43"/>
      <c r="AA4686" s="23"/>
      <c r="AB4686" s="23"/>
      <c r="AC4686" s="23"/>
      <c r="AD4686" s="23"/>
      <c r="AE4686" s="23"/>
      <c r="AF4686" s="23"/>
      <c r="AG4686" s="23"/>
      <c r="AH4686" s="23"/>
      <c r="AI4686" s="49"/>
    </row>
    <row r="4687" spans="1:35">
      <c r="A4687" s="50"/>
      <c r="B4687" s="42"/>
      <c r="C4687" s="49"/>
      <c r="E4687" s="49"/>
      <c r="G4687" s="43"/>
      <c r="H4687" s="44"/>
      <c r="L4687" s="42"/>
      <c r="M4687" s="42"/>
      <c r="N4687" s="25"/>
      <c r="O4687" s="54"/>
      <c r="P4687"/>
      <c r="Q4687" s="25"/>
      <c r="R4687" s="54"/>
      <c r="W4687" s="23"/>
      <c r="X4687" s="23"/>
      <c r="Y4687" s="23"/>
      <c r="Z4687" s="43"/>
      <c r="AA4687" s="23"/>
      <c r="AB4687" s="23"/>
      <c r="AC4687" s="23"/>
      <c r="AD4687" s="23"/>
      <c r="AE4687" s="23"/>
      <c r="AF4687" s="23"/>
      <c r="AG4687" s="23"/>
      <c r="AH4687" s="23"/>
      <c r="AI4687" s="49"/>
    </row>
    <row r="4688" spans="1:35">
      <c r="A4688" s="50"/>
      <c r="B4688" s="42"/>
      <c r="C4688" s="49"/>
      <c r="E4688" s="49"/>
      <c r="G4688" s="43"/>
      <c r="H4688" s="44"/>
      <c r="L4688" s="42"/>
      <c r="M4688" s="42"/>
      <c r="N4688" s="25"/>
      <c r="O4688" s="54"/>
      <c r="P4688"/>
      <c r="Q4688" s="25"/>
      <c r="R4688" s="54"/>
      <c r="W4688" s="23"/>
      <c r="X4688" s="23"/>
      <c r="Y4688" s="23"/>
      <c r="Z4688" s="43"/>
      <c r="AA4688" s="23"/>
      <c r="AB4688" s="23"/>
      <c r="AC4688" s="23"/>
      <c r="AD4688" s="23"/>
      <c r="AE4688" s="23"/>
      <c r="AF4688" s="23"/>
      <c r="AG4688" s="23"/>
      <c r="AH4688" s="23"/>
      <c r="AI4688" s="49"/>
    </row>
    <row r="4689" spans="1:35">
      <c r="A4689" s="50"/>
      <c r="B4689" s="42"/>
      <c r="C4689" s="49"/>
      <c r="E4689" s="49"/>
      <c r="G4689" s="43"/>
      <c r="H4689" s="44"/>
      <c r="L4689" s="42"/>
      <c r="M4689" s="42"/>
      <c r="N4689" s="25"/>
      <c r="O4689" s="54"/>
      <c r="P4689"/>
      <c r="Q4689" s="25"/>
      <c r="R4689" s="54"/>
      <c r="W4689" s="23"/>
      <c r="X4689" s="23"/>
      <c r="Y4689" s="23"/>
      <c r="Z4689" s="43"/>
      <c r="AA4689" s="23"/>
      <c r="AB4689" s="23"/>
      <c r="AC4689" s="23"/>
      <c r="AD4689" s="23"/>
      <c r="AE4689" s="23"/>
      <c r="AF4689" s="23"/>
      <c r="AG4689" s="23"/>
      <c r="AH4689" s="23"/>
      <c r="AI4689" s="49"/>
    </row>
    <row r="4690" spans="1:35">
      <c r="A4690" s="50"/>
      <c r="B4690" s="42"/>
      <c r="C4690" s="49"/>
      <c r="E4690" s="49"/>
      <c r="G4690" s="43"/>
      <c r="H4690" s="44"/>
      <c r="L4690" s="42"/>
      <c r="M4690" s="42"/>
      <c r="N4690" s="25"/>
      <c r="O4690" s="54"/>
      <c r="P4690"/>
      <c r="Q4690" s="25"/>
      <c r="R4690" s="54"/>
      <c r="W4690" s="23"/>
      <c r="X4690" s="23"/>
      <c r="Y4690" s="23"/>
      <c r="Z4690" s="43"/>
      <c r="AA4690" s="23"/>
      <c r="AB4690" s="23"/>
      <c r="AC4690" s="23"/>
      <c r="AD4690" s="23"/>
      <c r="AE4690" s="23"/>
      <c r="AF4690" s="23"/>
      <c r="AG4690" s="23"/>
      <c r="AH4690" s="23"/>
      <c r="AI4690" s="49"/>
    </row>
    <row r="4691" spans="1:35">
      <c r="A4691" s="50"/>
      <c r="B4691" s="42"/>
      <c r="C4691" s="49"/>
      <c r="E4691" s="49"/>
      <c r="G4691" s="43"/>
      <c r="H4691" s="44"/>
      <c r="L4691" s="42"/>
      <c r="M4691" s="42"/>
      <c r="N4691" s="25"/>
      <c r="O4691" s="54"/>
      <c r="P4691"/>
      <c r="Q4691" s="25"/>
      <c r="R4691" s="54"/>
      <c r="W4691" s="23"/>
      <c r="X4691" s="23"/>
      <c r="Y4691" s="23"/>
      <c r="Z4691" s="43"/>
      <c r="AA4691" s="23"/>
      <c r="AB4691" s="23"/>
      <c r="AC4691" s="23"/>
      <c r="AD4691" s="23"/>
      <c r="AE4691" s="23"/>
      <c r="AF4691" s="23"/>
      <c r="AG4691" s="23"/>
      <c r="AH4691" s="23"/>
      <c r="AI4691" s="49"/>
    </row>
    <row r="4692" spans="1:35">
      <c r="A4692" s="50"/>
      <c r="B4692" s="42"/>
      <c r="C4692" s="49"/>
      <c r="E4692" s="49"/>
      <c r="G4692" s="43"/>
      <c r="H4692" s="44"/>
      <c r="L4692" s="42"/>
      <c r="M4692" s="42"/>
      <c r="N4692" s="25"/>
      <c r="O4692" s="54"/>
      <c r="P4692"/>
      <c r="Q4692" s="25"/>
      <c r="R4692" s="54"/>
      <c r="W4692" s="23"/>
      <c r="X4692" s="23"/>
      <c r="Y4692" s="23"/>
      <c r="Z4692" s="43"/>
      <c r="AA4692" s="23"/>
      <c r="AB4692" s="23"/>
      <c r="AC4692" s="23"/>
      <c r="AD4692" s="23"/>
      <c r="AE4692" s="23"/>
      <c r="AF4692" s="23"/>
      <c r="AG4692" s="23"/>
      <c r="AH4692" s="23"/>
      <c r="AI4692" s="49"/>
    </row>
    <row r="4693" spans="1:35">
      <c r="A4693" s="50"/>
      <c r="B4693" s="42"/>
      <c r="C4693" s="49"/>
      <c r="E4693" s="49"/>
      <c r="G4693" s="43"/>
      <c r="H4693" s="44"/>
      <c r="L4693" s="42"/>
      <c r="M4693" s="42"/>
      <c r="N4693" s="25"/>
      <c r="O4693" s="54"/>
      <c r="P4693"/>
      <c r="Q4693" s="25"/>
      <c r="R4693" s="54"/>
      <c r="W4693" s="23"/>
      <c r="X4693" s="23"/>
      <c r="Y4693" s="23"/>
      <c r="Z4693" s="43"/>
      <c r="AA4693" s="23"/>
      <c r="AB4693" s="23"/>
      <c r="AC4693" s="23"/>
      <c r="AD4693" s="23"/>
      <c r="AE4693" s="23"/>
      <c r="AF4693" s="23"/>
      <c r="AG4693" s="23"/>
      <c r="AH4693" s="23"/>
      <c r="AI4693" s="49"/>
    </row>
    <row r="4694" spans="1:35">
      <c r="A4694" s="50"/>
      <c r="B4694" s="42"/>
      <c r="C4694" s="49"/>
      <c r="E4694" s="49"/>
      <c r="G4694" s="43"/>
      <c r="H4694" s="44"/>
      <c r="L4694" s="42"/>
      <c r="M4694" s="42"/>
      <c r="N4694" s="25"/>
      <c r="O4694" s="54"/>
      <c r="P4694"/>
      <c r="Q4694" s="25"/>
      <c r="R4694" s="54"/>
      <c r="W4694" s="23"/>
      <c r="X4694" s="23"/>
      <c r="Y4694" s="23"/>
      <c r="Z4694" s="43"/>
      <c r="AA4694" s="23"/>
      <c r="AB4694" s="23"/>
      <c r="AC4694" s="23"/>
      <c r="AD4694" s="23"/>
      <c r="AE4694" s="23"/>
      <c r="AF4694" s="23"/>
      <c r="AG4694" s="23"/>
      <c r="AH4694" s="23"/>
      <c r="AI4694" s="49"/>
    </row>
    <row r="4695" spans="1:35">
      <c r="A4695" s="50"/>
      <c r="B4695" s="42"/>
      <c r="C4695" s="49"/>
      <c r="E4695" s="49"/>
      <c r="G4695" s="43"/>
      <c r="H4695" s="44"/>
      <c r="L4695" s="42"/>
      <c r="M4695" s="42"/>
      <c r="N4695" s="25"/>
      <c r="O4695" s="54"/>
      <c r="P4695"/>
      <c r="Q4695" s="25"/>
      <c r="R4695" s="54"/>
      <c r="W4695" s="23"/>
      <c r="X4695" s="23"/>
      <c r="Y4695" s="23"/>
      <c r="Z4695" s="43"/>
      <c r="AA4695" s="23"/>
      <c r="AB4695" s="23"/>
      <c r="AC4695" s="23"/>
      <c r="AD4695" s="23"/>
      <c r="AE4695" s="23"/>
      <c r="AF4695" s="23"/>
      <c r="AG4695" s="23"/>
      <c r="AH4695" s="23"/>
      <c r="AI4695" s="49"/>
    </row>
    <row r="4696" spans="1:35">
      <c r="A4696" s="50"/>
      <c r="B4696" s="42"/>
      <c r="C4696" s="49"/>
      <c r="E4696" s="49"/>
      <c r="G4696" s="43"/>
      <c r="H4696" s="44"/>
      <c r="L4696" s="42"/>
      <c r="M4696" s="42"/>
      <c r="N4696" s="25"/>
      <c r="O4696" s="54"/>
      <c r="P4696"/>
      <c r="Q4696" s="25"/>
      <c r="R4696" s="54"/>
      <c r="W4696" s="23"/>
      <c r="X4696" s="23"/>
      <c r="Y4696" s="23"/>
      <c r="Z4696" s="43"/>
      <c r="AA4696" s="23"/>
      <c r="AB4696" s="23"/>
      <c r="AC4696" s="23"/>
      <c r="AD4696" s="23"/>
      <c r="AE4696" s="23"/>
      <c r="AF4696" s="23"/>
      <c r="AG4696" s="23"/>
      <c r="AH4696" s="23"/>
      <c r="AI4696" s="49"/>
    </row>
    <row r="4697" spans="1:35">
      <c r="A4697" s="50"/>
      <c r="B4697" s="42"/>
      <c r="C4697" s="49"/>
      <c r="E4697" s="49"/>
      <c r="G4697" s="43"/>
      <c r="H4697" s="44"/>
      <c r="L4697" s="42"/>
      <c r="M4697" s="42"/>
      <c r="N4697" s="25"/>
      <c r="O4697" s="54"/>
      <c r="P4697"/>
      <c r="Q4697" s="25"/>
      <c r="R4697" s="54"/>
      <c r="W4697" s="23"/>
      <c r="X4697" s="23"/>
      <c r="Y4697" s="23"/>
      <c r="Z4697" s="43"/>
      <c r="AA4697" s="23"/>
      <c r="AB4697" s="23"/>
      <c r="AC4697" s="23"/>
      <c r="AD4697" s="23"/>
      <c r="AE4697" s="23"/>
      <c r="AF4697" s="23"/>
      <c r="AG4697" s="23"/>
      <c r="AH4697" s="23"/>
      <c r="AI4697" s="49"/>
    </row>
    <row r="4698" spans="1:35">
      <c r="A4698" s="50"/>
      <c r="B4698" s="42"/>
      <c r="C4698" s="49"/>
      <c r="E4698" s="49"/>
      <c r="G4698" s="43"/>
      <c r="H4698" s="44"/>
      <c r="L4698" s="42"/>
      <c r="M4698" s="42"/>
      <c r="N4698" s="25"/>
      <c r="O4698" s="54"/>
      <c r="P4698"/>
      <c r="Q4698" s="25"/>
      <c r="R4698" s="54"/>
      <c r="W4698" s="23"/>
      <c r="X4698" s="23"/>
      <c r="Y4698" s="23"/>
      <c r="Z4698" s="43"/>
      <c r="AA4698" s="23"/>
      <c r="AB4698" s="23"/>
      <c r="AC4698" s="23"/>
      <c r="AD4698" s="23"/>
      <c r="AE4698" s="23"/>
      <c r="AF4698" s="23"/>
      <c r="AG4698" s="23"/>
      <c r="AH4698" s="23"/>
      <c r="AI4698" s="49"/>
    </row>
    <row r="4699" spans="1:35">
      <c r="A4699" s="50"/>
      <c r="B4699" s="42"/>
      <c r="C4699" s="49"/>
      <c r="E4699" s="49"/>
      <c r="G4699" s="43"/>
      <c r="H4699" s="44"/>
      <c r="L4699" s="42"/>
      <c r="M4699" s="42"/>
      <c r="N4699" s="25"/>
      <c r="O4699" s="54"/>
      <c r="P4699"/>
      <c r="Q4699" s="25"/>
      <c r="R4699" s="54"/>
      <c r="W4699" s="23"/>
      <c r="X4699" s="23"/>
      <c r="Y4699" s="23"/>
      <c r="Z4699" s="43"/>
      <c r="AA4699" s="23"/>
      <c r="AB4699" s="23"/>
      <c r="AC4699" s="23"/>
      <c r="AD4699" s="23"/>
      <c r="AE4699" s="23"/>
      <c r="AF4699" s="23"/>
      <c r="AG4699" s="23"/>
      <c r="AH4699" s="23"/>
      <c r="AI4699" s="49"/>
    </row>
    <row r="4700" spans="1:35">
      <c r="A4700" s="50"/>
      <c r="B4700" s="42"/>
      <c r="C4700" s="49"/>
      <c r="E4700" s="49"/>
      <c r="G4700" s="43"/>
      <c r="H4700" s="44"/>
      <c r="L4700" s="42"/>
      <c r="M4700" s="42"/>
      <c r="N4700" s="25"/>
      <c r="O4700" s="54"/>
      <c r="P4700"/>
      <c r="Q4700" s="25"/>
      <c r="R4700" s="54"/>
      <c r="W4700" s="23"/>
      <c r="X4700" s="23"/>
      <c r="Y4700" s="23"/>
      <c r="Z4700" s="43"/>
      <c r="AA4700" s="23"/>
      <c r="AB4700" s="23"/>
      <c r="AC4700" s="23"/>
      <c r="AD4700" s="23"/>
      <c r="AE4700" s="23"/>
      <c r="AF4700" s="23"/>
      <c r="AG4700" s="23"/>
      <c r="AH4700" s="23"/>
      <c r="AI4700" s="49"/>
    </row>
    <row r="4701" spans="1:35">
      <c r="A4701" s="50"/>
      <c r="B4701" s="42"/>
      <c r="C4701" s="49"/>
      <c r="E4701" s="49"/>
      <c r="G4701" s="43"/>
      <c r="H4701" s="44"/>
      <c r="L4701" s="42"/>
      <c r="M4701" s="42"/>
      <c r="N4701" s="25"/>
      <c r="O4701" s="54"/>
      <c r="P4701"/>
      <c r="Q4701" s="25"/>
      <c r="R4701" s="54"/>
      <c r="W4701" s="23"/>
      <c r="X4701" s="23"/>
      <c r="Y4701" s="23"/>
      <c r="Z4701" s="43"/>
      <c r="AA4701" s="23"/>
      <c r="AB4701" s="23"/>
      <c r="AC4701" s="23"/>
      <c r="AD4701" s="23"/>
      <c r="AE4701" s="23"/>
      <c r="AF4701" s="23"/>
      <c r="AG4701" s="23"/>
      <c r="AH4701" s="23"/>
      <c r="AI4701" s="49"/>
    </row>
    <row r="4702" spans="1:35">
      <c r="A4702" s="50"/>
      <c r="B4702" s="42"/>
      <c r="C4702" s="49"/>
      <c r="E4702" s="49"/>
      <c r="G4702" s="43"/>
      <c r="H4702" s="44"/>
      <c r="L4702" s="42"/>
      <c r="M4702" s="42"/>
      <c r="N4702" s="25"/>
      <c r="O4702" s="54"/>
      <c r="P4702"/>
      <c r="Q4702" s="25"/>
      <c r="R4702" s="54"/>
      <c r="W4702" s="23"/>
      <c r="X4702" s="23"/>
      <c r="Y4702" s="23"/>
      <c r="Z4702" s="43"/>
      <c r="AA4702" s="23"/>
      <c r="AB4702" s="23"/>
      <c r="AC4702" s="23"/>
      <c r="AD4702" s="23"/>
      <c r="AE4702" s="23"/>
      <c r="AF4702" s="23"/>
      <c r="AG4702" s="23"/>
      <c r="AH4702" s="23"/>
      <c r="AI4702" s="49"/>
    </row>
    <row r="4703" spans="1:35">
      <c r="A4703" s="50"/>
      <c r="B4703" s="42"/>
      <c r="C4703" s="49"/>
      <c r="E4703" s="49"/>
      <c r="G4703" s="43"/>
      <c r="H4703" s="44"/>
      <c r="L4703" s="42"/>
      <c r="M4703" s="42"/>
      <c r="N4703" s="25"/>
      <c r="O4703" s="54"/>
      <c r="P4703"/>
      <c r="Q4703" s="25"/>
      <c r="R4703" s="54"/>
      <c r="W4703" s="23"/>
      <c r="X4703" s="23"/>
      <c r="Y4703" s="23"/>
      <c r="Z4703" s="43"/>
      <c r="AA4703" s="23"/>
      <c r="AB4703" s="23"/>
      <c r="AC4703" s="23"/>
      <c r="AD4703" s="23"/>
      <c r="AE4703" s="23"/>
      <c r="AF4703" s="23"/>
      <c r="AG4703" s="23"/>
      <c r="AH4703" s="23"/>
      <c r="AI4703" s="49"/>
    </row>
    <row r="4704" spans="1:35">
      <c r="A4704" s="50"/>
      <c r="B4704" s="42"/>
      <c r="C4704" s="49"/>
      <c r="E4704" s="49"/>
      <c r="G4704" s="43"/>
      <c r="H4704" s="44"/>
      <c r="L4704" s="42"/>
      <c r="M4704" s="42"/>
      <c r="N4704" s="25"/>
      <c r="O4704" s="54"/>
      <c r="P4704"/>
      <c r="Q4704" s="25"/>
      <c r="R4704" s="54"/>
      <c r="W4704" s="23"/>
      <c r="X4704" s="23"/>
      <c r="Y4704" s="23"/>
      <c r="Z4704" s="43"/>
      <c r="AA4704" s="23"/>
      <c r="AB4704" s="23"/>
      <c r="AC4704" s="23"/>
      <c r="AD4704" s="23"/>
      <c r="AE4704" s="23"/>
      <c r="AF4704" s="23"/>
      <c r="AG4704" s="23"/>
      <c r="AH4704" s="23"/>
      <c r="AI4704" s="49"/>
    </row>
    <row r="4705" spans="1:35">
      <c r="A4705" s="50"/>
      <c r="B4705" s="42"/>
      <c r="C4705" s="49"/>
      <c r="E4705" s="49"/>
      <c r="G4705" s="43"/>
      <c r="H4705" s="44"/>
      <c r="L4705" s="42"/>
      <c r="M4705" s="42"/>
      <c r="N4705" s="25"/>
      <c r="O4705" s="54"/>
      <c r="P4705"/>
      <c r="Q4705" s="25"/>
      <c r="R4705" s="54"/>
      <c r="W4705" s="23"/>
      <c r="X4705" s="23"/>
      <c r="Y4705" s="23"/>
      <c r="Z4705" s="43"/>
      <c r="AA4705" s="23"/>
      <c r="AB4705" s="23"/>
      <c r="AC4705" s="23"/>
      <c r="AD4705" s="23"/>
      <c r="AE4705" s="23"/>
      <c r="AF4705" s="23"/>
      <c r="AG4705" s="23"/>
      <c r="AH4705" s="23"/>
      <c r="AI4705" s="49"/>
    </row>
    <row r="4706" spans="1:35">
      <c r="A4706" s="50"/>
      <c r="B4706" s="42"/>
      <c r="C4706" s="49"/>
      <c r="E4706" s="49"/>
      <c r="G4706" s="43"/>
      <c r="H4706" s="44"/>
      <c r="L4706" s="42"/>
      <c r="M4706" s="42"/>
      <c r="N4706" s="25"/>
      <c r="O4706" s="54"/>
      <c r="P4706"/>
      <c r="Q4706" s="25"/>
      <c r="R4706" s="54"/>
      <c r="W4706" s="23"/>
      <c r="X4706" s="23"/>
      <c r="Y4706" s="23"/>
      <c r="Z4706" s="43"/>
      <c r="AA4706" s="23"/>
      <c r="AB4706" s="23"/>
      <c r="AC4706" s="23"/>
      <c r="AD4706" s="23"/>
      <c r="AE4706" s="23"/>
      <c r="AF4706" s="23"/>
      <c r="AG4706" s="23"/>
      <c r="AH4706" s="23"/>
      <c r="AI4706" s="49"/>
    </row>
    <row r="4707" spans="1:35">
      <c r="A4707" s="50"/>
      <c r="B4707" s="42"/>
      <c r="C4707" s="49"/>
      <c r="E4707" s="49"/>
      <c r="G4707" s="43"/>
      <c r="H4707" s="44"/>
      <c r="L4707" s="42"/>
      <c r="M4707" s="42"/>
      <c r="N4707" s="25"/>
      <c r="O4707" s="54"/>
      <c r="P4707"/>
      <c r="Q4707" s="25"/>
      <c r="R4707" s="54"/>
      <c r="W4707" s="23"/>
      <c r="X4707" s="23"/>
      <c r="Y4707" s="23"/>
      <c r="Z4707" s="43"/>
      <c r="AA4707" s="23"/>
      <c r="AB4707" s="23"/>
      <c r="AC4707" s="23"/>
      <c r="AD4707" s="23"/>
      <c r="AE4707" s="23"/>
      <c r="AF4707" s="23"/>
      <c r="AG4707" s="23"/>
      <c r="AH4707" s="23"/>
      <c r="AI4707" s="49"/>
    </row>
    <row r="4708" spans="1:35">
      <c r="A4708" s="50"/>
      <c r="B4708" s="42"/>
      <c r="C4708" s="49"/>
      <c r="E4708" s="49"/>
      <c r="G4708" s="43"/>
      <c r="H4708" s="44"/>
      <c r="L4708" s="42"/>
      <c r="M4708" s="42"/>
      <c r="N4708" s="25"/>
      <c r="O4708" s="54"/>
      <c r="P4708"/>
      <c r="Q4708" s="25"/>
      <c r="R4708" s="54"/>
      <c r="W4708" s="23"/>
      <c r="X4708" s="23"/>
      <c r="Y4708" s="23"/>
      <c r="Z4708" s="43"/>
      <c r="AA4708" s="23"/>
      <c r="AB4708" s="23"/>
      <c r="AC4708" s="23"/>
      <c r="AD4708" s="23"/>
      <c r="AE4708" s="23"/>
      <c r="AF4708" s="23"/>
      <c r="AG4708" s="23"/>
      <c r="AH4708" s="23"/>
      <c r="AI4708" s="49"/>
    </row>
    <row r="4709" spans="1:35">
      <c r="A4709" s="50"/>
      <c r="B4709" s="42"/>
      <c r="C4709" s="49"/>
      <c r="E4709" s="49"/>
      <c r="G4709" s="43"/>
      <c r="H4709" s="44"/>
      <c r="L4709" s="42"/>
      <c r="M4709" s="42"/>
      <c r="N4709" s="25"/>
      <c r="O4709" s="54"/>
      <c r="P4709"/>
      <c r="Q4709" s="25"/>
      <c r="R4709" s="54"/>
      <c r="W4709" s="23"/>
      <c r="X4709" s="23"/>
      <c r="Y4709" s="23"/>
      <c r="Z4709" s="43"/>
      <c r="AA4709" s="23"/>
      <c r="AB4709" s="23"/>
      <c r="AC4709" s="23"/>
      <c r="AD4709" s="23"/>
      <c r="AE4709" s="23"/>
      <c r="AF4709" s="23"/>
      <c r="AG4709" s="23"/>
      <c r="AH4709" s="23"/>
      <c r="AI4709" s="49"/>
    </row>
    <row r="4710" spans="1:35">
      <c r="A4710" s="50"/>
      <c r="B4710" s="42"/>
      <c r="C4710" s="49"/>
      <c r="E4710" s="49"/>
      <c r="G4710" s="43"/>
      <c r="H4710" s="44"/>
      <c r="L4710" s="42"/>
      <c r="M4710" s="42"/>
      <c r="N4710" s="25"/>
      <c r="O4710" s="54"/>
      <c r="P4710"/>
      <c r="Q4710" s="25"/>
      <c r="R4710" s="54"/>
      <c r="W4710" s="23"/>
      <c r="X4710" s="23"/>
      <c r="Y4710" s="23"/>
      <c r="Z4710" s="43"/>
      <c r="AA4710" s="23"/>
      <c r="AB4710" s="23"/>
      <c r="AC4710" s="23"/>
      <c r="AD4710" s="23"/>
      <c r="AE4710" s="23"/>
      <c r="AF4710" s="23"/>
      <c r="AG4710" s="23"/>
      <c r="AH4710" s="23"/>
      <c r="AI4710" s="49"/>
    </row>
    <row r="4711" spans="1:35">
      <c r="A4711" s="50"/>
      <c r="B4711" s="42"/>
      <c r="C4711" s="49"/>
      <c r="E4711" s="49"/>
      <c r="G4711" s="43"/>
      <c r="H4711" s="44"/>
      <c r="L4711" s="42"/>
      <c r="M4711" s="42"/>
      <c r="N4711" s="25"/>
      <c r="O4711" s="54"/>
      <c r="P4711"/>
      <c r="Q4711" s="25"/>
      <c r="R4711" s="54"/>
      <c r="W4711" s="23"/>
      <c r="X4711" s="23"/>
      <c r="Y4711" s="23"/>
      <c r="Z4711" s="43"/>
      <c r="AA4711" s="23"/>
      <c r="AB4711" s="23"/>
      <c r="AC4711" s="23"/>
      <c r="AD4711" s="23"/>
      <c r="AE4711" s="23"/>
      <c r="AF4711" s="23"/>
      <c r="AG4711" s="23"/>
      <c r="AH4711" s="23"/>
      <c r="AI4711" s="49"/>
    </row>
    <row r="4712" spans="1:35">
      <c r="A4712" s="50"/>
      <c r="B4712" s="42"/>
      <c r="C4712" s="49"/>
      <c r="E4712" s="49"/>
      <c r="G4712" s="43"/>
      <c r="H4712" s="44"/>
      <c r="L4712" s="42"/>
      <c r="M4712" s="42"/>
      <c r="N4712" s="25"/>
      <c r="O4712" s="54"/>
      <c r="P4712"/>
      <c r="Q4712" s="25"/>
      <c r="R4712" s="54"/>
      <c r="W4712" s="23"/>
      <c r="X4712" s="23"/>
      <c r="Y4712" s="23"/>
      <c r="Z4712" s="43"/>
      <c r="AA4712" s="23"/>
      <c r="AB4712" s="23"/>
      <c r="AC4712" s="23"/>
      <c r="AD4712" s="23"/>
      <c r="AE4712" s="23"/>
      <c r="AF4712" s="23"/>
      <c r="AG4712" s="23"/>
      <c r="AH4712" s="23"/>
      <c r="AI4712" s="49"/>
    </row>
    <row r="4713" spans="1:35">
      <c r="A4713" s="50"/>
      <c r="B4713" s="42"/>
      <c r="C4713" s="49"/>
      <c r="E4713" s="49"/>
      <c r="G4713" s="43"/>
      <c r="H4713" s="44"/>
      <c r="L4713" s="42"/>
      <c r="M4713" s="42"/>
      <c r="N4713" s="25"/>
      <c r="O4713" s="54"/>
      <c r="P4713"/>
      <c r="Q4713" s="25"/>
      <c r="R4713" s="54"/>
      <c r="W4713" s="23"/>
      <c r="X4713" s="23"/>
      <c r="Y4713" s="23"/>
      <c r="Z4713" s="43"/>
      <c r="AA4713" s="23"/>
      <c r="AB4713" s="23"/>
      <c r="AC4713" s="23"/>
      <c r="AD4713" s="23"/>
      <c r="AE4713" s="23"/>
      <c r="AF4713" s="23"/>
      <c r="AG4713" s="23"/>
      <c r="AH4713" s="23"/>
      <c r="AI4713" s="49"/>
    </row>
    <row r="4714" spans="1:35">
      <c r="A4714" s="50"/>
      <c r="B4714" s="42"/>
      <c r="C4714" s="49"/>
      <c r="E4714" s="49"/>
      <c r="G4714" s="43"/>
      <c r="H4714" s="44"/>
      <c r="L4714" s="42"/>
      <c r="M4714" s="42"/>
      <c r="N4714" s="25"/>
      <c r="O4714" s="54"/>
      <c r="P4714"/>
      <c r="Q4714" s="25"/>
      <c r="R4714" s="54"/>
      <c r="W4714" s="23"/>
      <c r="X4714" s="23"/>
      <c r="Y4714" s="23"/>
      <c r="Z4714" s="43"/>
      <c r="AA4714" s="23"/>
      <c r="AB4714" s="23"/>
      <c r="AC4714" s="23"/>
      <c r="AD4714" s="23"/>
      <c r="AE4714" s="23"/>
      <c r="AF4714" s="23"/>
      <c r="AG4714" s="23"/>
      <c r="AH4714" s="23"/>
      <c r="AI4714" s="49"/>
    </row>
    <row r="4715" spans="1:35">
      <c r="A4715" s="50"/>
      <c r="B4715" s="42"/>
      <c r="C4715" s="49"/>
      <c r="E4715" s="49"/>
      <c r="G4715" s="43"/>
      <c r="H4715" s="44"/>
      <c r="L4715" s="42"/>
      <c r="M4715" s="42"/>
      <c r="N4715" s="25"/>
      <c r="O4715" s="54"/>
      <c r="P4715"/>
      <c r="Q4715" s="25"/>
      <c r="R4715" s="54"/>
      <c r="W4715" s="23"/>
      <c r="X4715" s="23"/>
      <c r="Y4715" s="23"/>
      <c r="Z4715" s="43"/>
      <c r="AA4715" s="23"/>
      <c r="AB4715" s="23"/>
      <c r="AC4715" s="23"/>
      <c r="AD4715" s="23"/>
      <c r="AE4715" s="23"/>
      <c r="AF4715" s="23"/>
      <c r="AG4715" s="23"/>
      <c r="AH4715" s="23"/>
      <c r="AI4715" s="49"/>
    </row>
    <row r="4716" spans="1:35">
      <c r="A4716" s="50"/>
      <c r="B4716" s="42"/>
      <c r="C4716" s="49"/>
      <c r="E4716" s="49"/>
      <c r="G4716" s="43"/>
      <c r="H4716" s="44"/>
      <c r="L4716" s="42"/>
      <c r="M4716" s="42"/>
      <c r="N4716" s="25"/>
      <c r="O4716" s="54"/>
      <c r="P4716"/>
      <c r="Q4716" s="25"/>
      <c r="R4716" s="54"/>
      <c r="W4716" s="23"/>
      <c r="X4716" s="23"/>
      <c r="Y4716" s="23"/>
      <c r="Z4716" s="43"/>
      <c r="AA4716" s="23"/>
      <c r="AB4716" s="23"/>
      <c r="AC4716" s="23"/>
      <c r="AD4716" s="23"/>
      <c r="AE4716" s="23"/>
      <c r="AF4716" s="23"/>
      <c r="AG4716" s="23"/>
      <c r="AH4716" s="23"/>
      <c r="AI4716" s="49"/>
    </row>
    <row r="4717" spans="1:35">
      <c r="A4717" s="50"/>
      <c r="B4717" s="42"/>
      <c r="C4717" s="49"/>
      <c r="E4717" s="49"/>
      <c r="G4717" s="43"/>
      <c r="H4717" s="44"/>
      <c r="L4717" s="42"/>
      <c r="M4717" s="42"/>
      <c r="N4717" s="25"/>
      <c r="O4717" s="54"/>
      <c r="P4717"/>
      <c r="Q4717" s="25"/>
      <c r="R4717" s="54"/>
      <c r="W4717" s="23"/>
      <c r="X4717" s="23"/>
      <c r="Y4717" s="23"/>
      <c r="Z4717" s="43"/>
      <c r="AA4717" s="23"/>
      <c r="AB4717" s="23"/>
      <c r="AC4717" s="23"/>
      <c r="AD4717" s="23"/>
      <c r="AE4717" s="23"/>
      <c r="AF4717" s="23"/>
      <c r="AG4717" s="23"/>
      <c r="AH4717" s="23"/>
      <c r="AI4717" s="49"/>
    </row>
    <row r="4718" spans="1:35">
      <c r="A4718" s="50"/>
      <c r="B4718" s="42"/>
      <c r="C4718" s="49"/>
      <c r="E4718" s="49"/>
      <c r="G4718" s="43"/>
      <c r="H4718" s="44"/>
      <c r="L4718" s="42"/>
      <c r="M4718" s="42"/>
      <c r="N4718" s="25"/>
      <c r="O4718" s="54"/>
      <c r="P4718"/>
      <c r="Q4718" s="25"/>
      <c r="R4718" s="54"/>
      <c r="W4718" s="23"/>
      <c r="X4718" s="23"/>
      <c r="Y4718" s="23"/>
      <c r="Z4718" s="43"/>
      <c r="AA4718" s="23"/>
      <c r="AB4718" s="23"/>
      <c r="AC4718" s="23"/>
      <c r="AD4718" s="23"/>
      <c r="AE4718" s="23"/>
      <c r="AF4718" s="23"/>
      <c r="AG4718" s="23"/>
      <c r="AH4718" s="23"/>
      <c r="AI4718" s="49"/>
    </row>
    <row r="4719" spans="1:35">
      <c r="A4719" s="50"/>
      <c r="B4719" s="42"/>
      <c r="C4719" s="49"/>
      <c r="E4719" s="49"/>
      <c r="G4719" s="43"/>
      <c r="H4719" s="44"/>
      <c r="L4719" s="42"/>
      <c r="M4719" s="42"/>
      <c r="N4719" s="25"/>
      <c r="O4719" s="54"/>
      <c r="P4719"/>
      <c r="Q4719" s="25"/>
      <c r="R4719" s="54"/>
      <c r="W4719" s="23"/>
      <c r="X4719" s="23"/>
      <c r="Y4719" s="23"/>
      <c r="Z4719" s="43"/>
      <c r="AA4719" s="23"/>
      <c r="AB4719" s="23"/>
      <c r="AC4719" s="23"/>
      <c r="AD4719" s="23"/>
      <c r="AE4719" s="23"/>
      <c r="AF4719" s="23"/>
      <c r="AG4719" s="23"/>
      <c r="AH4719" s="23"/>
      <c r="AI4719" s="49"/>
    </row>
    <row r="4720" spans="1:35">
      <c r="A4720" s="50"/>
      <c r="B4720" s="42"/>
      <c r="C4720" s="49"/>
      <c r="E4720" s="49"/>
      <c r="G4720" s="43"/>
      <c r="H4720" s="44"/>
      <c r="L4720" s="42"/>
      <c r="M4720" s="42"/>
      <c r="N4720" s="25"/>
      <c r="O4720" s="54"/>
      <c r="P4720"/>
      <c r="Q4720" s="25"/>
      <c r="R4720" s="54"/>
      <c r="W4720" s="23"/>
      <c r="X4720" s="23"/>
      <c r="Y4720" s="23"/>
      <c r="Z4720" s="43"/>
      <c r="AA4720" s="23"/>
      <c r="AB4720" s="23"/>
      <c r="AC4720" s="23"/>
      <c r="AD4720" s="23"/>
      <c r="AE4720" s="23"/>
      <c r="AF4720" s="23"/>
      <c r="AG4720" s="23"/>
      <c r="AH4720" s="23"/>
      <c r="AI4720" s="49"/>
    </row>
    <row r="4721" spans="1:35">
      <c r="A4721" s="50"/>
      <c r="B4721" s="42"/>
      <c r="C4721" s="49"/>
      <c r="E4721" s="49"/>
      <c r="G4721" s="43"/>
      <c r="H4721" s="44"/>
      <c r="L4721" s="42"/>
      <c r="M4721" s="42"/>
      <c r="N4721" s="25"/>
      <c r="O4721" s="54"/>
      <c r="P4721"/>
      <c r="Q4721" s="25"/>
      <c r="R4721" s="54"/>
      <c r="W4721" s="23"/>
      <c r="X4721" s="23"/>
      <c r="Y4721" s="23"/>
      <c r="Z4721" s="43"/>
      <c r="AA4721" s="23"/>
      <c r="AB4721" s="23"/>
      <c r="AC4721" s="23"/>
      <c r="AD4721" s="23"/>
      <c r="AE4721" s="23"/>
      <c r="AF4721" s="23"/>
      <c r="AG4721" s="23"/>
      <c r="AH4721" s="23"/>
      <c r="AI4721" s="49"/>
    </row>
    <row r="4722" spans="1:35">
      <c r="A4722" s="50"/>
      <c r="B4722" s="42"/>
      <c r="C4722" s="49"/>
      <c r="E4722" s="49"/>
      <c r="G4722" s="43"/>
      <c r="H4722" s="44"/>
      <c r="L4722" s="42"/>
      <c r="M4722" s="42"/>
      <c r="N4722" s="25"/>
      <c r="O4722" s="54"/>
      <c r="P4722"/>
      <c r="Q4722" s="25"/>
      <c r="R4722" s="54"/>
      <c r="W4722" s="23"/>
      <c r="X4722" s="23"/>
      <c r="Y4722" s="23"/>
      <c r="Z4722" s="43"/>
      <c r="AA4722" s="23"/>
      <c r="AB4722" s="23"/>
      <c r="AC4722" s="23"/>
      <c r="AD4722" s="23"/>
      <c r="AE4722" s="23"/>
      <c r="AF4722" s="23"/>
      <c r="AG4722" s="23"/>
      <c r="AH4722" s="23"/>
      <c r="AI4722" s="49"/>
    </row>
    <row r="4723" spans="1:35">
      <c r="A4723" s="50"/>
      <c r="B4723" s="42"/>
      <c r="C4723" s="49"/>
      <c r="E4723" s="49"/>
      <c r="G4723" s="43"/>
      <c r="H4723" s="44"/>
      <c r="L4723" s="42"/>
      <c r="M4723" s="42"/>
      <c r="N4723" s="25"/>
      <c r="O4723" s="54"/>
      <c r="P4723"/>
      <c r="Q4723" s="25"/>
      <c r="R4723" s="54"/>
      <c r="W4723" s="23"/>
      <c r="X4723" s="23"/>
      <c r="Y4723" s="23"/>
      <c r="Z4723" s="43"/>
      <c r="AA4723" s="23"/>
      <c r="AB4723" s="23"/>
      <c r="AC4723" s="23"/>
      <c r="AD4723" s="23"/>
      <c r="AE4723" s="23"/>
      <c r="AF4723" s="23"/>
      <c r="AG4723" s="23"/>
      <c r="AH4723" s="23"/>
      <c r="AI4723" s="49"/>
    </row>
    <row r="4724" spans="1:35">
      <c r="A4724" s="50"/>
      <c r="B4724" s="42"/>
      <c r="C4724" s="49"/>
      <c r="E4724" s="49"/>
      <c r="G4724" s="43"/>
      <c r="H4724" s="44"/>
      <c r="L4724" s="42"/>
      <c r="M4724" s="42"/>
      <c r="N4724" s="25"/>
      <c r="O4724" s="54"/>
      <c r="P4724"/>
      <c r="Q4724" s="25"/>
      <c r="R4724" s="54"/>
      <c r="W4724" s="23"/>
      <c r="X4724" s="23"/>
      <c r="Y4724" s="23"/>
      <c r="Z4724" s="43"/>
      <c r="AA4724" s="23"/>
      <c r="AB4724" s="23"/>
      <c r="AC4724" s="23"/>
      <c r="AD4724" s="23"/>
      <c r="AE4724" s="23"/>
      <c r="AF4724" s="23"/>
      <c r="AG4724" s="23"/>
      <c r="AH4724" s="23"/>
      <c r="AI4724" s="49"/>
    </row>
    <row r="4725" spans="1:35">
      <c r="A4725" s="50"/>
      <c r="B4725" s="42"/>
      <c r="C4725" s="49"/>
      <c r="E4725" s="49"/>
      <c r="G4725" s="43"/>
      <c r="H4725" s="44"/>
      <c r="L4725" s="42"/>
      <c r="M4725" s="42"/>
      <c r="N4725" s="25"/>
      <c r="O4725" s="54"/>
      <c r="P4725"/>
      <c r="Q4725" s="25"/>
      <c r="R4725" s="54"/>
      <c r="W4725" s="23"/>
      <c r="X4725" s="23"/>
      <c r="Y4725" s="23"/>
      <c r="Z4725" s="43"/>
      <c r="AA4725" s="23"/>
      <c r="AB4725" s="23"/>
      <c r="AC4725" s="23"/>
      <c r="AD4725" s="23"/>
      <c r="AE4725" s="23"/>
      <c r="AF4725" s="23"/>
      <c r="AG4725" s="23"/>
      <c r="AH4725" s="23"/>
      <c r="AI4725" s="49"/>
    </row>
    <row r="4726" spans="1:35">
      <c r="A4726" s="50"/>
      <c r="B4726" s="42"/>
      <c r="C4726" s="49"/>
      <c r="E4726" s="49"/>
      <c r="G4726" s="43"/>
      <c r="H4726" s="44"/>
      <c r="L4726" s="42"/>
      <c r="M4726" s="42"/>
      <c r="N4726" s="25"/>
      <c r="O4726" s="54"/>
      <c r="P4726"/>
      <c r="Q4726" s="25"/>
      <c r="R4726" s="54"/>
      <c r="W4726" s="23"/>
      <c r="X4726" s="23"/>
      <c r="Y4726" s="23"/>
      <c r="Z4726" s="43"/>
      <c r="AA4726" s="23"/>
      <c r="AB4726" s="23"/>
      <c r="AC4726" s="23"/>
      <c r="AD4726" s="23"/>
      <c r="AE4726" s="23"/>
      <c r="AF4726" s="23"/>
      <c r="AG4726" s="23"/>
      <c r="AH4726" s="23"/>
      <c r="AI4726" s="49"/>
    </row>
    <row r="4727" spans="1:35">
      <c r="A4727" s="50"/>
      <c r="B4727" s="42"/>
      <c r="C4727" s="49"/>
      <c r="E4727" s="49"/>
      <c r="G4727" s="43"/>
      <c r="H4727" s="44"/>
      <c r="L4727" s="42"/>
      <c r="M4727" s="42"/>
      <c r="N4727" s="25"/>
      <c r="O4727" s="54"/>
      <c r="P4727"/>
      <c r="Q4727" s="25"/>
      <c r="R4727" s="54"/>
      <c r="W4727" s="23"/>
      <c r="X4727" s="23"/>
      <c r="Y4727" s="23"/>
      <c r="Z4727" s="43"/>
      <c r="AA4727" s="23"/>
      <c r="AB4727" s="23"/>
      <c r="AC4727" s="23"/>
      <c r="AD4727" s="23"/>
      <c r="AE4727" s="23"/>
      <c r="AF4727" s="23"/>
      <c r="AG4727" s="23"/>
      <c r="AH4727" s="23"/>
      <c r="AI4727" s="49"/>
    </row>
    <row r="4728" spans="1:35">
      <c r="A4728" s="50"/>
      <c r="B4728" s="42"/>
      <c r="C4728" s="49"/>
      <c r="E4728" s="49"/>
      <c r="G4728" s="43"/>
      <c r="H4728" s="44"/>
      <c r="L4728" s="42"/>
      <c r="M4728" s="42"/>
      <c r="N4728" s="25"/>
      <c r="O4728" s="54"/>
      <c r="P4728"/>
      <c r="Q4728" s="25"/>
      <c r="R4728" s="54"/>
      <c r="W4728" s="23"/>
      <c r="X4728" s="23"/>
      <c r="Y4728" s="23"/>
      <c r="Z4728" s="43"/>
      <c r="AA4728" s="23"/>
      <c r="AB4728" s="23"/>
      <c r="AC4728" s="23"/>
      <c r="AD4728" s="23"/>
      <c r="AE4728" s="23"/>
      <c r="AF4728" s="23"/>
      <c r="AG4728" s="23"/>
      <c r="AH4728" s="23"/>
      <c r="AI4728" s="49"/>
    </row>
    <row r="4729" spans="1:35">
      <c r="A4729" s="50"/>
      <c r="B4729" s="42"/>
      <c r="C4729" s="49"/>
      <c r="E4729" s="49"/>
      <c r="G4729" s="43"/>
      <c r="H4729" s="44"/>
      <c r="L4729" s="42"/>
      <c r="M4729" s="42"/>
      <c r="N4729" s="25"/>
      <c r="O4729" s="54"/>
      <c r="P4729"/>
      <c r="Q4729" s="25"/>
      <c r="R4729" s="54"/>
      <c r="W4729" s="23"/>
      <c r="X4729" s="23"/>
      <c r="Y4729" s="23"/>
      <c r="Z4729" s="43"/>
      <c r="AA4729" s="23"/>
      <c r="AB4729" s="23"/>
      <c r="AC4729" s="23"/>
      <c r="AD4729" s="23"/>
      <c r="AE4729" s="23"/>
      <c r="AF4729" s="23"/>
      <c r="AG4729" s="23"/>
      <c r="AH4729" s="23"/>
      <c r="AI4729" s="49"/>
    </row>
    <row r="4730" spans="1:35">
      <c r="A4730" s="50"/>
      <c r="B4730" s="42"/>
      <c r="C4730" s="49"/>
      <c r="E4730" s="49"/>
      <c r="G4730" s="43"/>
      <c r="H4730" s="44"/>
      <c r="L4730" s="42"/>
      <c r="M4730" s="42"/>
      <c r="N4730" s="25"/>
      <c r="O4730" s="54"/>
      <c r="P4730"/>
      <c r="Q4730" s="25"/>
      <c r="R4730" s="54"/>
      <c r="W4730" s="23"/>
      <c r="X4730" s="23"/>
      <c r="Y4730" s="23"/>
      <c r="Z4730" s="43"/>
      <c r="AA4730" s="23"/>
      <c r="AB4730" s="23"/>
      <c r="AC4730" s="23"/>
      <c r="AD4730" s="23"/>
      <c r="AE4730" s="23"/>
      <c r="AF4730" s="23"/>
      <c r="AG4730" s="23"/>
      <c r="AH4730" s="23"/>
      <c r="AI4730" s="49"/>
    </row>
    <row r="4731" spans="1:35">
      <c r="A4731" s="50"/>
      <c r="B4731" s="42"/>
      <c r="C4731" s="49"/>
      <c r="E4731" s="49"/>
      <c r="G4731" s="43"/>
      <c r="H4731" s="44"/>
      <c r="L4731" s="42"/>
      <c r="M4731" s="42"/>
      <c r="N4731" s="25"/>
      <c r="O4731" s="54"/>
      <c r="P4731"/>
      <c r="Q4731" s="25"/>
      <c r="R4731" s="54"/>
      <c r="W4731" s="23"/>
      <c r="X4731" s="23"/>
      <c r="Y4731" s="23"/>
      <c r="Z4731" s="43"/>
      <c r="AA4731" s="23"/>
      <c r="AB4731" s="23"/>
      <c r="AC4731" s="23"/>
      <c r="AD4731" s="23"/>
      <c r="AE4731" s="23"/>
      <c r="AF4731" s="23"/>
      <c r="AG4731" s="23"/>
      <c r="AH4731" s="23"/>
      <c r="AI4731" s="49"/>
    </row>
    <row r="4732" spans="1:35">
      <c r="A4732" s="50"/>
      <c r="B4732" s="42"/>
      <c r="C4732" s="49"/>
      <c r="E4732" s="49"/>
      <c r="G4732" s="43"/>
      <c r="H4732" s="44"/>
      <c r="L4732" s="42"/>
      <c r="M4732" s="42"/>
      <c r="N4732" s="25"/>
      <c r="O4732" s="54"/>
      <c r="P4732"/>
      <c r="Q4732" s="25"/>
      <c r="R4732" s="54"/>
      <c r="W4732" s="23"/>
      <c r="X4732" s="23"/>
      <c r="Y4732" s="23"/>
      <c r="Z4732" s="43"/>
      <c r="AA4732" s="23"/>
      <c r="AB4732" s="23"/>
      <c r="AC4732" s="23"/>
      <c r="AD4732" s="23"/>
      <c r="AE4732" s="23"/>
      <c r="AF4732" s="23"/>
      <c r="AG4732" s="23"/>
      <c r="AH4732" s="23"/>
      <c r="AI4732" s="49"/>
    </row>
    <row r="4733" spans="1:35">
      <c r="A4733" s="50"/>
      <c r="B4733" s="42"/>
      <c r="C4733" s="49"/>
      <c r="E4733" s="49"/>
      <c r="G4733" s="43"/>
      <c r="H4733" s="44"/>
      <c r="L4733" s="42"/>
      <c r="M4733" s="42"/>
      <c r="N4733" s="25"/>
      <c r="O4733" s="54"/>
      <c r="P4733"/>
      <c r="Q4733" s="25"/>
      <c r="R4733" s="54"/>
      <c r="W4733" s="23"/>
      <c r="X4733" s="23"/>
      <c r="Y4733" s="23"/>
      <c r="Z4733" s="43"/>
      <c r="AA4733" s="23"/>
      <c r="AB4733" s="23"/>
      <c r="AC4733" s="23"/>
      <c r="AD4733" s="23"/>
      <c r="AE4733" s="23"/>
      <c r="AF4733" s="23"/>
      <c r="AG4733" s="23"/>
      <c r="AH4733" s="23"/>
      <c r="AI4733" s="49"/>
    </row>
    <row r="4734" spans="1:35">
      <c r="A4734" s="50"/>
      <c r="B4734" s="42"/>
      <c r="C4734" s="49"/>
      <c r="E4734" s="49"/>
      <c r="G4734" s="43"/>
      <c r="H4734" s="44"/>
      <c r="L4734" s="42"/>
      <c r="M4734" s="42"/>
      <c r="N4734" s="25"/>
      <c r="O4734" s="54"/>
      <c r="P4734"/>
      <c r="Q4734" s="25"/>
      <c r="R4734" s="54"/>
      <c r="W4734" s="23"/>
      <c r="X4734" s="23"/>
      <c r="Y4734" s="23"/>
      <c r="Z4734" s="43"/>
      <c r="AA4734" s="23"/>
      <c r="AB4734" s="23"/>
      <c r="AC4734" s="23"/>
      <c r="AD4734" s="23"/>
      <c r="AE4734" s="23"/>
      <c r="AF4734" s="23"/>
      <c r="AG4734" s="23"/>
      <c r="AH4734" s="23"/>
      <c r="AI4734" s="49"/>
    </row>
    <row r="4735" spans="1:35">
      <c r="A4735" s="50"/>
      <c r="B4735" s="42"/>
      <c r="C4735" s="49"/>
      <c r="E4735" s="49"/>
      <c r="G4735" s="43"/>
      <c r="H4735" s="44"/>
      <c r="L4735" s="42"/>
      <c r="M4735" s="42"/>
      <c r="N4735" s="25"/>
      <c r="O4735" s="54"/>
      <c r="P4735"/>
      <c r="Q4735" s="25"/>
      <c r="R4735" s="54"/>
      <c r="W4735" s="23"/>
      <c r="X4735" s="23"/>
      <c r="Y4735" s="23"/>
      <c r="Z4735" s="43"/>
      <c r="AA4735" s="23"/>
      <c r="AB4735" s="23"/>
      <c r="AC4735" s="23"/>
      <c r="AD4735" s="23"/>
      <c r="AE4735" s="23"/>
      <c r="AF4735" s="23"/>
      <c r="AG4735" s="23"/>
      <c r="AH4735" s="23"/>
      <c r="AI4735" s="49"/>
    </row>
    <row r="4736" spans="1:35">
      <c r="A4736" s="50"/>
      <c r="B4736" s="42"/>
      <c r="C4736" s="49"/>
      <c r="E4736" s="49"/>
      <c r="G4736" s="43"/>
      <c r="H4736" s="44"/>
      <c r="L4736" s="42"/>
      <c r="M4736" s="42"/>
      <c r="N4736" s="25"/>
      <c r="O4736" s="54"/>
      <c r="P4736"/>
      <c r="Q4736" s="25"/>
      <c r="R4736" s="54"/>
      <c r="W4736" s="23"/>
      <c r="X4736" s="23"/>
      <c r="Y4736" s="23"/>
      <c r="Z4736" s="43"/>
      <c r="AA4736" s="23"/>
      <c r="AB4736" s="23"/>
      <c r="AC4736" s="23"/>
      <c r="AD4736" s="23"/>
      <c r="AE4736" s="23"/>
      <c r="AF4736" s="23"/>
      <c r="AG4736" s="23"/>
      <c r="AH4736" s="23"/>
      <c r="AI4736" s="49"/>
    </row>
    <row r="4737" spans="1:35">
      <c r="A4737" s="50"/>
      <c r="B4737" s="42"/>
      <c r="C4737" s="49"/>
      <c r="E4737" s="49"/>
      <c r="G4737" s="43"/>
      <c r="H4737" s="44"/>
      <c r="L4737" s="42"/>
      <c r="M4737" s="42"/>
      <c r="N4737" s="25"/>
      <c r="O4737" s="54"/>
      <c r="P4737"/>
      <c r="Q4737" s="25"/>
      <c r="R4737" s="54"/>
      <c r="W4737" s="23"/>
      <c r="X4737" s="23"/>
      <c r="Y4737" s="23"/>
      <c r="Z4737" s="43"/>
      <c r="AA4737" s="23"/>
      <c r="AB4737" s="23"/>
      <c r="AC4737" s="23"/>
      <c r="AD4737" s="23"/>
      <c r="AE4737" s="23"/>
      <c r="AF4737" s="23"/>
      <c r="AG4737" s="23"/>
      <c r="AH4737" s="23"/>
      <c r="AI4737" s="49"/>
    </row>
    <row r="4738" spans="1:35">
      <c r="A4738" s="50"/>
      <c r="B4738" s="42"/>
      <c r="C4738" s="49"/>
      <c r="E4738" s="49"/>
      <c r="G4738" s="43"/>
      <c r="H4738" s="44"/>
      <c r="L4738" s="42"/>
      <c r="M4738" s="42"/>
      <c r="N4738" s="25"/>
      <c r="O4738" s="54"/>
      <c r="P4738"/>
      <c r="Q4738" s="25"/>
      <c r="R4738" s="54"/>
      <c r="W4738" s="23"/>
      <c r="X4738" s="23"/>
      <c r="Y4738" s="23"/>
      <c r="Z4738" s="43"/>
      <c r="AA4738" s="23"/>
      <c r="AB4738" s="23"/>
      <c r="AC4738" s="23"/>
      <c r="AD4738" s="23"/>
      <c r="AE4738" s="23"/>
      <c r="AF4738" s="23"/>
      <c r="AG4738" s="23"/>
      <c r="AH4738" s="23"/>
      <c r="AI4738" s="49"/>
    </row>
    <row r="4739" spans="1:35">
      <c r="A4739" s="50"/>
      <c r="B4739" s="42"/>
      <c r="C4739" s="49"/>
      <c r="E4739" s="49"/>
      <c r="G4739" s="43"/>
      <c r="H4739" s="44"/>
      <c r="L4739" s="42"/>
      <c r="M4739" s="42"/>
      <c r="N4739" s="25"/>
      <c r="O4739" s="54"/>
      <c r="P4739"/>
      <c r="Q4739" s="25"/>
      <c r="R4739" s="54"/>
      <c r="W4739" s="23"/>
      <c r="X4739" s="23"/>
      <c r="Y4739" s="23"/>
      <c r="Z4739" s="43"/>
      <c r="AA4739" s="23"/>
      <c r="AB4739" s="23"/>
      <c r="AC4739" s="23"/>
      <c r="AD4739" s="23"/>
      <c r="AE4739" s="23"/>
      <c r="AF4739" s="23"/>
      <c r="AG4739" s="23"/>
      <c r="AH4739" s="23"/>
      <c r="AI4739" s="49"/>
    </row>
    <row r="4740" spans="1:35">
      <c r="A4740" s="50"/>
      <c r="B4740" s="42"/>
      <c r="C4740" s="49"/>
      <c r="E4740" s="49"/>
      <c r="G4740" s="43"/>
      <c r="H4740" s="44"/>
      <c r="L4740" s="42"/>
      <c r="M4740" s="42"/>
      <c r="N4740" s="25"/>
      <c r="O4740" s="54"/>
      <c r="P4740"/>
      <c r="Q4740" s="25"/>
      <c r="R4740" s="54"/>
      <c r="W4740" s="23"/>
      <c r="X4740" s="23"/>
      <c r="Y4740" s="23"/>
      <c r="Z4740" s="43"/>
      <c r="AA4740" s="23"/>
      <c r="AB4740" s="23"/>
      <c r="AC4740" s="23"/>
      <c r="AD4740" s="23"/>
      <c r="AE4740" s="23"/>
      <c r="AF4740" s="23"/>
      <c r="AG4740" s="23"/>
      <c r="AH4740" s="23"/>
      <c r="AI4740" s="49"/>
    </row>
    <row r="4741" spans="1:35">
      <c r="A4741" s="50"/>
      <c r="B4741" s="42"/>
      <c r="C4741" s="49"/>
      <c r="E4741" s="49"/>
      <c r="G4741" s="43"/>
      <c r="H4741" s="44"/>
      <c r="L4741" s="42"/>
      <c r="M4741" s="42"/>
      <c r="N4741" s="25"/>
      <c r="O4741" s="54"/>
      <c r="P4741"/>
      <c r="Q4741" s="25"/>
      <c r="R4741" s="54"/>
      <c r="W4741" s="23"/>
      <c r="X4741" s="23"/>
      <c r="Y4741" s="23"/>
      <c r="Z4741" s="43"/>
      <c r="AA4741" s="23"/>
      <c r="AB4741" s="23"/>
      <c r="AC4741" s="23"/>
      <c r="AD4741" s="23"/>
      <c r="AE4741" s="23"/>
      <c r="AF4741" s="23"/>
      <c r="AG4741" s="23"/>
      <c r="AH4741" s="23"/>
      <c r="AI4741" s="49"/>
    </row>
    <row r="4742" spans="1:35">
      <c r="A4742" s="50"/>
      <c r="B4742" s="42"/>
      <c r="C4742" s="49"/>
      <c r="E4742" s="49"/>
      <c r="G4742" s="43"/>
      <c r="H4742" s="44"/>
      <c r="L4742" s="42"/>
      <c r="M4742" s="42"/>
      <c r="N4742" s="25"/>
      <c r="O4742" s="54"/>
      <c r="P4742"/>
      <c r="Q4742" s="25"/>
      <c r="R4742" s="54"/>
      <c r="W4742" s="23"/>
      <c r="X4742" s="23"/>
      <c r="Y4742" s="23"/>
      <c r="Z4742" s="43"/>
      <c r="AA4742" s="23"/>
      <c r="AB4742" s="23"/>
      <c r="AC4742" s="23"/>
      <c r="AD4742" s="23"/>
      <c r="AE4742" s="23"/>
      <c r="AF4742" s="23"/>
      <c r="AG4742" s="23"/>
      <c r="AH4742" s="23"/>
      <c r="AI4742" s="49"/>
    </row>
    <row r="4743" spans="1:35">
      <c r="A4743" s="50"/>
      <c r="B4743" s="42"/>
      <c r="C4743" s="49"/>
      <c r="E4743" s="49"/>
      <c r="G4743" s="43"/>
      <c r="H4743" s="44"/>
      <c r="L4743" s="42"/>
      <c r="M4743" s="42"/>
      <c r="N4743" s="25"/>
      <c r="O4743" s="54"/>
      <c r="P4743"/>
      <c r="Q4743" s="25"/>
      <c r="R4743" s="54"/>
      <c r="W4743" s="23"/>
      <c r="X4743" s="23"/>
      <c r="Y4743" s="23"/>
      <c r="Z4743" s="43"/>
      <c r="AA4743" s="23"/>
      <c r="AB4743" s="23"/>
      <c r="AC4743" s="23"/>
      <c r="AD4743" s="23"/>
      <c r="AE4743" s="23"/>
      <c r="AF4743" s="23"/>
      <c r="AG4743" s="23"/>
      <c r="AH4743" s="23"/>
      <c r="AI4743" s="49"/>
    </row>
    <row r="4744" spans="1:35">
      <c r="A4744" s="50"/>
      <c r="B4744" s="42"/>
      <c r="C4744" s="49"/>
      <c r="E4744" s="49"/>
      <c r="G4744" s="43"/>
      <c r="H4744" s="44"/>
      <c r="L4744" s="42"/>
      <c r="M4744" s="42"/>
      <c r="N4744" s="25"/>
      <c r="O4744" s="54"/>
      <c r="P4744"/>
      <c r="Q4744" s="25"/>
      <c r="R4744" s="54"/>
      <c r="W4744" s="23"/>
      <c r="X4744" s="23"/>
      <c r="Y4744" s="23"/>
      <c r="Z4744" s="43"/>
      <c r="AA4744" s="23"/>
      <c r="AB4744" s="23"/>
      <c r="AC4744" s="23"/>
      <c r="AD4744" s="23"/>
      <c r="AE4744" s="23"/>
      <c r="AF4744" s="23"/>
      <c r="AG4744" s="23"/>
      <c r="AH4744" s="23"/>
      <c r="AI4744" s="49"/>
    </row>
    <row r="4745" spans="1:35">
      <c r="A4745" s="50"/>
      <c r="B4745" s="42"/>
      <c r="C4745" s="49"/>
      <c r="E4745" s="49"/>
      <c r="G4745" s="43"/>
      <c r="H4745" s="44"/>
      <c r="L4745" s="42"/>
      <c r="M4745" s="42"/>
      <c r="N4745" s="25"/>
      <c r="O4745" s="54"/>
      <c r="P4745"/>
      <c r="Q4745" s="25"/>
      <c r="R4745" s="54"/>
      <c r="W4745" s="23"/>
      <c r="X4745" s="23"/>
      <c r="Y4745" s="23"/>
      <c r="Z4745" s="43"/>
      <c r="AA4745" s="23"/>
      <c r="AB4745" s="23"/>
      <c r="AC4745" s="23"/>
      <c r="AD4745" s="23"/>
      <c r="AE4745" s="23"/>
      <c r="AF4745" s="23"/>
      <c r="AG4745" s="23"/>
      <c r="AH4745" s="23"/>
      <c r="AI4745" s="49"/>
    </row>
    <row r="4746" spans="1:35">
      <c r="A4746" s="50"/>
      <c r="B4746" s="42"/>
      <c r="C4746" s="49"/>
      <c r="E4746" s="49"/>
      <c r="G4746" s="43"/>
      <c r="H4746" s="44"/>
      <c r="L4746" s="42"/>
      <c r="M4746" s="42"/>
      <c r="N4746" s="25"/>
      <c r="O4746" s="54"/>
      <c r="P4746"/>
      <c r="Q4746" s="25"/>
      <c r="R4746" s="54"/>
      <c r="W4746" s="23"/>
      <c r="X4746" s="23"/>
      <c r="Y4746" s="23"/>
      <c r="Z4746" s="43"/>
      <c r="AA4746" s="23"/>
      <c r="AB4746" s="23"/>
      <c r="AC4746" s="23"/>
      <c r="AD4746" s="23"/>
      <c r="AE4746" s="23"/>
      <c r="AF4746" s="23"/>
      <c r="AG4746" s="23"/>
      <c r="AH4746" s="23"/>
      <c r="AI4746" s="49"/>
    </row>
    <row r="4747" spans="1:35">
      <c r="A4747" s="50"/>
      <c r="B4747" s="42"/>
      <c r="C4747" s="49"/>
      <c r="E4747" s="49"/>
      <c r="G4747" s="43"/>
      <c r="H4747" s="44"/>
      <c r="L4747" s="42"/>
      <c r="M4747" s="42"/>
      <c r="N4747" s="25"/>
      <c r="O4747" s="54"/>
      <c r="P4747"/>
      <c r="Q4747" s="25"/>
      <c r="R4747" s="54"/>
      <c r="W4747" s="23"/>
      <c r="X4747" s="23"/>
      <c r="Y4747" s="23"/>
      <c r="Z4747" s="43"/>
      <c r="AA4747" s="23"/>
      <c r="AB4747" s="23"/>
      <c r="AC4747" s="23"/>
      <c r="AD4747" s="23"/>
      <c r="AE4747" s="23"/>
      <c r="AF4747" s="23"/>
      <c r="AG4747" s="23"/>
      <c r="AH4747" s="23"/>
      <c r="AI4747" s="49"/>
    </row>
    <row r="4748" spans="1:35">
      <c r="A4748" s="50"/>
      <c r="B4748" s="42"/>
      <c r="C4748" s="49"/>
      <c r="E4748" s="49"/>
      <c r="G4748" s="43"/>
      <c r="H4748" s="44"/>
      <c r="L4748" s="42"/>
      <c r="M4748" s="42"/>
      <c r="N4748" s="25"/>
      <c r="O4748" s="54"/>
      <c r="P4748"/>
      <c r="Q4748" s="25"/>
      <c r="R4748" s="54"/>
      <c r="W4748" s="23"/>
      <c r="X4748" s="23"/>
      <c r="Y4748" s="23"/>
      <c r="Z4748" s="43"/>
      <c r="AA4748" s="23"/>
      <c r="AB4748" s="23"/>
      <c r="AC4748" s="23"/>
      <c r="AD4748" s="23"/>
      <c r="AE4748" s="23"/>
      <c r="AF4748" s="23"/>
      <c r="AG4748" s="23"/>
      <c r="AH4748" s="23"/>
      <c r="AI4748" s="49"/>
    </row>
    <row r="4749" spans="1:35">
      <c r="A4749" s="50"/>
      <c r="B4749" s="42"/>
      <c r="C4749" s="49"/>
      <c r="E4749" s="49"/>
      <c r="G4749" s="43"/>
      <c r="H4749" s="44"/>
      <c r="L4749" s="42"/>
      <c r="M4749" s="42"/>
      <c r="N4749" s="25"/>
      <c r="O4749" s="54"/>
      <c r="P4749"/>
      <c r="Q4749" s="25"/>
      <c r="R4749" s="54"/>
      <c r="W4749" s="23"/>
      <c r="X4749" s="23"/>
      <c r="Y4749" s="23"/>
      <c r="Z4749" s="43"/>
      <c r="AA4749" s="23"/>
      <c r="AB4749" s="23"/>
      <c r="AC4749" s="23"/>
      <c r="AD4749" s="23"/>
      <c r="AE4749" s="23"/>
      <c r="AF4749" s="23"/>
      <c r="AG4749" s="23"/>
      <c r="AH4749" s="23"/>
      <c r="AI4749" s="49"/>
    </row>
    <row r="4750" spans="1:35">
      <c r="A4750" s="50"/>
      <c r="B4750" s="42"/>
      <c r="C4750" s="49"/>
      <c r="E4750" s="49"/>
      <c r="G4750" s="43"/>
      <c r="H4750" s="44"/>
      <c r="L4750" s="42"/>
      <c r="M4750" s="42"/>
      <c r="N4750" s="25"/>
      <c r="O4750" s="54"/>
      <c r="P4750"/>
      <c r="Q4750" s="25"/>
      <c r="R4750" s="54"/>
      <c r="W4750" s="23"/>
      <c r="X4750" s="23"/>
      <c r="Y4750" s="23"/>
      <c r="Z4750" s="43"/>
      <c r="AA4750" s="23"/>
      <c r="AB4750" s="23"/>
      <c r="AC4750" s="23"/>
      <c r="AD4750" s="23"/>
      <c r="AE4750" s="23"/>
      <c r="AF4750" s="23"/>
      <c r="AG4750" s="23"/>
      <c r="AH4750" s="23"/>
      <c r="AI4750" s="49"/>
    </row>
    <row r="4751" spans="1:35">
      <c r="A4751" s="50"/>
      <c r="B4751" s="42"/>
      <c r="C4751" s="49"/>
      <c r="E4751" s="49"/>
      <c r="G4751" s="43"/>
      <c r="H4751" s="44"/>
      <c r="L4751" s="42"/>
      <c r="M4751" s="42"/>
      <c r="N4751" s="25"/>
      <c r="O4751" s="54"/>
      <c r="P4751"/>
      <c r="Q4751" s="25"/>
      <c r="R4751" s="54"/>
      <c r="W4751" s="23"/>
      <c r="X4751" s="23"/>
      <c r="Y4751" s="23"/>
      <c r="Z4751" s="43"/>
      <c r="AA4751" s="23"/>
      <c r="AB4751" s="23"/>
      <c r="AC4751" s="23"/>
      <c r="AD4751" s="23"/>
      <c r="AE4751" s="23"/>
      <c r="AF4751" s="23"/>
      <c r="AG4751" s="23"/>
      <c r="AH4751" s="23"/>
      <c r="AI4751" s="49"/>
    </row>
    <row r="4752" spans="1:35">
      <c r="A4752" s="50"/>
      <c r="B4752" s="42"/>
      <c r="C4752" s="49"/>
      <c r="E4752" s="49"/>
      <c r="G4752" s="43"/>
      <c r="H4752" s="44"/>
      <c r="L4752" s="42"/>
      <c r="M4752" s="42"/>
      <c r="N4752" s="25"/>
      <c r="O4752" s="54"/>
      <c r="P4752"/>
      <c r="Q4752" s="25"/>
      <c r="R4752" s="54"/>
      <c r="W4752" s="23"/>
      <c r="X4752" s="23"/>
      <c r="Y4752" s="23"/>
      <c r="Z4752" s="43"/>
      <c r="AA4752" s="23"/>
      <c r="AB4752" s="23"/>
      <c r="AC4752" s="23"/>
      <c r="AD4752" s="23"/>
      <c r="AE4752" s="23"/>
      <c r="AF4752" s="23"/>
      <c r="AG4752" s="23"/>
      <c r="AH4752" s="23"/>
      <c r="AI4752" s="49"/>
    </row>
    <row r="4753" spans="1:35">
      <c r="A4753" s="50"/>
      <c r="B4753" s="42"/>
      <c r="C4753" s="49"/>
      <c r="E4753" s="49"/>
      <c r="G4753" s="43"/>
      <c r="H4753" s="44"/>
      <c r="L4753" s="42"/>
      <c r="M4753" s="42"/>
      <c r="N4753" s="25"/>
      <c r="O4753" s="54"/>
      <c r="P4753"/>
      <c r="Q4753" s="25"/>
      <c r="R4753" s="54"/>
      <c r="W4753" s="23"/>
      <c r="X4753" s="23"/>
      <c r="Y4753" s="23"/>
      <c r="Z4753" s="43"/>
      <c r="AA4753" s="23"/>
      <c r="AB4753" s="23"/>
      <c r="AC4753" s="23"/>
      <c r="AD4753" s="23"/>
      <c r="AE4753" s="23"/>
      <c r="AF4753" s="23"/>
      <c r="AG4753" s="23"/>
      <c r="AH4753" s="23"/>
      <c r="AI4753" s="49"/>
    </row>
    <row r="4754" spans="1:35">
      <c r="A4754" s="50"/>
      <c r="B4754" s="42"/>
      <c r="C4754" s="49"/>
      <c r="E4754" s="49"/>
      <c r="G4754" s="43"/>
      <c r="H4754" s="44"/>
      <c r="L4754" s="42"/>
      <c r="M4754" s="42"/>
      <c r="N4754" s="25"/>
      <c r="O4754" s="54"/>
      <c r="P4754"/>
      <c r="Q4754" s="25"/>
      <c r="R4754" s="54"/>
      <c r="W4754" s="23"/>
      <c r="X4754" s="23"/>
      <c r="Y4754" s="23"/>
      <c r="Z4754" s="43"/>
      <c r="AA4754" s="23"/>
      <c r="AB4754" s="23"/>
      <c r="AC4754" s="23"/>
      <c r="AD4754" s="23"/>
      <c r="AE4754" s="23"/>
      <c r="AF4754" s="23"/>
      <c r="AG4754" s="23"/>
      <c r="AH4754" s="23"/>
      <c r="AI4754" s="49"/>
    </row>
    <row r="4755" spans="1:35">
      <c r="A4755" s="50"/>
      <c r="B4755" s="42"/>
      <c r="C4755" s="49"/>
      <c r="E4755" s="49"/>
      <c r="G4755" s="43"/>
      <c r="H4755" s="44"/>
      <c r="L4755" s="42"/>
      <c r="M4755" s="42"/>
      <c r="N4755" s="25"/>
      <c r="O4755" s="54"/>
      <c r="P4755"/>
      <c r="Q4755" s="25"/>
      <c r="R4755" s="54"/>
      <c r="W4755" s="23"/>
      <c r="X4755" s="23"/>
      <c r="Y4755" s="23"/>
      <c r="Z4755" s="43"/>
      <c r="AA4755" s="23"/>
      <c r="AB4755" s="23"/>
      <c r="AC4755" s="23"/>
      <c r="AD4755" s="23"/>
      <c r="AE4755" s="23"/>
      <c r="AF4755" s="23"/>
      <c r="AG4755" s="23"/>
      <c r="AH4755" s="23"/>
      <c r="AI4755" s="49"/>
    </row>
    <row r="4756" spans="1:35">
      <c r="A4756" s="50"/>
      <c r="B4756" s="42"/>
      <c r="C4756" s="49"/>
      <c r="E4756" s="49"/>
      <c r="G4756" s="43"/>
      <c r="H4756" s="44"/>
      <c r="L4756" s="42"/>
      <c r="M4756" s="42"/>
      <c r="N4756" s="25"/>
      <c r="O4756" s="54"/>
      <c r="P4756"/>
      <c r="Q4756" s="25"/>
      <c r="R4756" s="54"/>
      <c r="W4756" s="23"/>
      <c r="X4756" s="23"/>
      <c r="Y4756" s="23"/>
      <c r="Z4756" s="43"/>
      <c r="AA4756" s="23"/>
      <c r="AB4756" s="23"/>
      <c r="AC4756" s="23"/>
      <c r="AD4756" s="23"/>
      <c r="AE4756" s="23"/>
      <c r="AF4756" s="23"/>
      <c r="AG4756" s="23"/>
      <c r="AH4756" s="23"/>
      <c r="AI4756" s="49"/>
    </row>
    <row r="4757" spans="1:35">
      <c r="A4757" s="50"/>
      <c r="B4757" s="42"/>
      <c r="C4757" s="49"/>
      <c r="E4757" s="49"/>
      <c r="G4757" s="43"/>
      <c r="H4757" s="44"/>
      <c r="L4757" s="42"/>
      <c r="M4757" s="42"/>
      <c r="N4757" s="25"/>
      <c r="O4757" s="54"/>
      <c r="P4757"/>
      <c r="Q4757" s="25"/>
      <c r="R4757" s="54"/>
      <c r="W4757" s="23"/>
      <c r="X4757" s="23"/>
      <c r="Y4757" s="23"/>
      <c r="Z4757" s="43"/>
      <c r="AA4757" s="23"/>
      <c r="AB4757" s="23"/>
      <c r="AC4757" s="23"/>
      <c r="AD4757" s="23"/>
      <c r="AE4757" s="23"/>
      <c r="AF4757" s="23"/>
      <c r="AG4757" s="23"/>
      <c r="AH4757" s="23"/>
      <c r="AI4757" s="49"/>
    </row>
    <row r="4758" spans="1:35">
      <c r="A4758" s="50"/>
      <c r="B4758" s="42"/>
      <c r="C4758" s="49"/>
      <c r="E4758" s="49"/>
      <c r="G4758" s="43"/>
      <c r="H4758" s="44"/>
      <c r="L4758" s="42"/>
      <c r="M4758" s="42"/>
      <c r="N4758" s="25"/>
      <c r="O4758" s="54"/>
      <c r="P4758"/>
      <c r="Q4758" s="25"/>
      <c r="R4758" s="54"/>
      <c r="W4758" s="23"/>
      <c r="X4758" s="23"/>
      <c r="Y4758" s="23"/>
      <c r="Z4758" s="43"/>
      <c r="AA4758" s="23"/>
      <c r="AB4758" s="23"/>
      <c r="AC4758" s="23"/>
      <c r="AD4758" s="23"/>
      <c r="AE4758" s="23"/>
      <c r="AF4758" s="23"/>
      <c r="AG4758" s="23"/>
      <c r="AH4758" s="23"/>
      <c r="AI4758" s="49"/>
    </row>
    <row r="4759" spans="1:35">
      <c r="A4759" s="50"/>
      <c r="B4759" s="42"/>
      <c r="C4759" s="49"/>
      <c r="E4759" s="49"/>
      <c r="G4759" s="43"/>
      <c r="H4759" s="44"/>
      <c r="L4759" s="42"/>
      <c r="M4759" s="42"/>
      <c r="N4759" s="25"/>
      <c r="O4759" s="54"/>
      <c r="P4759"/>
      <c r="Q4759" s="25"/>
      <c r="R4759" s="54"/>
      <c r="W4759" s="23"/>
      <c r="X4759" s="23"/>
      <c r="Y4759" s="23"/>
      <c r="Z4759" s="43"/>
      <c r="AA4759" s="23"/>
      <c r="AB4759" s="23"/>
      <c r="AC4759" s="23"/>
      <c r="AD4759" s="23"/>
      <c r="AE4759" s="23"/>
      <c r="AF4759" s="23"/>
      <c r="AG4759" s="23"/>
      <c r="AH4759" s="23"/>
      <c r="AI4759" s="49"/>
    </row>
    <row r="4760" spans="1:35">
      <c r="A4760" s="50"/>
      <c r="B4760" s="42"/>
      <c r="C4760" s="49"/>
      <c r="E4760" s="49"/>
      <c r="G4760" s="43"/>
      <c r="H4760" s="44"/>
      <c r="L4760" s="42"/>
      <c r="M4760" s="42"/>
      <c r="N4760" s="25"/>
      <c r="O4760" s="54"/>
      <c r="P4760"/>
      <c r="Q4760" s="25"/>
      <c r="R4760" s="54"/>
      <c r="W4760" s="23"/>
      <c r="X4760" s="23"/>
      <c r="Y4760" s="23"/>
      <c r="Z4760" s="43"/>
      <c r="AA4760" s="23"/>
      <c r="AB4760" s="23"/>
      <c r="AC4760" s="23"/>
      <c r="AD4760" s="23"/>
      <c r="AE4760" s="23"/>
      <c r="AF4760" s="23"/>
      <c r="AG4760" s="23"/>
      <c r="AH4760" s="23"/>
      <c r="AI4760" s="49"/>
    </row>
    <row r="4761" spans="1:35">
      <c r="A4761" s="50"/>
      <c r="B4761" s="42"/>
      <c r="C4761" s="49"/>
      <c r="E4761" s="49"/>
      <c r="G4761" s="43"/>
      <c r="H4761" s="44"/>
      <c r="L4761" s="42"/>
      <c r="M4761" s="42"/>
      <c r="N4761" s="25"/>
      <c r="O4761" s="54"/>
      <c r="P4761"/>
      <c r="Q4761" s="25"/>
      <c r="R4761" s="54"/>
      <c r="W4761" s="23"/>
      <c r="X4761" s="23"/>
      <c r="Y4761" s="23"/>
      <c r="Z4761" s="43"/>
      <c r="AA4761" s="23"/>
      <c r="AB4761" s="23"/>
      <c r="AC4761" s="23"/>
      <c r="AD4761" s="23"/>
      <c r="AE4761" s="23"/>
      <c r="AF4761" s="23"/>
      <c r="AG4761" s="23"/>
      <c r="AH4761" s="23"/>
      <c r="AI4761" s="49"/>
    </row>
    <row r="4762" spans="1:35">
      <c r="A4762" s="50"/>
      <c r="B4762" s="42"/>
      <c r="C4762" s="49"/>
      <c r="E4762" s="49"/>
      <c r="G4762" s="43"/>
      <c r="H4762" s="44"/>
      <c r="L4762" s="42"/>
      <c r="M4762" s="42"/>
      <c r="N4762" s="25"/>
      <c r="O4762" s="54"/>
      <c r="P4762"/>
      <c r="Q4762" s="25"/>
      <c r="R4762" s="54"/>
      <c r="W4762" s="23"/>
      <c r="X4762" s="23"/>
      <c r="Y4762" s="23"/>
      <c r="Z4762" s="43"/>
      <c r="AA4762" s="23"/>
      <c r="AB4762" s="23"/>
      <c r="AC4762" s="23"/>
      <c r="AD4762" s="23"/>
      <c r="AE4762" s="23"/>
      <c r="AF4762" s="23"/>
      <c r="AG4762" s="23"/>
      <c r="AH4762" s="23"/>
      <c r="AI4762" s="49"/>
    </row>
    <row r="4763" spans="1:35">
      <c r="A4763" s="50"/>
      <c r="B4763" s="42"/>
      <c r="C4763" s="49"/>
      <c r="E4763" s="49"/>
      <c r="G4763" s="43"/>
      <c r="H4763" s="44"/>
      <c r="L4763" s="42"/>
      <c r="M4763" s="42"/>
      <c r="N4763" s="25"/>
      <c r="O4763" s="54"/>
      <c r="P4763"/>
      <c r="Q4763" s="25"/>
      <c r="R4763" s="54"/>
      <c r="W4763" s="23"/>
      <c r="X4763" s="23"/>
      <c r="Y4763" s="23"/>
      <c r="Z4763" s="43"/>
      <c r="AA4763" s="23"/>
      <c r="AB4763" s="23"/>
      <c r="AC4763" s="23"/>
      <c r="AD4763" s="23"/>
      <c r="AE4763" s="23"/>
      <c r="AF4763" s="23"/>
      <c r="AG4763" s="23"/>
      <c r="AH4763" s="23"/>
      <c r="AI4763" s="49"/>
    </row>
    <row r="4764" spans="1:35">
      <c r="A4764" s="50"/>
      <c r="B4764" s="42"/>
      <c r="C4764" s="49"/>
      <c r="E4764" s="49"/>
      <c r="G4764" s="43"/>
      <c r="H4764" s="44"/>
      <c r="L4764" s="42"/>
      <c r="M4764" s="42"/>
      <c r="N4764" s="25"/>
      <c r="O4764" s="54"/>
      <c r="P4764"/>
      <c r="Q4764" s="25"/>
      <c r="R4764" s="54"/>
      <c r="W4764" s="23"/>
      <c r="X4764" s="23"/>
      <c r="Y4764" s="23"/>
      <c r="Z4764" s="43"/>
      <c r="AA4764" s="23"/>
      <c r="AB4764" s="23"/>
      <c r="AC4764" s="23"/>
      <c r="AD4764" s="23"/>
      <c r="AE4764" s="23"/>
      <c r="AF4764" s="23"/>
      <c r="AG4764" s="23"/>
      <c r="AH4764" s="23"/>
      <c r="AI4764" s="49"/>
    </row>
    <row r="4765" spans="1:35">
      <c r="A4765" s="50"/>
      <c r="B4765" s="42"/>
      <c r="C4765" s="49"/>
      <c r="E4765" s="49"/>
      <c r="G4765" s="43"/>
      <c r="H4765" s="44"/>
      <c r="L4765" s="42"/>
      <c r="M4765" s="42"/>
      <c r="N4765" s="25"/>
      <c r="O4765" s="54"/>
      <c r="P4765"/>
      <c r="Q4765" s="25"/>
      <c r="R4765" s="54"/>
      <c r="W4765" s="23"/>
      <c r="X4765" s="23"/>
      <c r="Y4765" s="23"/>
      <c r="Z4765" s="43"/>
      <c r="AA4765" s="23"/>
      <c r="AB4765" s="23"/>
      <c r="AC4765" s="23"/>
      <c r="AD4765" s="23"/>
      <c r="AE4765" s="23"/>
      <c r="AF4765" s="23"/>
      <c r="AG4765" s="23"/>
      <c r="AH4765" s="23"/>
      <c r="AI4765" s="49"/>
    </row>
    <row r="4766" spans="1:35">
      <c r="A4766" s="50"/>
      <c r="B4766" s="42"/>
      <c r="C4766" s="49"/>
      <c r="E4766" s="49"/>
      <c r="G4766" s="43"/>
      <c r="H4766" s="44"/>
      <c r="L4766" s="42"/>
      <c r="M4766" s="42"/>
      <c r="N4766" s="25"/>
      <c r="O4766" s="54"/>
      <c r="P4766"/>
      <c r="Q4766" s="25"/>
      <c r="R4766" s="54"/>
      <c r="W4766" s="23"/>
      <c r="X4766" s="23"/>
      <c r="Y4766" s="23"/>
      <c r="Z4766" s="43"/>
      <c r="AA4766" s="23"/>
      <c r="AB4766" s="23"/>
      <c r="AC4766" s="23"/>
      <c r="AD4766" s="23"/>
      <c r="AE4766" s="23"/>
      <c r="AF4766" s="23"/>
      <c r="AG4766" s="23"/>
      <c r="AH4766" s="23"/>
      <c r="AI4766" s="49"/>
    </row>
    <row r="4767" spans="1:35">
      <c r="A4767" s="50"/>
      <c r="B4767" s="42"/>
      <c r="C4767" s="49"/>
      <c r="E4767" s="49"/>
      <c r="G4767" s="43"/>
      <c r="H4767" s="44"/>
      <c r="L4767" s="42"/>
      <c r="M4767" s="42"/>
      <c r="N4767" s="25"/>
      <c r="O4767" s="54"/>
      <c r="P4767"/>
      <c r="Q4767" s="25"/>
      <c r="R4767" s="54"/>
      <c r="W4767" s="23"/>
      <c r="X4767" s="23"/>
      <c r="Y4767" s="23"/>
      <c r="Z4767" s="43"/>
      <c r="AA4767" s="23"/>
      <c r="AB4767" s="23"/>
      <c r="AC4767" s="23"/>
      <c r="AD4767" s="23"/>
      <c r="AE4767" s="23"/>
      <c r="AF4767" s="23"/>
      <c r="AG4767" s="23"/>
      <c r="AH4767" s="23"/>
      <c r="AI4767" s="49"/>
    </row>
    <row r="4768" spans="1:35">
      <c r="A4768" s="50"/>
      <c r="B4768" s="42"/>
      <c r="C4768" s="49"/>
      <c r="E4768" s="49"/>
      <c r="G4768" s="43"/>
      <c r="H4768" s="44"/>
      <c r="L4768" s="42"/>
      <c r="M4768" s="42"/>
      <c r="N4768" s="25"/>
      <c r="O4768" s="54"/>
      <c r="P4768"/>
      <c r="Q4768" s="25"/>
      <c r="R4768" s="54"/>
      <c r="W4768" s="23"/>
      <c r="X4768" s="23"/>
      <c r="Y4768" s="23"/>
      <c r="Z4768" s="43"/>
      <c r="AA4768" s="23"/>
      <c r="AB4768" s="23"/>
      <c r="AC4768" s="23"/>
      <c r="AD4768" s="23"/>
      <c r="AE4768" s="23"/>
      <c r="AF4768" s="23"/>
      <c r="AG4768" s="23"/>
      <c r="AH4768" s="23"/>
      <c r="AI4768" s="49"/>
    </row>
    <row r="4769" spans="1:35">
      <c r="A4769" s="50"/>
      <c r="B4769" s="42"/>
      <c r="C4769" s="49"/>
      <c r="E4769" s="49"/>
      <c r="G4769" s="43"/>
      <c r="H4769" s="44"/>
      <c r="L4769" s="42"/>
      <c r="M4769" s="42"/>
      <c r="N4769" s="25"/>
      <c r="O4769" s="54"/>
      <c r="P4769"/>
      <c r="Q4769" s="25"/>
      <c r="R4769" s="54"/>
      <c r="W4769" s="23"/>
      <c r="X4769" s="23"/>
      <c r="Y4769" s="23"/>
      <c r="Z4769" s="43"/>
      <c r="AA4769" s="23"/>
      <c r="AB4769" s="23"/>
      <c r="AC4769" s="23"/>
      <c r="AD4769" s="23"/>
      <c r="AE4769" s="23"/>
      <c r="AF4769" s="23"/>
      <c r="AG4769" s="23"/>
      <c r="AH4769" s="23"/>
      <c r="AI4769" s="49"/>
    </row>
    <row r="4770" spans="1:35">
      <c r="A4770" s="50"/>
      <c r="B4770" s="42"/>
      <c r="C4770" s="49"/>
      <c r="E4770" s="49"/>
      <c r="G4770" s="43"/>
      <c r="H4770" s="44"/>
      <c r="L4770" s="42"/>
      <c r="M4770" s="42"/>
      <c r="N4770" s="25"/>
      <c r="O4770" s="54"/>
      <c r="P4770"/>
      <c r="Q4770" s="25"/>
      <c r="R4770" s="54"/>
      <c r="W4770" s="23"/>
      <c r="X4770" s="23"/>
      <c r="Y4770" s="23"/>
      <c r="Z4770" s="43"/>
      <c r="AA4770" s="23"/>
      <c r="AB4770" s="23"/>
      <c r="AC4770" s="23"/>
      <c r="AD4770" s="23"/>
      <c r="AE4770" s="23"/>
      <c r="AF4770" s="23"/>
      <c r="AG4770" s="23"/>
      <c r="AH4770" s="23"/>
      <c r="AI4770" s="49"/>
    </row>
    <row r="4771" spans="1:35">
      <c r="A4771" s="50"/>
      <c r="B4771" s="42"/>
      <c r="C4771" s="49"/>
      <c r="E4771" s="49"/>
      <c r="G4771" s="43"/>
      <c r="H4771" s="44"/>
      <c r="L4771" s="42"/>
      <c r="M4771" s="42"/>
      <c r="N4771" s="25"/>
      <c r="O4771" s="54"/>
      <c r="P4771"/>
      <c r="Q4771" s="25"/>
      <c r="R4771" s="54"/>
      <c r="W4771" s="23"/>
      <c r="X4771" s="23"/>
      <c r="Y4771" s="23"/>
      <c r="Z4771" s="43"/>
      <c r="AA4771" s="23"/>
      <c r="AB4771" s="23"/>
      <c r="AC4771" s="23"/>
      <c r="AD4771" s="23"/>
      <c r="AE4771" s="23"/>
      <c r="AF4771" s="23"/>
      <c r="AG4771" s="23"/>
      <c r="AH4771" s="23"/>
      <c r="AI4771" s="49"/>
    </row>
    <row r="4772" spans="1:35">
      <c r="A4772" s="50"/>
      <c r="B4772" s="42"/>
      <c r="C4772" s="49"/>
      <c r="E4772" s="49"/>
      <c r="G4772" s="43"/>
      <c r="H4772" s="44"/>
      <c r="L4772" s="42"/>
      <c r="M4772" s="42"/>
      <c r="N4772" s="25"/>
      <c r="O4772" s="54"/>
      <c r="P4772"/>
      <c r="Q4772" s="25"/>
      <c r="R4772" s="54"/>
      <c r="W4772" s="23"/>
      <c r="X4772" s="23"/>
      <c r="Y4772" s="23"/>
      <c r="Z4772" s="43"/>
      <c r="AA4772" s="23"/>
      <c r="AB4772" s="23"/>
      <c r="AC4772" s="23"/>
      <c r="AD4772" s="23"/>
      <c r="AE4772" s="23"/>
      <c r="AF4772" s="23"/>
      <c r="AG4772" s="23"/>
      <c r="AH4772" s="23"/>
      <c r="AI4772" s="49"/>
    </row>
    <row r="4773" spans="1:35">
      <c r="A4773" s="50"/>
      <c r="B4773" s="42"/>
      <c r="C4773" s="49"/>
      <c r="E4773" s="49"/>
      <c r="G4773" s="43"/>
      <c r="H4773" s="44"/>
      <c r="L4773" s="42"/>
      <c r="M4773" s="42"/>
      <c r="N4773" s="25"/>
      <c r="O4773" s="54"/>
      <c r="P4773"/>
      <c r="Q4773" s="25"/>
      <c r="R4773" s="54"/>
      <c r="W4773" s="23"/>
      <c r="X4773" s="23"/>
      <c r="Y4773" s="23"/>
      <c r="Z4773" s="43"/>
      <c r="AA4773" s="23"/>
      <c r="AB4773" s="23"/>
      <c r="AC4773" s="23"/>
      <c r="AD4773" s="23"/>
      <c r="AE4773" s="23"/>
      <c r="AF4773" s="23"/>
      <c r="AG4773" s="23"/>
      <c r="AH4773" s="23"/>
      <c r="AI4773" s="49"/>
    </row>
    <row r="4774" spans="1:35">
      <c r="A4774" s="50"/>
      <c r="B4774" s="42"/>
      <c r="C4774" s="49"/>
      <c r="E4774" s="49"/>
      <c r="G4774" s="43"/>
      <c r="H4774" s="44"/>
      <c r="L4774" s="42"/>
      <c r="M4774" s="42"/>
      <c r="N4774" s="25"/>
      <c r="O4774" s="54"/>
      <c r="P4774"/>
      <c r="Q4774" s="25"/>
      <c r="R4774" s="54"/>
      <c r="W4774" s="23"/>
      <c r="X4774" s="23"/>
      <c r="Y4774" s="23"/>
      <c r="Z4774" s="43"/>
      <c r="AA4774" s="23"/>
      <c r="AB4774" s="23"/>
      <c r="AC4774" s="23"/>
      <c r="AD4774" s="23"/>
      <c r="AE4774" s="23"/>
      <c r="AF4774" s="23"/>
      <c r="AG4774" s="23"/>
      <c r="AH4774" s="23"/>
      <c r="AI4774" s="49"/>
    </row>
    <row r="4775" spans="1:35">
      <c r="A4775" s="50"/>
      <c r="B4775" s="42"/>
      <c r="C4775" s="49"/>
      <c r="E4775" s="49"/>
      <c r="G4775" s="43"/>
      <c r="H4775" s="44"/>
      <c r="L4775" s="42"/>
      <c r="M4775" s="42"/>
      <c r="N4775" s="25"/>
      <c r="O4775" s="54"/>
      <c r="P4775"/>
      <c r="Q4775" s="25"/>
      <c r="R4775" s="54"/>
      <c r="W4775" s="23"/>
      <c r="X4775" s="23"/>
      <c r="Y4775" s="23"/>
      <c r="Z4775" s="43"/>
      <c r="AA4775" s="23"/>
      <c r="AB4775" s="23"/>
      <c r="AC4775" s="23"/>
      <c r="AD4775" s="23"/>
      <c r="AE4775" s="23"/>
      <c r="AF4775" s="23"/>
      <c r="AG4775" s="23"/>
      <c r="AH4775" s="23"/>
      <c r="AI4775" s="49"/>
    </row>
    <row r="4776" spans="1:35">
      <c r="A4776" s="50"/>
      <c r="B4776" s="42"/>
      <c r="C4776" s="49"/>
      <c r="E4776" s="49"/>
      <c r="G4776" s="43"/>
      <c r="H4776" s="44"/>
      <c r="L4776" s="42"/>
      <c r="M4776" s="42"/>
      <c r="N4776" s="25"/>
      <c r="O4776" s="54"/>
      <c r="P4776"/>
      <c r="Q4776" s="25"/>
      <c r="R4776" s="54"/>
      <c r="W4776" s="23"/>
      <c r="X4776" s="23"/>
      <c r="Y4776" s="23"/>
      <c r="Z4776" s="43"/>
      <c r="AA4776" s="23"/>
      <c r="AB4776" s="23"/>
      <c r="AC4776" s="23"/>
      <c r="AD4776" s="23"/>
      <c r="AE4776" s="23"/>
      <c r="AF4776" s="23"/>
      <c r="AG4776" s="23"/>
      <c r="AH4776" s="23"/>
      <c r="AI4776" s="49"/>
    </row>
    <row r="4777" spans="1:35">
      <c r="A4777" s="50"/>
      <c r="B4777" s="42"/>
      <c r="C4777" s="49"/>
      <c r="E4777" s="49"/>
      <c r="G4777" s="43"/>
      <c r="H4777" s="44"/>
      <c r="L4777" s="42"/>
      <c r="M4777" s="42"/>
      <c r="N4777" s="25"/>
      <c r="O4777" s="54"/>
      <c r="P4777"/>
      <c r="Q4777" s="25"/>
      <c r="R4777" s="54"/>
      <c r="W4777" s="23"/>
      <c r="X4777" s="23"/>
      <c r="Y4777" s="23"/>
      <c r="Z4777" s="43"/>
      <c r="AA4777" s="23"/>
      <c r="AB4777" s="23"/>
      <c r="AC4777" s="23"/>
      <c r="AD4777" s="23"/>
      <c r="AE4777" s="23"/>
      <c r="AF4777" s="23"/>
      <c r="AG4777" s="23"/>
      <c r="AH4777" s="23"/>
      <c r="AI4777" s="49"/>
    </row>
    <row r="4778" spans="1:35">
      <c r="A4778" s="50"/>
      <c r="B4778" s="42"/>
      <c r="C4778" s="49"/>
      <c r="E4778" s="49"/>
      <c r="G4778" s="43"/>
      <c r="H4778" s="44"/>
      <c r="L4778" s="42"/>
      <c r="M4778" s="42"/>
      <c r="N4778" s="25"/>
      <c r="O4778" s="54"/>
      <c r="P4778"/>
      <c r="Q4778" s="25"/>
      <c r="R4778" s="54"/>
      <c r="W4778" s="23"/>
      <c r="X4778" s="23"/>
      <c r="Y4778" s="23"/>
      <c r="Z4778" s="43"/>
      <c r="AA4778" s="23"/>
      <c r="AB4778" s="23"/>
      <c r="AC4778" s="23"/>
      <c r="AD4778" s="23"/>
      <c r="AE4778" s="23"/>
      <c r="AF4778" s="23"/>
      <c r="AG4778" s="23"/>
      <c r="AH4778" s="23"/>
      <c r="AI4778" s="49"/>
    </row>
    <row r="4779" spans="1:35">
      <c r="A4779" s="50"/>
      <c r="B4779" s="42"/>
      <c r="C4779" s="49"/>
      <c r="E4779" s="49"/>
      <c r="G4779" s="43"/>
      <c r="H4779" s="44"/>
      <c r="L4779" s="42"/>
      <c r="M4779" s="42"/>
      <c r="N4779" s="25"/>
      <c r="O4779" s="54"/>
      <c r="P4779"/>
      <c r="Q4779" s="25"/>
      <c r="R4779" s="54"/>
      <c r="W4779" s="23"/>
      <c r="X4779" s="23"/>
      <c r="Y4779" s="23"/>
      <c r="Z4779" s="43"/>
      <c r="AA4779" s="23"/>
      <c r="AB4779" s="23"/>
      <c r="AC4779" s="23"/>
      <c r="AD4779" s="23"/>
      <c r="AE4779" s="23"/>
      <c r="AF4779" s="23"/>
      <c r="AG4779" s="23"/>
      <c r="AH4779" s="23"/>
      <c r="AI4779" s="49"/>
    </row>
    <row r="4780" spans="1:35">
      <c r="A4780" s="50"/>
      <c r="B4780" s="42"/>
      <c r="C4780" s="49"/>
      <c r="E4780" s="49"/>
      <c r="G4780" s="43"/>
      <c r="H4780" s="44"/>
      <c r="L4780" s="42"/>
      <c r="M4780" s="42"/>
      <c r="N4780" s="25"/>
      <c r="O4780" s="54"/>
      <c r="P4780"/>
      <c r="Q4780" s="25"/>
      <c r="R4780" s="54"/>
      <c r="W4780" s="23"/>
      <c r="X4780" s="23"/>
      <c r="Y4780" s="23"/>
      <c r="Z4780" s="43"/>
      <c r="AA4780" s="23"/>
      <c r="AB4780" s="23"/>
      <c r="AC4780" s="23"/>
      <c r="AD4780" s="23"/>
      <c r="AE4780" s="23"/>
      <c r="AF4780" s="23"/>
      <c r="AG4780" s="23"/>
      <c r="AH4780" s="23"/>
      <c r="AI4780" s="49"/>
    </row>
    <row r="4781" spans="1:35">
      <c r="A4781" s="50"/>
      <c r="B4781" s="42"/>
      <c r="C4781" s="49"/>
      <c r="E4781" s="49"/>
      <c r="G4781" s="43"/>
      <c r="H4781" s="44"/>
      <c r="L4781" s="42"/>
      <c r="M4781" s="42"/>
      <c r="N4781" s="25"/>
      <c r="O4781" s="54"/>
      <c r="P4781"/>
      <c r="Q4781" s="25"/>
      <c r="R4781" s="54"/>
      <c r="W4781" s="23"/>
      <c r="X4781" s="23"/>
      <c r="Y4781" s="23"/>
      <c r="Z4781" s="43"/>
      <c r="AA4781" s="23"/>
      <c r="AB4781" s="23"/>
      <c r="AC4781" s="23"/>
      <c r="AD4781" s="23"/>
      <c r="AE4781" s="23"/>
      <c r="AF4781" s="23"/>
      <c r="AG4781" s="23"/>
      <c r="AH4781" s="23"/>
      <c r="AI4781" s="49"/>
    </row>
    <row r="4782" spans="1:35">
      <c r="A4782" s="50"/>
      <c r="B4782" s="42"/>
      <c r="C4782" s="49"/>
      <c r="E4782" s="49"/>
      <c r="G4782" s="43"/>
      <c r="H4782" s="44"/>
      <c r="L4782" s="42"/>
      <c r="M4782" s="42"/>
      <c r="N4782" s="25"/>
      <c r="O4782" s="54"/>
      <c r="P4782"/>
      <c r="Q4782" s="25"/>
      <c r="R4782" s="54"/>
      <c r="W4782" s="23"/>
      <c r="X4782" s="23"/>
      <c r="Y4782" s="23"/>
      <c r="Z4782" s="43"/>
      <c r="AA4782" s="23"/>
      <c r="AB4782" s="23"/>
      <c r="AC4782" s="23"/>
      <c r="AD4782" s="23"/>
      <c r="AE4782" s="23"/>
      <c r="AF4782" s="23"/>
      <c r="AG4782" s="23"/>
      <c r="AH4782" s="23"/>
      <c r="AI4782" s="49"/>
    </row>
    <row r="4783" spans="1:35">
      <c r="A4783" s="50"/>
      <c r="B4783" s="42"/>
      <c r="C4783" s="49"/>
      <c r="E4783" s="49"/>
      <c r="G4783" s="43"/>
      <c r="H4783" s="44"/>
      <c r="L4783" s="42"/>
      <c r="M4783" s="42"/>
      <c r="N4783" s="25"/>
      <c r="O4783" s="54"/>
      <c r="P4783"/>
      <c r="Q4783" s="25"/>
      <c r="R4783" s="54"/>
      <c r="W4783" s="23"/>
      <c r="X4783" s="23"/>
      <c r="Y4783" s="23"/>
      <c r="Z4783" s="43"/>
      <c r="AA4783" s="23"/>
      <c r="AB4783" s="23"/>
      <c r="AC4783" s="23"/>
      <c r="AD4783" s="23"/>
      <c r="AE4783" s="23"/>
      <c r="AF4783" s="23"/>
      <c r="AG4783" s="23"/>
      <c r="AH4783" s="23"/>
      <c r="AI4783" s="49"/>
    </row>
    <row r="4784" spans="1:35">
      <c r="A4784" s="50"/>
      <c r="B4784" s="42"/>
      <c r="C4784" s="49"/>
      <c r="E4784" s="49"/>
      <c r="G4784" s="43"/>
      <c r="H4784" s="44"/>
      <c r="L4784" s="42"/>
      <c r="M4784" s="42"/>
      <c r="N4784" s="25"/>
      <c r="O4784" s="54"/>
      <c r="P4784"/>
      <c r="Q4784" s="25"/>
      <c r="R4784" s="54"/>
      <c r="W4784" s="23"/>
      <c r="X4784" s="23"/>
      <c r="Y4784" s="23"/>
      <c r="Z4784" s="43"/>
      <c r="AA4784" s="23"/>
      <c r="AB4784" s="23"/>
      <c r="AC4784" s="23"/>
      <c r="AD4784" s="23"/>
      <c r="AE4784" s="23"/>
      <c r="AF4784" s="23"/>
      <c r="AG4784" s="23"/>
      <c r="AH4784" s="23"/>
      <c r="AI4784" s="49"/>
    </row>
    <row r="4785" spans="1:35">
      <c r="A4785" s="50"/>
      <c r="B4785" s="42"/>
      <c r="C4785" s="49"/>
      <c r="E4785" s="49"/>
      <c r="G4785" s="43"/>
      <c r="H4785" s="44"/>
      <c r="L4785" s="42"/>
      <c r="M4785" s="42"/>
      <c r="N4785" s="25"/>
      <c r="O4785" s="54"/>
      <c r="P4785"/>
      <c r="Q4785" s="25"/>
      <c r="R4785" s="54"/>
      <c r="W4785" s="23"/>
      <c r="X4785" s="23"/>
      <c r="Y4785" s="23"/>
      <c r="Z4785" s="43"/>
      <c r="AA4785" s="23"/>
      <c r="AB4785" s="23"/>
      <c r="AC4785" s="23"/>
      <c r="AD4785" s="23"/>
      <c r="AE4785" s="23"/>
      <c r="AF4785" s="23"/>
      <c r="AG4785" s="23"/>
      <c r="AH4785" s="23"/>
      <c r="AI4785" s="49"/>
    </row>
    <row r="4786" spans="1:35">
      <c r="A4786" s="50"/>
      <c r="B4786" s="42"/>
      <c r="C4786" s="49"/>
      <c r="E4786" s="49"/>
      <c r="G4786" s="43"/>
      <c r="H4786" s="44"/>
      <c r="L4786" s="42"/>
      <c r="M4786" s="42"/>
      <c r="N4786" s="25"/>
      <c r="O4786" s="54"/>
      <c r="P4786"/>
      <c r="Q4786" s="25"/>
      <c r="R4786" s="54"/>
      <c r="W4786" s="23"/>
      <c r="X4786" s="23"/>
      <c r="Y4786" s="23"/>
      <c r="Z4786" s="43"/>
      <c r="AA4786" s="23"/>
      <c r="AB4786" s="23"/>
      <c r="AC4786" s="23"/>
      <c r="AD4786" s="23"/>
      <c r="AE4786" s="23"/>
      <c r="AF4786" s="23"/>
      <c r="AG4786" s="23"/>
      <c r="AH4786" s="23"/>
      <c r="AI4786" s="49"/>
    </row>
    <row r="4787" spans="1:35">
      <c r="A4787" s="50"/>
      <c r="B4787" s="42"/>
      <c r="C4787" s="49"/>
      <c r="E4787" s="49"/>
      <c r="G4787" s="43"/>
      <c r="H4787" s="44"/>
      <c r="L4787" s="42"/>
      <c r="M4787" s="42"/>
      <c r="N4787" s="25"/>
      <c r="O4787" s="54"/>
      <c r="P4787"/>
      <c r="Q4787" s="25"/>
      <c r="R4787" s="54"/>
      <c r="W4787" s="23"/>
      <c r="X4787" s="23"/>
      <c r="Y4787" s="23"/>
      <c r="Z4787" s="43"/>
      <c r="AA4787" s="23"/>
      <c r="AB4787" s="23"/>
      <c r="AC4787" s="23"/>
      <c r="AD4787" s="23"/>
      <c r="AE4787" s="23"/>
      <c r="AF4787" s="23"/>
      <c r="AG4787" s="23"/>
      <c r="AH4787" s="23"/>
      <c r="AI4787" s="49"/>
    </row>
    <row r="4788" spans="1:35">
      <c r="A4788" s="50"/>
      <c r="B4788" s="42"/>
      <c r="C4788" s="49"/>
      <c r="E4788" s="49"/>
      <c r="G4788" s="43"/>
      <c r="H4788" s="44"/>
      <c r="L4788" s="42"/>
      <c r="M4788" s="42"/>
      <c r="N4788" s="25"/>
      <c r="O4788" s="54"/>
      <c r="P4788"/>
      <c r="Q4788" s="25"/>
      <c r="R4788" s="54"/>
      <c r="W4788" s="23"/>
      <c r="X4788" s="23"/>
      <c r="Y4788" s="23"/>
      <c r="Z4788" s="43"/>
      <c r="AA4788" s="23"/>
      <c r="AB4788" s="23"/>
      <c r="AC4788" s="23"/>
      <c r="AD4788" s="23"/>
      <c r="AE4788" s="23"/>
      <c r="AF4788" s="23"/>
      <c r="AG4788" s="23"/>
      <c r="AH4788" s="23"/>
      <c r="AI4788" s="49"/>
    </row>
    <row r="4789" spans="1:35">
      <c r="A4789" s="50"/>
      <c r="B4789" s="42"/>
      <c r="C4789" s="49"/>
      <c r="E4789" s="49"/>
      <c r="G4789" s="43"/>
      <c r="H4789" s="44"/>
      <c r="L4789" s="42"/>
      <c r="M4789" s="42"/>
      <c r="N4789" s="25"/>
      <c r="O4789" s="54"/>
      <c r="P4789"/>
      <c r="Q4789" s="25"/>
      <c r="R4789" s="54"/>
      <c r="W4789" s="23"/>
      <c r="X4789" s="23"/>
      <c r="Y4789" s="23"/>
      <c r="Z4789" s="43"/>
      <c r="AA4789" s="23"/>
      <c r="AB4789" s="23"/>
      <c r="AC4789" s="23"/>
      <c r="AD4789" s="23"/>
      <c r="AE4789" s="23"/>
      <c r="AF4789" s="23"/>
      <c r="AG4789" s="23"/>
      <c r="AH4789" s="23"/>
      <c r="AI4789" s="49"/>
    </row>
    <row r="4790" spans="1:35">
      <c r="A4790" s="50"/>
      <c r="B4790" s="42"/>
      <c r="C4790" s="49"/>
      <c r="E4790" s="49"/>
      <c r="G4790" s="43"/>
      <c r="H4790" s="44"/>
      <c r="L4790" s="42"/>
      <c r="M4790" s="42"/>
      <c r="N4790" s="25"/>
      <c r="O4790" s="54"/>
      <c r="P4790"/>
      <c r="Q4790" s="25"/>
      <c r="R4790" s="54"/>
      <c r="W4790" s="23"/>
      <c r="X4790" s="23"/>
      <c r="Y4790" s="23"/>
      <c r="Z4790" s="43"/>
      <c r="AA4790" s="23"/>
      <c r="AB4790" s="23"/>
      <c r="AC4790" s="23"/>
      <c r="AD4790" s="23"/>
      <c r="AE4790" s="23"/>
      <c r="AF4790" s="23"/>
      <c r="AG4790" s="23"/>
      <c r="AH4790" s="23"/>
      <c r="AI4790" s="49"/>
    </row>
    <row r="4791" spans="1:35">
      <c r="A4791" s="50"/>
      <c r="B4791" s="42"/>
      <c r="C4791" s="49"/>
      <c r="E4791" s="49"/>
      <c r="G4791" s="43"/>
      <c r="H4791" s="44"/>
      <c r="L4791" s="42"/>
      <c r="M4791" s="42"/>
      <c r="N4791" s="25"/>
      <c r="O4791" s="54"/>
      <c r="P4791"/>
      <c r="Q4791" s="25"/>
      <c r="R4791" s="54"/>
      <c r="W4791" s="23"/>
      <c r="X4791" s="23"/>
      <c r="Y4791" s="23"/>
      <c r="Z4791" s="43"/>
      <c r="AA4791" s="23"/>
      <c r="AB4791" s="23"/>
      <c r="AC4791" s="23"/>
      <c r="AD4791" s="23"/>
      <c r="AE4791" s="23"/>
      <c r="AF4791" s="23"/>
      <c r="AG4791" s="23"/>
      <c r="AH4791" s="23"/>
      <c r="AI4791" s="49"/>
    </row>
    <row r="4792" spans="1:35">
      <c r="A4792" s="50"/>
      <c r="B4792" s="42"/>
      <c r="C4792" s="49"/>
      <c r="E4792" s="49"/>
      <c r="G4792" s="43"/>
      <c r="H4792" s="44"/>
      <c r="L4792" s="42"/>
      <c r="M4792" s="42"/>
      <c r="N4792" s="25"/>
      <c r="O4792" s="54"/>
      <c r="P4792"/>
      <c r="Q4792" s="25"/>
      <c r="R4792" s="54"/>
      <c r="W4792" s="23"/>
      <c r="X4792" s="23"/>
      <c r="Y4792" s="23"/>
      <c r="Z4792" s="43"/>
      <c r="AA4792" s="23"/>
      <c r="AB4792" s="23"/>
      <c r="AC4792" s="23"/>
      <c r="AD4792" s="23"/>
      <c r="AE4792" s="23"/>
      <c r="AF4792" s="23"/>
      <c r="AG4792" s="23"/>
      <c r="AH4792" s="23"/>
      <c r="AI4792" s="49"/>
    </row>
    <row r="4793" spans="1:35">
      <c r="A4793" s="50"/>
      <c r="B4793" s="42"/>
      <c r="C4793" s="49"/>
      <c r="E4793" s="49"/>
      <c r="G4793" s="43"/>
      <c r="H4793" s="44"/>
      <c r="L4793" s="42"/>
      <c r="M4793" s="42"/>
      <c r="N4793" s="25"/>
      <c r="O4793" s="54"/>
      <c r="P4793"/>
      <c r="Q4793" s="25"/>
      <c r="R4793" s="54"/>
      <c r="W4793" s="23"/>
      <c r="X4793" s="23"/>
      <c r="Y4793" s="23"/>
      <c r="Z4793" s="43"/>
      <c r="AA4793" s="23"/>
      <c r="AB4793" s="23"/>
      <c r="AC4793" s="23"/>
      <c r="AD4793" s="23"/>
      <c r="AE4793" s="23"/>
      <c r="AF4793" s="23"/>
      <c r="AG4793" s="23"/>
      <c r="AH4793" s="23"/>
      <c r="AI4793" s="49"/>
    </row>
    <row r="4794" spans="1:35">
      <c r="A4794" s="50"/>
      <c r="B4794" s="42"/>
      <c r="C4794" s="49"/>
      <c r="E4794" s="49"/>
      <c r="G4794" s="43"/>
      <c r="H4794" s="44"/>
      <c r="L4794" s="42"/>
      <c r="M4794" s="42"/>
      <c r="N4794" s="25"/>
      <c r="O4794" s="54"/>
      <c r="P4794"/>
      <c r="Q4794" s="25"/>
      <c r="R4794" s="54"/>
      <c r="W4794" s="23"/>
      <c r="X4794" s="23"/>
      <c r="Y4794" s="23"/>
      <c r="Z4794" s="43"/>
      <c r="AA4794" s="23"/>
      <c r="AB4794" s="23"/>
      <c r="AC4794" s="23"/>
      <c r="AD4794" s="23"/>
      <c r="AE4794" s="23"/>
      <c r="AF4794" s="23"/>
      <c r="AG4794" s="23"/>
      <c r="AH4794" s="23"/>
      <c r="AI4794" s="49"/>
    </row>
    <row r="4795" spans="1:35">
      <c r="A4795" s="50"/>
      <c r="B4795" s="42"/>
      <c r="C4795" s="49"/>
      <c r="E4795" s="49"/>
      <c r="G4795" s="43"/>
      <c r="H4795" s="44"/>
      <c r="L4795" s="42"/>
      <c r="M4795" s="42"/>
      <c r="N4795" s="25"/>
      <c r="O4795" s="54"/>
      <c r="P4795"/>
      <c r="Q4795" s="25"/>
      <c r="R4795" s="54"/>
      <c r="W4795" s="23"/>
      <c r="X4795" s="23"/>
      <c r="Y4795" s="23"/>
      <c r="Z4795" s="43"/>
      <c r="AA4795" s="23"/>
      <c r="AB4795" s="23"/>
      <c r="AC4795" s="23"/>
      <c r="AD4795" s="23"/>
      <c r="AE4795" s="23"/>
      <c r="AF4795" s="23"/>
      <c r="AG4795" s="23"/>
      <c r="AH4795" s="23"/>
      <c r="AI4795" s="49"/>
    </row>
    <row r="4796" spans="1:35">
      <c r="A4796" s="50"/>
      <c r="B4796" s="42"/>
      <c r="C4796" s="49"/>
      <c r="E4796" s="49"/>
      <c r="G4796" s="43"/>
      <c r="H4796" s="44"/>
      <c r="L4796" s="42"/>
      <c r="M4796" s="42"/>
      <c r="N4796" s="25"/>
      <c r="O4796" s="54"/>
      <c r="P4796"/>
      <c r="Q4796" s="25"/>
      <c r="R4796" s="54"/>
      <c r="W4796" s="23"/>
      <c r="X4796" s="23"/>
      <c r="Y4796" s="23"/>
      <c r="Z4796" s="43"/>
      <c r="AA4796" s="23"/>
      <c r="AB4796" s="23"/>
      <c r="AC4796" s="23"/>
      <c r="AD4796" s="23"/>
      <c r="AE4796" s="23"/>
      <c r="AF4796" s="23"/>
      <c r="AG4796" s="23"/>
      <c r="AH4796" s="23"/>
      <c r="AI4796" s="49"/>
    </row>
    <row r="4797" spans="1:35">
      <c r="A4797" s="50"/>
      <c r="B4797" s="42"/>
      <c r="C4797" s="49"/>
      <c r="E4797" s="49"/>
      <c r="G4797" s="43"/>
      <c r="H4797" s="44"/>
      <c r="L4797" s="42"/>
      <c r="M4797" s="42"/>
      <c r="N4797" s="25"/>
      <c r="O4797" s="54"/>
      <c r="P4797"/>
      <c r="Q4797" s="25"/>
      <c r="R4797" s="54"/>
      <c r="W4797" s="23"/>
      <c r="X4797" s="23"/>
      <c r="Y4797" s="23"/>
      <c r="Z4797" s="43"/>
      <c r="AA4797" s="23"/>
      <c r="AB4797" s="23"/>
      <c r="AC4797" s="23"/>
      <c r="AD4797" s="23"/>
      <c r="AE4797" s="23"/>
      <c r="AF4797" s="23"/>
      <c r="AG4797" s="23"/>
      <c r="AH4797" s="23"/>
      <c r="AI4797" s="49"/>
    </row>
    <row r="4798" spans="1:35">
      <c r="A4798" s="50"/>
      <c r="B4798" s="42"/>
      <c r="C4798" s="49"/>
      <c r="E4798" s="49"/>
      <c r="G4798" s="43"/>
      <c r="H4798" s="44"/>
      <c r="L4798" s="42"/>
      <c r="M4798" s="42"/>
      <c r="N4798" s="25"/>
      <c r="O4798" s="54"/>
      <c r="P4798"/>
      <c r="Q4798" s="25"/>
      <c r="R4798" s="54"/>
      <c r="W4798" s="23"/>
      <c r="X4798" s="23"/>
      <c r="Y4798" s="23"/>
      <c r="Z4798" s="43"/>
      <c r="AA4798" s="23"/>
      <c r="AB4798" s="23"/>
      <c r="AC4798" s="23"/>
      <c r="AD4798" s="23"/>
      <c r="AE4798" s="23"/>
      <c r="AF4798" s="23"/>
      <c r="AG4798" s="23"/>
      <c r="AH4798" s="23"/>
      <c r="AI4798" s="49"/>
    </row>
    <row r="4799" spans="1:35">
      <c r="A4799" s="50"/>
      <c r="B4799" s="42"/>
      <c r="C4799" s="49"/>
      <c r="E4799" s="49"/>
      <c r="G4799" s="43"/>
      <c r="H4799" s="44"/>
      <c r="L4799" s="42"/>
      <c r="M4799" s="42"/>
      <c r="N4799" s="25"/>
      <c r="O4799" s="54"/>
      <c r="P4799"/>
      <c r="Q4799" s="25"/>
      <c r="R4799" s="54"/>
      <c r="W4799" s="23"/>
      <c r="X4799" s="23"/>
      <c r="Y4799" s="23"/>
      <c r="Z4799" s="43"/>
      <c r="AA4799" s="23"/>
      <c r="AB4799" s="23"/>
      <c r="AC4799" s="23"/>
      <c r="AD4799" s="23"/>
      <c r="AE4799" s="23"/>
      <c r="AF4799" s="23"/>
      <c r="AG4799" s="23"/>
      <c r="AH4799" s="23"/>
      <c r="AI4799" s="49"/>
    </row>
    <row r="4800" spans="1:35">
      <c r="A4800" s="50"/>
      <c r="B4800" s="42"/>
      <c r="C4800" s="49"/>
      <c r="E4800" s="49"/>
      <c r="G4800" s="43"/>
      <c r="H4800" s="44"/>
      <c r="L4800" s="42"/>
      <c r="M4800" s="42"/>
      <c r="N4800" s="25"/>
      <c r="O4800" s="54"/>
      <c r="P4800"/>
      <c r="Q4800" s="25"/>
      <c r="R4800" s="54"/>
      <c r="W4800" s="23"/>
      <c r="X4800" s="23"/>
      <c r="Y4800" s="23"/>
      <c r="Z4800" s="43"/>
      <c r="AA4800" s="23"/>
      <c r="AB4800" s="23"/>
      <c r="AC4800" s="23"/>
      <c r="AD4800" s="23"/>
      <c r="AE4800" s="23"/>
      <c r="AF4800" s="23"/>
      <c r="AG4800" s="23"/>
      <c r="AH4800" s="23"/>
      <c r="AI4800" s="49"/>
    </row>
    <row r="4801" spans="1:35">
      <c r="A4801" s="50"/>
      <c r="B4801" s="42"/>
      <c r="C4801" s="49"/>
      <c r="E4801" s="49"/>
      <c r="G4801" s="43"/>
      <c r="H4801" s="44"/>
      <c r="L4801" s="42"/>
      <c r="M4801" s="42"/>
      <c r="N4801" s="25"/>
      <c r="O4801" s="54"/>
      <c r="P4801"/>
      <c r="Q4801" s="25"/>
      <c r="R4801" s="54"/>
      <c r="W4801" s="23"/>
      <c r="X4801" s="23"/>
      <c r="Y4801" s="23"/>
      <c r="Z4801" s="43"/>
      <c r="AA4801" s="23"/>
      <c r="AB4801" s="23"/>
      <c r="AC4801" s="23"/>
      <c r="AD4801" s="23"/>
      <c r="AE4801" s="23"/>
      <c r="AF4801" s="23"/>
      <c r="AG4801" s="23"/>
      <c r="AH4801" s="23"/>
      <c r="AI4801" s="49"/>
    </row>
    <row r="4802" spans="1:35">
      <c r="A4802" s="50"/>
      <c r="B4802" s="42"/>
      <c r="C4802" s="49"/>
      <c r="E4802" s="49"/>
      <c r="G4802" s="43"/>
      <c r="H4802" s="44"/>
      <c r="L4802" s="42"/>
      <c r="M4802" s="42"/>
      <c r="N4802" s="25"/>
      <c r="O4802" s="54"/>
      <c r="P4802"/>
      <c r="Q4802" s="25"/>
      <c r="R4802" s="54"/>
      <c r="W4802" s="23"/>
      <c r="X4802" s="23"/>
      <c r="Y4802" s="23"/>
      <c r="Z4802" s="43"/>
      <c r="AA4802" s="23"/>
      <c r="AB4802" s="23"/>
      <c r="AC4802" s="23"/>
      <c r="AD4802" s="23"/>
      <c r="AE4802" s="23"/>
      <c r="AF4802" s="23"/>
      <c r="AG4802" s="23"/>
      <c r="AH4802" s="23"/>
      <c r="AI4802" s="49"/>
    </row>
    <row r="4803" spans="1:35">
      <c r="A4803" s="50"/>
      <c r="B4803" s="42"/>
      <c r="C4803" s="49"/>
      <c r="E4803" s="49"/>
      <c r="G4803" s="43"/>
      <c r="H4803" s="44"/>
      <c r="L4803" s="42"/>
      <c r="M4803" s="42"/>
      <c r="N4803" s="25"/>
      <c r="O4803" s="54"/>
      <c r="P4803"/>
      <c r="Q4803" s="25"/>
      <c r="R4803" s="54"/>
      <c r="W4803" s="23"/>
      <c r="X4803" s="23"/>
      <c r="Y4803" s="23"/>
      <c r="Z4803" s="43"/>
      <c r="AA4803" s="23"/>
      <c r="AB4803" s="23"/>
      <c r="AC4803" s="23"/>
      <c r="AD4803" s="23"/>
      <c r="AE4803" s="23"/>
      <c r="AF4803" s="23"/>
      <c r="AG4803" s="23"/>
      <c r="AH4803" s="23"/>
      <c r="AI4803" s="49"/>
    </row>
    <row r="4804" spans="1:35">
      <c r="A4804" s="50"/>
      <c r="B4804" s="42"/>
      <c r="C4804" s="49"/>
      <c r="E4804" s="49"/>
      <c r="G4804" s="43"/>
      <c r="H4804" s="44"/>
      <c r="L4804" s="42"/>
      <c r="M4804" s="42"/>
      <c r="N4804" s="25"/>
      <c r="O4804" s="54"/>
      <c r="P4804"/>
      <c r="Q4804" s="25"/>
      <c r="R4804" s="54"/>
      <c r="W4804" s="23"/>
      <c r="X4804" s="23"/>
      <c r="Y4804" s="23"/>
      <c r="Z4804" s="43"/>
      <c r="AA4804" s="23"/>
      <c r="AB4804" s="23"/>
      <c r="AC4804" s="23"/>
      <c r="AD4804" s="23"/>
      <c r="AE4804" s="23"/>
      <c r="AF4804" s="23"/>
      <c r="AG4804" s="23"/>
      <c r="AH4804" s="23"/>
      <c r="AI4804" s="49"/>
    </row>
    <row r="4805" spans="1:35">
      <c r="A4805" s="50"/>
      <c r="B4805" s="42"/>
      <c r="C4805" s="49"/>
      <c r="E4805" s="49"/>
      <c r="G4805" s="43"/>
      <c r="H4805" s="44"/>
      <c r="L4805" s="42"/>
      <c r="M4805" s="42"/>
      <c r="N4805" s="25"/>
      <c r="O4805" s="54"/>
      <c r="P4805"/>
      <c r="Q4805" s="25"/>
      <c r="R4805" s="54"/>
      <c r="W4805" s="23"/>
      <c r="X4805" s="23"/>
      <c r="Y4805" s="23"/>
      <c r="Z4805" s="43"/>
      <c r="AA4805" s="23"/>
      <c r="AB4805" s="23"/>
      <c r="AC4805" s="23"/>
      <c r="AD4805" s="23"/>
      <c r="AE4805" s="23"/>
      <c r="AF4805" s="23"/>
      <c r="AG4805" s="23"/>
      <c r="AH4805" s="23"/>
      <c r="AI4805" s="49"/>
    </row>
    <row r="4806" spans="1:35">
      <c r="A4806" s="50"/>
      <c r="B4806" s="42"/>
      <c r="C4806" s="49"/>
      <c r="E4806" s="49"/>
      <c r="G4806" s="43"/>
      <c r="H4806" s="44"/>
      <c r="L4806" s="42"/>
      <c r="M4806" s="42"/>
      <c r="N4806" s="25"/>
      <c r="O4806" s="54"/>
      <c r="P4806"/>
      <c r="Q4806" s="25"/>
      <c r="R4806" s="54"/>
      <c r="W4806" s="23"/>
      <c r="X4806" s="23"/>
      <c r="Y4806" s="23"/>
      <c r="Z4806" s="43"/>
      <c r="AA4806" s="23"/>
      <c r="AB4806" s="23"/>
      <c r="AC4806" s="23"/>
      <c r="AD4806" s="23"/>
      <c r="AE4806" s="23"/>
      <c r="AF4806" s="23"/>
      <c r="AG4806" s="23"/>
      <c r="AH4806" s="23"/>
      <c r="AI4806" s="49"/>
    </row>
    <row r="4807" spans="1:35">
      <c r="A4807" s="50"/>
      <c r="B4807" s="42"/>
      <c r="C4807" s="49"/>
      <c r="E4807" s="49"/>
      <c r="G4807" s="43"/>
      <c r="H4807" s="44"/>
      <c r="L4807" s="42"/>
      <c r="M4807" s="42"/>
      <c r="N4807" s="25"/>
      <c r="O4807" s="54"/>
      <c r="P4807"/>
      <c r="Q4807" s="25"/>
      <c r="R4807" s="54"/>
      <c r="W4807" s="23"/>
      <c r="X4807" s="23"/>
      <c r="Y4807" s="23"/>
      <c r="Z4807" s="43"/>
      <c r="AA4807" s="23"/>
      <c r="AB4807" s="23"/>
      <c r="AC4807" s="23"/>
      <c r="AD4807" s="23"/>
      <c r="AE4807" s="23"/>
      <c r="AF4807" s="23"/>
      <c r="AG4807" s="23"/>
      <c r="AH4807" s="23"/>
      <c r="AI4807" s="49"/>
    </row>
    <row r="4808" spans="1:35">
      <c r="A4808" s="50"/>
      <c r="B4808" s="42"/>
      <c r="C4808" s="49"/>
      <c r="E4808" s="49"/>
      <c r="G4808" s="43"/>
      <c r="H4808" s="44"/>
      <c r="L4808" s="42"/>
      <c r="M4808" s="42"/>
      <c r="N4808" s="25"/>
      <c r="O4808" s="54"/>
      <c r="P4808"/>
      <c r="Q4808" s="25"/>
      <c r="R4808" s="54"/>
      <c r="W4808" s="23"/>
      <c r="X4808" s="23"/>
      <c r="Y4808" s="23"/>
      <c r="Z4808" s="43"/>
      <c r="AA4808" s="23"/>
      <c r="AB4808" s="23"/>
      <c r="AC4808" s="23"/>
      <c r="AD4808" s="23"/>
      <c r="AE4808" s="23"/>
      <c r="AF4808" s="23"/>
      <c r="AG4808" s="23"/>
      <c r="AH4808" s="23"/>
      <c r="AI4808" s="49"/>
    </row>
    <row r="4809" spans="1:35">
      <c r="A4809" s="50"/>
      <c r="B4809" s="42"/>
      <c r="C4809" s="49"/>
      <c r="E4809" s="49"/>
      <c r="G4809" s="43"/>
      <c r="H4809" s="44"/>
      <c r="L4809" s="42"/>
      <c r="M4809" s="42"/>
      <c r="N4809" s="25"/>
      <c r="O4809" s="54"/>
      <c r="P4809"/>
      <c r="Q4809" s="25"/>
      <c r="R4809" s="54"/>
      <c r="W4809" s="23"/>
      <c r="X4809" s="23"/>
      <c r="Y4809" s="23"/>
      <c r="Z4809" s="43"/>
      <c r="AA4809" s="23"/>
      <c r="AB4809" s="23"/>
      <c r="AC4809" s="23"/>
      <c r="AD4809" s="23"/>
      <c r="AE4809" s="23"/>
      <c r="AF4809" s="23"/>
      <c r="AG4809" s="23"/>
      <c r="AH4809" s="23"/>
      <c r="AI4809" s="49"/>
    </row>
    <row r="4810" spans="1:35">
      <c r="A4810" s="50"/>
      <c r="B4810" s="42"/>
      <c r="C4810" s="49"/>
      <c r="E4810" s="49"/>
      <c r="G4810" s="43"/>
      <c r="H4810" s="44"/>
      <c r="L4810" s="42"/>
      <c r="M4810" s="42"/>
      <c r="N4810" s="25"/>
      <c r="O4810" s="54"/>
      <c r="P4810"/>
      <c r="Q4810" s="25"/>
      <c r="R4810" s="54"/>
      <c r="W4810" s="23"/>
      <c r="X4810" s="23"/>
      <c r="Y4810" s="23"/>
      <c r="Z4810" s="43"/>
      <c r="AA4810" s="23"/>
      <c r="AB4810" s="23"/>
      <c r="AC4810" s="23"/>
      <c r="AD4810" s="23"/>
      <c r="AE4810" s="23"/>
      <c r="AF4810" s="23"/>
      <c r="AG4810" s="23"/>
      <c r="AH4810" s="23"/>
      <c r="AI4810" s="49"/>
    </row>
    <row r="4811" spans="1:35">
      <c r="A4811" s="50"/>
      <c r="B4811" s="42"/>
      <c r="C4811" s="49"/>
      <c r="E4811" s="49"/>
      <c r="G4811" s="43"/>
      <c r="H4811" s="44"/>
      <c r="L4811" s="42"/>
      <c r="M4811" s="42"/>
      <c r="N4811" s="25"/>
      <c r="O4811" s="54"/>
      <c r="P4811"/>
      <c r="Q4811" s="25"/>
      <c r="R4811" s="54"/>
      <c r="W4811" s="23"/>
      <c r="X4811" s="23"/>
      <c r="Y4811" s="23"/>
      <c r="Z4811" s="43"/>
      <c r="AA4811" s="23"/>
      <c r="AB4811" s="23"/>
      <c r="AC4811" s="23"/>
      <c r="AD4811" s="23"/>
      <c r="AE4811" s="23"/>
      <c r="AF4811" s="23"/>
      <c r="AG4811" s="23"/>
      <c r="AH4811" s="23"/>
      <c r="AI4811" s="49"/>
    </row>
    <row r="4812" spans="1:35">
      <c r="A4812" s="50"/>
      <c r="B4812" s="42"/>
      <c r="C4812" s="49"/>
      <c r="E4812" s="49"/>
      <c r="G4812" s="43"/>
      <c r="H4812" s="44"/>
      <c r="L4812" s="42"/>
      <c r="M4812" s="42"/>
      <c r="N4812" s="25"/>
      <c r="O4812" s="54"/>
      <c r="P4812"/>
      <c r="Q4812" s="25"/>
      <c r="R4812" s="54"/>
      <c r="W4812" s="23"/>
      <c r="X4812" s="23"/>
      <c r="Y4812" s="23"/>
      <c r="Z4812" s="43"/>
      <c r="AA4812" s="23"/>
      <c r="AB4812" s="23"/>
      <c r="AC4812" s="23"/>
      <c r="AD4812" s="23"/>
      <c r="AE4812" s="23"/>
      <c r="AF4812" s="23"/>
      <c r="AG4812" s="23"/>
      <c r="AH4812" s="23"/>
      <c r="AI4812" s="49"/>
    </row>
    <row r="4813" spans="1:35">
      <c r="A4813" s="50"/>
      <c r="B4813" s="42"/>
      <c r="C4813" s="49"/>
      <c r="E4813" s="49"/>
      <c r="G4813" s="43"/>
      <c r="H4813" s="44"/>
      <c r="L4813" s="42"/>
      <c r="M4813" s="42"/>
      <c r="N4813" s="25"/>
      <c r="O4813" s="54"/>
      <c r="P4813"/>
      <c r="Q4813" s="25"/>
      <c r="R4813" s="54"/>
      <c r="W4813" s="23"/>
      <c r="X4813" s="23"/>
      <c r="Y4813" s="23"/>
      <c r="Z4813" s="43"/>
      <c r="AA4813" s="23"/>
      <c r="AB4813" s="23"/>
      <c r="AC4813" s="23"/>
      <c r="AD4813" s="23"/>
      <c r="AE4813" s="23"/>
      <c r="AF4813" s="23"/>
      <c r="AG4813" s="23"/>
      <c r="AH4813" s="23"/>
      <c r="AI4813" s="49"/>
    </row>
    <row r="4814" spans="1:35">
      <c r="A4814" s="50"/>
      <c r="B4814" s="42"/>
      <c r="C4814" s="49"/>
      <c r="E4814" s="49"/>
      <c r="G4814" s="43"/>
      <c r="H4814" s="44"/>
      <c r="L4814" s="42"/>
      <c r="M4814" s="42"/>
      <c r="N4814" s="25"/>
      <c r="O4814" s="54"/>
      <c r="P4814"/>
      <c r="Q4814" s="25"/>
      <c r="R4814" s="54"/>
      <c r="W4814" s="23"/>
      <c r="X4814" s="23"/>
      <c r="Y4814" s="23"/>
      <c r="Z4814" s="43"/>
      <c r="AA4814" s="23"/>
      <c r="AB4814" s="23"/>
      <c r="AC4814" s="23"/>
      <c r="AD4814" s="23"/>
      <c r="AE4814" s="23"/>
      <c r="AF4814" s="23"/>
      <c r="AG4814" s="23"/>
      <c r="AH4814" s="23"/>
      <c r="AI4814" s="49"/>
    </row>
    <row r="4815" spans="1:35">
      <c r="A4815" s="50"/>
      <c r="B4815" s="42"/>
      <c r="C4815" s="49"/>
      <c r="E4815" s="49"/>
      <c r="G4815" s="43"/>
      <c r="H4815" s="44"/>
      <c r="L4815" s="42"/>
      <c r="M4815" s="42"/>
      <c r="N4815" s="25"/>
      <c r="O4815" s="54"/>
      <c r="P4815"/>
      <c r="Q4815" s="25"/>
      <c r="R4815" s="54"/>
      <c r="W4815" s="23"/>
      <c r="X4815" s="23"/>
      <c r="Y4815" s="23"/>
      <c r="Z4815" s="43"/>
      <c r="AA4815" s="23"/>
      <c r="AB4815" s="23"/>
      <c r="AC4815" s="23"/>
      <c r="AD4815" s="23"/>
      <c r="AE4815" s="23"/>
      <c r="AF4815" s="23"/>
      <c r="AG4815" s="23"/>
      <c r="AH4815" s="23"/>
      <c r="AI4815" s="49"/>
    </row>
    <row r="4816" spans="1:35">
      <c r="A4816" s="50"/>
      <c r="B4816" s="42"/>
      <c r="C4816" s="49"/>
      <c r="E4816" s="49"/>
      <c r="G4816" s="43"/>
      <c r="H4816" s="44"/>
      <c r="L4816" s="42"/>
      <c r="M4816" s="42"/>
      <c r="N4816" s="25"/>
      <c r="O4816" s="54"/>
      <c r="P4816"/>
      <c r="Q4816" s="25"/>
      <c r="R4816" s="54"/>
      <c r="W4816" s="23"/>
      <c r="X4816" s="23"/>
      <c r="Y4816" s="23"/>
      <c r="Z4816" s="43"/>
      <c r="AA4816" s="23"/>
      <c r="AB4816" s="23"/>
      <c r="AC4816" s="23"/>
      <c r="AD4816" s="23"/>
      <c r="AE4816" s="23"/>
      <c r="AF4816" s="23"/>
      <c r="AG4816" s="23"/>
      <c r="AH4816" s="23"/>
      <c r="AI4816" s="49"/>
    </row>
    <row r="4817" spans="1:35">
      <c r="A4817" s="50"/>
      <c r="B4817" s="42"/>
      <c r="C4817" s="49"/>
      <c r="E4817" s="49"/>
      <c r="G4817" s="43"/>
      <c r="H4817" s="44"/>
      <c r="L4817" s="42"/>
      <c r="M4817" s="42"/>
      <c r="N4817" s="25"/>
      <c r="O4817" s="54"/>
      <c r="P4817"/>
      <c r="Q4817" s="25"/>
      <c r="R4817" s="54"/>
      <c r="W4817" s="23"/>
      <c r="X4817" s="23"/>
      <c r="Y4817" s="23"/>
      <c r="Z4817" s="43"/>
      <c r="AA4817" s="23"/>
      <c r="AB4817" s="23"/>
      <c r="AC4817" s="23"/>
      <c r="AD4817" s="23"/>
      <c r="AE4817" s="23"/>
      <c r="AF4817" s="23"/>
      <c r="AG4817" s="23"/>
      <c r="AH4817" s="23"/>
      <c r="AI4817" s="49"/>
    </row>
    <row r="4818" spans="1:35">
      <c r="A4818" s="50"/>
      <c r="B4818" s="42"/>
      <c r="C4818" s="49"/>
      <c r="E4818" s="49"/>
      <c r="G4818" s="43"/>
      <c r="H4818" s="44"/>
      <c r="L4818" s="42"/>
      <c r="M4818" s="42"/>
      <c r="N4818" s="25"/>
      <c r="O4818" s="54"/>
      <c r="P4818"/>
      <c r="Q4818" s="25"/>
      <c r="R4818" s="54"/>
      <c r="W4818" s="23"/>
      <c r="X4818" s="23"/>
      <c r="Y4818" s="23"/>
      <c r="Z4818" s="43"/>
      <c r="AA4818" s="23"/>
      <c r="AB4818" s="23"/>
      <c r="AC4818" s="23"/>
      <c r="AD4818" s="23"/>
      <c r="AE4818" s="23"/>
      <c r="AF4818" s="23"/>
      <c r="AG4818" s="23"/>
      <c r="AH4818" s="23"/>
      <c r="AI4818" s="49"/>
    </row>
    <row r="4819" spans="1:35">
      <c r="A4819" s="50"/>
      <c r="B4819" s="42"/>
      <c r="C4819" s="49"/>
      <c r="E4819" s="49"/>
      <c r="G4819" s="43"/>
      <c r="H4819" s="44"/>
      <c r="L4819" s="42"/>
      <c r="M4819" s="42"/>
      <c r="N4819" s="25"/>
      <c r="O4819" s="54"/>
      <c r="P4819"/>
      <c r="Q4819" s="25"/>
      <c r="R4819" s="54"/>
      <c r="W4819" s="23"/>
      <c r="X4819" s="23"/>
      <c r="Y4819" s="23"/>
      <c r="Z4819" s="43"/>
      <c r="AA4819" s="23"/>
      <c r="AB4819" s="23"/>
      <c r="AC4819" s="23"/>
      <c r="AD4819" s="23"/>
      <c r="AE4819" s="23"/>
      <c r="AF4819" s="23"/>
      <c r="AG4819" s="23"/>
      <c r="AH4819" s="23"/>
      <c r="AI4819" s="49"/>
    </row>
    <row r="4820" spans="1:35">
      <c r="A4820" s="50"/>
      <c r="B4820" s="42"/>
      <c r="C4820" s="49"/>
      <c r="E4820" s="49"/>
      <c r="G4820" s="43"/>
      <c r="H4820" s="44"/>
      <c r="L4820" s="42"/>
      <c r="M4820" s="42"/>
      <c r="N4820" s="25"/>
      <c r="O4820" s="54"/>
      <c r="P4820"/>
      <c r="Q4820" s="25"/>
      <c r="R4820" s="54"/>
      <c r="W4820" s="23"/>
      <c r="X4820" s="23"/>
      <c r="Y4820" s="23"/>
      <c r="Z4820" s="43"/>
      <c r="AA4820" s="23"/>
      <c r="AB4820" s="23"/>
      <c r="AC4820" s="23"/>
      <c r="AD4820" s="23"/>
      <c r="AE4820" s="23"/>
      <c r="AF4820" s="23"/>
      <c r="AG4820" s="23"/>
      <c r="AH4820" s="23"/>
      <c r="AI4820" s="49"/>
    </row>
    <row r="4821" spans="1:35">
      <c r="A4821" s="50"/>
      <c r="B4821" s="42"/>
      <c r="C4821" s="49"/>
      <c r="E4821" s="49"/>
      <c r="G4821" s="43"/>
      <c r="H4821" s="44"/>
      <c r="L4821" s="42"/>
      <c r="M4821" s="42"/>
      <c r="N4821" s="25"/>
      <c r="O4821" s="54"/>
      <c r="P4821"/>
      <c r="Q4821" s="25"/>
      <c r="R4821" s="54"/>
      <c r="W4821" s="23"/>
      <c r="X4821" s="23"/>
      <c r="Y4821" s="23"/>
      <c r="Z4821" s="43"/>
      <c r="AA4821" s="23"/>
      <c r="AB4821" s="23"/>
      <c r="AC4821" s="23"/>
      <c r="AD4821" s="23"/>
      <c r="AE4821" s="23"/>
      <c r="AF4821" s="23"/>
      <c r="AG4821" s="23"/>
      <c r="AH4821" s="23"/>
      <c r="AI4821" s="49"/>
    </row>
    <row r="4822" spans="1:35">
      <c r="A4822" s="50"/>
      <c r="B4822" s="42"/>
      <c r="C4822" s="49"/>
      <c r="E4822" s="49"/>
      <c r="G4822" s="43"/>
      <c r="H4822" s="44"/>
      <c r="L4822" s="42"/>
      <c r="M4822" s="42"/>
      <c r="N4822" s="25"/>
      <c r="O4822" s="54"/>
      <c r="P4822"/>
      <c r="Q4822" s="25"/>
      <c r="R4822" s="54"/>
      <c r="W4822" s="23"/>
      <c r="X4822" s="23"/>
      <c r="Y4822" s="23"/>
      <c r="Z4822" s="43"/>
      <c r="AA4822" s="23"/>
      <c r="AB4822" s="23"/>
      <c r="AC4822" s="23"/>
      <c r="AD4822" s="23"/>
      <c r="AE4822" s="23"/>
      <c r="AF4822" s="23"/>
      <c r="AG4822" s="23"/>
      <c r="AH4822" s="23"/>
      <c r="AI4822" s="49"/>
    </row>
    <row r="4823" spans="1:35">
      <c r="A4823" s="50"/>
      <c r="B4823" s="42"/>
      <c r="C4823" s="49"/>
      <c r="E4823" s="49"/>
      <c r="G4823" s="43"/>
      <c r="H4823" s="44"/>
      <c r="L4823" s="42"/>
      <c r="M4823" s="42"/>
      <c r="N4823" s="25"/>
      <c r="O4823" s="54"/>
      <c r="P4823"/>
      <c r="Q4823" s="25"/>
      <c r="R4823" s="54"/>
      <c r="W4823" s="23"/>
      <c r="X4823" s="23"/>
      <c r="Y4823" s="23"/>
      <c r="Z4823" s="43"/>
      <c r="AA4823" s="23"/>
      <c r="AB4823" s="23"/>
      <c r="AC4823" s="23"/>
      <c r="AD4823" s="23"/>
      <c r="AE4823" s="23"/>
      <c r="AF4823" s="23"/>
      <c r="AG4823" s="23"/>
      <c r="AH4823" s="23"/>
      <c r="AI4823" s="49"/>
    </row>
    <row r="4824" spans="1:35">
      <c r="A4824" s="50"/>
      <c r="B4824" s="42"/>
      <c r="C4824" s="49"/>
      <c r="E4824" s="49"/>
      <c r="G4824" s="43"/>
      <c r="H4824" s="44"/>
      <c r="L4824" s="42"/>
      <c r="M4824" s="42"/>
      <c r="N4824" s="25"/>
      <c r="O4824" s="54"/>
      <c r="P4824"/>
      <c r="Q4824" s="25"/>
      <c r="R4824" s="54"/>
      <c r="W4824" s="23"/>
      <c r="X4824" s="23"/>
      <c r="Y4824" s="23"/>
      <c r="Z4824" s="43"/>
      <c r="AA4824" s="23"/>
      <c r="AB4824" s="23"/>
      <c r="AC4824" s="23"/>
      <c r="AD4824" s="23"/>
      <c r="AE4824" s="23"/>
      <c r="AF4824" s="23"/>
      <c r="AG4824" s="23"/>
      <c r="AH4824" s="23"/>
      <c r="AI4824" s="49"/>
    </row>
    <row r="4825" spans="1:35">
      <c r="A4825" s="50"/>
      <c r="B4825" s="42"/>
      <c r="C4825" s="49"/>
      <c r="E4825" s="49"/>
      <c r="G4825" s="43"/>
      <c r="H4825" s="44"/>
      <c r="L4825" s="42"/>
      <c r="M4825" s="42"/>
      <c r="N4825" s="25"/>
      <c r="O4825" s="54"/>
      <c r="P4825"/>
      <c r="Q4825" s="25"/>
      <c r="R4825" s="54"/>
      <c r="W4825" s="23"/>
      <c r="X4825" s="23"/>
      <c r="Y4825" s="23"/>
      <c r="Z4825" s="43"/>
      <c r="AA4825" s="23"/>
      <c r="AB4825" s="23"/>
      <c r="AC4825" s="23"/>
      <c r="AD4825" s="23"/>
      <c r="AE4825" s="23"/>
      <c r="AF4825" s="23"/>
      <c r="AG4825" s="23"/>
      <c r="AH4825" s="23"/>
      <c r="AI4825" s="49"/>
    </row>
    <row r="4826" spans="1:35">
      <c r="A4826" s="49"/>
      <c r="B4826" s="42"/>
      <c r="C4826" s="49"/>
      <c r="E4826" s="49"/>
      <c r="G4826" s="43"/>
      <c r="H4826" s="44"/>
      <c r="L4826" s="42"/>
      <c r="M4826" s="42"/>
      <c r="N4826" s="25"/>
      <c r="O4826" s="54"/>
      <c r="P4826"/>
      <c r="Q4826" s="25"/>
      <c r="R4826" s="54"/>
      <c r="W4826" s="23"/>
      <c r="X4826" s="23"/>
      <c r="Y4826" s="23"/>
      <c r="Z4826" s="43"/>
      <c r="AA4826" s="23"/>
      <c r="AB4826" s="23"/>
      <c r="AC4826" s="23"/>
      <c r="AD4826" s="23"/>
      <c r="AE4826" s="23"/>
      <c r="AF4826" s="23"/>
      <c r="AG4826" s="23"/>
      <c r="AH4826" s="23"/>
      <c r="AI4826" s="49"/>
    </row>
    <row r="4827" spans="1:35">
      <c r="A4827" s="49"/>
      <c r="B4827" s="42"/>
      <c r="C4827" s="49"/>
      <c r="E4827" s="49"/>
      <c r="G4827" s="43"/>
      <c r="H4827" s="44"/>
      <c r="L4827" s="42"/>
      <c r="M4827" s="42"/>
      <c r="N4827" s="25"/>
      <c r="O4827" s="54"/>
      <c r="P4827"/>
      <c r="Q4827" s="25"/>
      <c r="R4827" s="54"/>
      <c r="W4827" s="23"/>
      <c r="X4827" s="23"/>
      <c r="Y4827" s="23"/>
      <c r="Z4827" s="43"/>
      <c r="AA4827" s="23"/>
      <c r="AB4827" s="23"/>
      <c r="AC4827" s="23"/>
      <c r="AD4827" s="23"/>
      <c r="AE4827" s="23"/>
      <c r="AF4827" s="23"/>
      <c r="AG4827" s="23"/>
      <c r="AH4827" s="23"/>
      <c r="AI4827" s="49"/>
    </row>
    <row r="4828" spans="1:35">
      <c r="A4828" s="49"/>
      <c r="B4828" s="42"/>
      <c r="C4828" s="49"/>
      <c r="E4828" s="49"/>
      <c r="G4828" s="43"/>
      <c r="H4828" s="44"/>
      <c r="L4828" s="42"/>
      <c r="M4828" s="42"/>
      <c r="N4828" s="25"/>
      <c r="O4828" s="54"/>
      <c r="P4828"/>
      <c r="Q4828" s="25"/>
      <c r="R4828" s="54"/>
      <c r="W4828" s="23"/>
      <c r="X4828" s="23"/>
      <c r="Y4828" s="23"/>
      <c r="Z4828" s="43"/>
      <c r="AA4828" s="23"/>
      <c r="AB4828" s="23"/>
      <c r="AC4828" s="23"/>
      <c r="AD4828" s="23"/>
      <c r="AE4828" s="23"/>
      <c r="AF4828" s="23"/>
      <c r="AG4828" s="23"/>
      <c r="AH4828" s="23"/>
      <c r="AI4828" s="49"/>
    </row>
    <row r="4829" spans="1:35">
      <c r="A4829" s="49"/>
      <c r="B4829" s="42"/>
      <c r="C4829" s="49"/>
      <c r="E4829" s="49"/>
      <c r="G4829" s="43"/>
      <c r="H4829" s="44"/>
      <c r="L4829" s="42"/>
      <c r="M4829" s="42"/>
      <c r="N4829" s="25"/>
      <c r="O4829" s="54"/>
      <c r="P4829"/>
      <c r="Q4829" s="25"/>
      <c r="R4829" s="54"/>
      <c r="W4829" s="23"/>
      <c r="X4829" s="23"/>
      <c r="Y4829" s="23"/>
      <c r="Z4829" s="43"/>
      <c r="AA4829" s="23"/>
      <c r="AB4829" s="23"/>
      <c r="AC4829" s="23"/>
      <c r="AD4829" s="23"/>
      <c r="AE4829" s="23"/>
      <c r="AF4829" s="23"/>
      <c r="AG4829" s="23"/>
      <c r="AH4829" s="23"/>
      <c r="AI4829" s="49"/>
    </row>
    <row r="4830" spans="1:35">
      <c r="A4830" s="50"/>
      <c r="B4830" s="42"/>
      <c r="C4830" s="49"/>
      <c r="E4830" s="49"/>
      <c r="G4830" s="43"/>
      <c r="H4830" s="44"/>
      <c r="L4830" s="42"/>
      <c r="M4830" s="42"/>
      <c r="N4830" s="25"/>
      <c r="O4830" s="54"/>
      <c r="P4830"/>
      <c r="Q4830" s="25"/>
      <c r="R4830" s="54"/>
      <c r="W4830" s="23"/>
      <c r="X4830" s="23"/>
      <c r="Y4830" s="23"/>
      <c r="Z4830" s="43"/>
      <c r="AA4830" s="23"/>
      <c r="AB4830" s="23"/>
      <c r="AC4830" s="23"/>
      <c r="AD4830" s="23"/>
      <c r="AE4830" s="23"/>
      <c r="AF4830" s="23"/>
      <c r="AG4830" s="23"/>
      <c r="AH4830" s="23"/>
      <c r="AI4830" s="49"/>
    </row>
    <row r="4831" spans="1:35">
      <c r="A4831" s="50"/>
      <c r="B4831" s="42"/>
      <c r="C4831" s="49"/>
      <c r="E4831" s="49"/>
      <c r="G4831" s="43"/>
      <c r="H4831" s="44"/>
      <c r="L4831" s="42"/>
      <c r="M4831" s="42"/>
      <c r="N4831" s="25"/>
      <c r="O4831" s="54"/>
      <c r="P4831"/>
      <c r="Q4831" s="25"/>
      <c r="R4831" s="54"/>
      <c r="W4831" s="23"/>
      <c r="X4831" s="23"/>
      <c r="Y4831" s="23"/>
      <c r="Z4831" s="43"/>
      <c r="AA4831" s="23"/>
      <c r="AB4831" s="23"/>
      <c r="AC4831" s="23"/>
      <c r="AD4831" s="23"/>
      <c r="AE4831" s="23"/>
      <c r="AF4831" s="23"/>
      <c r="AG4831" s="23"/>
      <c r="AH4831" s="23"/>
      <c r="AI4831" s="49"/>
    </row>
    <row r="4832" spans="1:35">
      <c r="A4832" s="50"/>
      <c r="B4832" s="42"/>
      <c r="C4832" s="49"/>
      <c r="E4832" s="49"/>
      <c r="G4832" s="43"/>
      <c r="H4832" s="44"/>
      <c r="L4832" s="42"/>
      <c r="M4832" s="42"/>
      <c r="N4832" s="25"/>
      <c r="O4832" s="54"/>
      <c r="P4832"/>
      <c r="Q4832" s="25"/>
      <c r="R4832" s="54"/>
      <c r="W4832" s="23"/>
      <c r="X4832" s="23"/>
      <c r="Y4832" s="23"/>
      <c r="Z4832" s="43"/>
      <c r="AA4832" s="23"/>
      <c r="AB4832" s="23"/>
      <c r="AC4832" s="23"/>
      <c r="AD4832" s="23"/>
      <c r="AE4832" s="23"/>
      <c r="AF4832" s="23"/>
      <c r="AG4832" s="23"/>
      <c r="AH4832" s="23"/>
      <c r="AI4832" s="49"/>
    </row>
    <row r="4833" spans="1:35">
      <c r="A4833" s="50"/>
      <c r="B4833" s="42"/>
      <c r="C4833" s="49"/>
      <c r="E4833" s="49"/>
      <c r="G4833" s="43"/>
      <c r="H4833" s="44"/>
      <c r="L4833" s="42"/>
      <c r="M4833" s="42"/>
      <c r="N4833" s="25"/>
      <c r="O4833" s="54"/>
      <c r="P4833"/>
      <c r="Q4833" s="25"/>
      <c r="R4833" s="54"/>
      <c r="W4833" s="23"/>
      <c r="X4833" s="23"/>
      <c r="Y4833" s="23"/>
      <c r="Z4833" s="43"/>
      <c r="AA4833" s="23"/>
      <c r="AB4833" s="23"/>
      <c r="AC4833" s="23"/>
      <c r="AD4833" s="23"/>
      <c r="AE4833" s="23"/>
      <c r="AF4833" s="23"/>
      <c r="AG4833" s="23"/>
      <c r="AH4833" s="23"/>
      <c r="AI4833" s="49"/>
    </row>
    <row r="4834" spans="1:35">
      <c r="A4834" s="50"/>
      <c r="B4834" s="42"/>
      <c r="C4834" s="49"/>
      <c r="E4834" s="49"/>
      <c r="G4834" s="43"/>
      <c r="H4834" s="44"/>
      <c r="L4834" s="42"/>
      <c r="M4834" s="42"/>
      <c r="N4834" s="25"/>
      <c r="O4834" s="54"/>
      <c r="P4834"/>
      <c r="Q4834" s="25"/>
      <c r="R4834" s="54"/>
      <c r="W4834" s="23"/>
      <c r="X4834" s="23"/>
      <c r="Y4834" s="23"/>
      <c r="Z4834" s="43"/>
      <c r="AA4834" s="23"/>
      <c r="AB4834" s="23"/>
      <c r="AC4834" s="23"/>
      <c r="AD4834" s="23"/>
      <c r="AE4834" s="23"/>
      <c r="AF4834" s="23"/>
      <c r="AG4834" s="23"/>
      <c r="AH4834" s="23"/>
      <c r="AI4834" s="49"/>
    </row>
    <row r="4835" spans="1:35">
      <c r="A4835" s="50"/>
      <c r="B4835" s="42"/>
      <c r="C4835" s="49"/>
      <c r="E4835" s="49"/>
      <c r="G4835" s="43"/>
      <c r="H4835" s="44"/>
      <c r="L4835" s="42"/>
      <c r="M4835" s="42"/>
      <c r="N4835" s="25"/>
      <c r="O4835" s="54"/>
      <c r="P4835"/>
      <c r="Q4835" s="25"/>
      <c r="R4835" s="54"/>
      <c r="W4835" s="23"/>
      <c r="X4835" s="23"/>
      <c r="Y4835" s="23"/>
      <c r="Z4835" s="43"/>
      <c r="AA4835" s="23"/>
      <c r="AB4835" s="23"/>
      <c r="AC4835" s="23"/>
      <c r="AD4835" s="23"/>
      <c r="AE4835" s="23"/>
      <c r="AF4835" s="23"/>
      <c r="AG4835" s="23"/>
      <c r="AH4835" s="23"/>
      <c r="AI4835" s="49"/>
    </row>
    <row r="4836" spans="1:35">
      <c r="A4836" s="49"/>
      <c r="B4836" s="42"/>
      <c r="C4836" s="49"/>
      <c r="E4836" s="49"/>
      <c r="G4836" s="43"/>
      <c r="H4836" s="44"/>
      <c r="L4836" s="42"/>
      <c r="M4836" s="42"/>
      <c r="N4836" s="25"/>
      <c r="O4836" s="54"/>
      <c r="P4836"/>
      <c r="Q4836" s="25"/>
      <c r="R4836" s="54"/>
      <c r="W4836" s="23"/>
      <c r="X4836" s="23"/>
      <c r="Y4836" s="23"/>
      <c r="Z4836" s="43"/>
      <c r="AA4836" s="23"/>
      <c r="AB4836" s="23"/>
      <c r="AC4836" s="23"/>
      <c r="AD4836" s="23"/>
      <c r="AE4836" s="23"/>
      <c r="AF4836" s="23"/>
      <c r="AG4836" s="23"/>
      <c r="AH4836" s="23"/>
      <c r="AI4836" s="49"/>
    </row>
    <row r="4837" spans="1:35">
      <c r="A4837" s="49"/>
      <c r="B4837" s="42"/>
      <c r="C4837" s="49"/>
      <c r="E4837" s="49"/>
      <c r="G4837" s="43"/>
      <c r="H4837" s="44"/>
      <c r="L4837" s="42"/>
      <c r="M4837" s="42"/>
      <c r="N4837" s="25"/>
      <c r="O4837" s="54"/>
      <c r="P4837"/>
      <c r="Q4837" s="25"/>
      <c r="R4837" s="54"/>
      <c r="W4837" s="23"/>
      <c r="X4837" s="23"/>
      <c r="Y4837" s="23"/>
      <c r="Z4837" s="43"/>
      <c r="AA4837" s="23"/>
      <c r="AB4837" s="23"/>
      <c r="AC4837" s="23"/>
      <c r="AD4837" s="23"/>
      <c r="AE4837" s="23"/>
      <c r="AF4837" s="23"/>
      <c r="AG4837" s="23"/>
      <c r="AH4837" s="23"/>
      <c r="AI4837" s="49"/>
    </row>
    <row r="4838" spans="1:35">
      <c r="A4838" s="49"/>
      <c r="B4838" s="42"/>
      <c r="C4838" s="49"/>
      <c r="E4838" s="49"/>
      <c r="G4838" s="43"/>
      <c r="H4838" s="44"/>
      <c r="L4838" s="42"/>
      <c r="M4838" s="42"/>
      <c r="N4838" s="25"/>
      <c r="O4838" s="54"/>
      <c r="P4838"/>
      <c r="Q4838" s="25"/>
      <c r="R4838" s="54"/>
      <c r="W4838" s="23"/>
      <c r="X4838" s="23"/>
      <c r="Y4838" s="23"/>
      <c r="Z4838" s="43"/>
      <c r="AA4838" s="23"/>
      <c r="AB4838" s="23"/>
      <c r="AC4838" s="23"/>
      <c r="AD4838" s="23"/>
      <c r="AE4838" s="23"/>
      <c r="AF4838" s="23"/>
      <c r="AG4838" s="23"/>
      <c r="AH4838" s="23"/>
      <c r="AI4838" s="49"/>
    </row>
    <row r="4839" spans="1:35">
      <c r="A4839" s="49"/>
      <c r="B4839" s="42"/>
      <c r="C4839" s="49"/>
      <c r="E4839" s="49"/>
      <c r="G4839" s="43"/>
      <c r="H4839" s="44"/>
      <c r="L4839" s="42"/>
      <c r="M4839" s="42"/>
      <c r="N4839" s="25"/>
      <c r="O4839" s="54"/>
      <c r="P4839"/>
      <c r="Q4839" s="25"/>
      <c r="R4839" s="54"/>
      <c r="W4839" s="23"/>
      <c r="X4839" s="23"/>
      <c r="Y4839" s="23"/>
      <c r="Z4839" s="43"/>
      <c r="AA4839" s="23"/>
      <c r="AB4839" s="23"/>
      <c r="AC4839" s="23"/>
      <c r="AD4839" s="23"/>
      <c r="AE4839" s="23"/>
      <c r="AF4839" s="23"/>
      <c r="AG4839" s="23"/>
      <c r="AH4839" s="23"/>
      <c r="AI4839" s="49"/>
    </row>
    <row r="4840" spans="1:35">
      <c r="A4840" s="49"/>
      <c r="B4840" s="42"/>
      <c r="C4840" s="49"/>
      <c r="E4840" s="49"/>
      <c r="G4840" s="43"/>
      <c r="H4840" s="44"/>
      <c r="L4840" s="42"/>
      <c r="M4840" s="42"/>
      <c r="N4840" s="25"/>
      <c r="O4840" s="54"/>
      <c r="P4840"/>
      <c r="Q4840" s="25"/>
      <c r="R4840" s="54"/>
      <c r="W4840" s="23"/>
      <c r="X4840" s="23"/>
      <c r="Y4840" s="23"/>
      <c r="Z4840" s="43"/>
      <c r="AA4840" s="23"/>
      <c r="AB4840" s="23"/>
      <c r="AC4840" s="23"/>
      <c r="AD4840" s="23"/>
      <c r="AE4840" s="23"/>
      <c r="AF4840" s="23"/>
      <c r="AG4840" s="23"/>
      <c r="AH4840" s="23"/>
      <c r="AI4840" s="49"/>
    </row>
    <row r="4841" spans="1:35">
      <c r="A4841" s="49"/>
      <c r="B4841" s="42"/>
      <c r="C4841" s="49"/>
      <c r="E4841" s="49"/>
      <c r="G4841" s="43"/>
      <c r="H4841" s="44"/>
      <c r="L4841" s="42"/>
      <c r="M4841" s="42"/>
      <c r="N4841" s="25"/>
      <c r="O4841" s="54"/>
      <c r="P4841"/>
      <c r="Q4841" s="25"/>
      <c r="R4841" s="54"/>
      <c r="W4841" s="23"/>
      <c r="X4841" s="23"/>
      <c r="Y4841" s="23"/>
      <c r="Z4841" s="43"/>
      <c r="AA4841" s="23"/>
      <c r="AB4841" s="23"/>
      <c r="AC4841" s="23"/>
      <c r="AD4841" s="23"/>
      <c r="AE4841" s="23"/>
      <c r="AF4841" s="23"/>
      <c r="AG4841" s="23"/>
      <c r="AH4841" s="23"/>
      <c r="AI4841" s="49"/>
    </row>
    <row r="4842" spans="1:35">
      <c r="A4842" s="49"/>
      <c r="B4842" s="42"/>
      <c r="C4842" s="49"/>
      <c r="E4842" s="49"/>
      <c r="G4842" s="43"/>
      <c r="H4842" s="44"/>
      <c r="L4842" s="42"/>
      <c r="M4842" s="42"/>
      <c r="N4842" s="25"/>
      <c r="O4842" s="54"/>
      <c r="P4842"/>
      <c r="Q4842" s="25"/>
      <c r="R4842" s="54"/>
      <c r="W4842" s="23"/>
      <c r="X4842" s="23"/>
      <c r="Y4842" s="23"/>
      <c r="Z4842" s="43"/>
      <c r="AA4842" s="23"/>
      <c r="AB4842" s="23"/>
      <c r="AC4842" s="23"/>
      <c r="AD4842" s="23"/>
      <c r="AE4842" s="23"/>
      <c r="AF4842" s="23"/>
      <c r="AG4842" s="23"/>
      <c r="AH4842" s="23"/>
      <c r="AI4842" s="49"/>
    </row>
    <row r="4843" spans="1:35">
      <c r="A4843" s="49"/>
      <c r="B4843" s="42"/>
      <c r="C4843" s="49"/>
      <c r="E4843" s="49"/>
      <c r="G4843" s="43"/>
      <c r="H4843" s="44"/>
      <c r="L4843" s="42"/>
      <c r="M4843" s="42"/>
      <c r="N4843" s="25"/>
      <c r="O4843" s="54"/>
      <c r="P4843"/>
      <c r="Q4843" s="25"/>
      <c r="R4843" s="54"/>
      <c r="W4843" s="23"/>
      <c r="X4843" s="23"/>
      <c r="Y4843" s="23"/>
      <c r="Z4843" s="43"/>
      <c r="AA4843" s="23"/>
      <c r="AB4843" s="23"/>
      <c r="AC4843" s="23"/>
      <c r="AD4843" s="23"/>
      <c r="AE4843" s="23"/>
      <c r="AF4843" s="23"/>
      <c r="AG4843" s="23"/>
      <c r="AH4843" s="23"/>
      <c r="AI4843" s="49"/>
    </row>
    <row r="4844" spans="1:35">
      <c r="A4844" s="49"/>
      <c r="B4844" s="42"/>
      <c r="C4844" s="49"/>
      <c r="E4844" s="49"/>
      <c r="G4844" s="43"/>
      <c r="H4844" s="44"/>
      <c r="L4844" s="42"/>
      <c r="M4844" s="42"/>
      <c r="N4844" s="25"/>
      <c r="O4844" s="54"/>
      <c r="P4844"/>
      <c r="Q4844" s="25"/>
      <c r="R4844" s="54"/>
      <c r="W4844" s="23"/>
      <c r="X4844" s="23"/>
      <c r="Y4844" s="23"/>
      <c r="Z4844" s="43"/>
      <c r="AA4844" s="23"/>
      <c r="AB4844" s="23"/>
      <c r="AC4844" s="23"/>
      <c r="AD4844" s="23"/>
      <c r="AE4844" s="23"/>
      <c r="AF4844" s="23"/>
      <c r="AG4844" s="23"/>
      <c r="AH4844" s="23"/>
      <c r="AI4844" s="49"/>
    </row>
    <row r="4845" spans="1:35">
      <c r="A4845" s="50"/>
      <c r="B4845" s="42"/>
      <c r="C4845" s="49"/>
      <c r="E4845" s="49"/>
      <c r="G4845" s="43"/>
      <c r="H4845" s="44"/>
      <c r="L4845" s="42"/>
      <c r="M4845" s="42"/>
      <c r="N4845" s="25"/>
      <c r="O4845" s="54"/>
      <c r="P4845"/>
      <c r="Q4845" s="25"/>
      <c r="R4845" s="54"/>
      <c r="W4845" s="23"/>
      <c r="X4845" s="23"/>
      <c r="Y4845" s="23"/>
      <c r="Z4845" s="43"/>
      <c r="AA4845" s="23"/>
      <c r="AB4845" s="23"/>
      <c r="AC4845" s="23"/>
      <c r="AD4845" s="23"/>
      <c r="AE4845" s="23"/>
      <c r="AF4845" s="23"/>
      <c r="AG4845" s="23"/>
      <c r="AH4845" s="23"/>
      <c r="AI4845" s="49"/>
    </row>
    <row r="4846" spans="1:35">
      <c r="A4846" s="50"/>
      <c r="B4846" s="42"/>
      <c r="C4846" s="49"/>
      <c r="E4846" s="49"/>
      <c r="G4846" s="43"/>
      <c r="H4846" s="44"/>
      <c r="L4846" s="42"/>
      <c r="M4846" s="42"/>
      <c r="N4846" s="25"/>
      <c r="O4846" s="54"/>
      <c r="P4846"/>
      <c r="Q4846" s="25"/>
      <c r="R4846" s="54"/>
      <c r="W4846" s="23"/>
      <c r="X4846" s="23"/>
      <c r="Y4846" s="23"/>
      <c r="Z4846" s="43"/>
      <c r="AA4846" s="23"/>
      <c r="AB4846" s="23"/>
      <c r="AC4846" s="23"/>
      <c r="AD4846" s="23"/>
      <c r="AE4846" s="23"/>
      <c r="AF4846" s="23"/>
      <c r="AG4846" s="23"/>
      <c r="AH4846" s="23"/>
      <c r="AI4846" s="49"/>
    </row>
    <row r="4847" spans="1:35">
      <c r="A4847" s="50"/>
      <c r="B4847" s="42"/>
      <c r="C4847" s="49"/>
      <c r="E4847" s="49"/>
      <c r="G4847" s="43"/>
      <c r="H4847" s="44"/>
      <c r="L4847" s="42"/>
      <c r="M4847" s="42"/>
      <c r="N4847" s="25"/>
      <c r="O4847" s="54"/>
      <c r="P4847"/>
      <c r="Q4847" s="25"/>
      <c r="R4847" s="54"/>
      <c r="W4847" s="23"/>
      <c r="X4847" s="23"/>
      <c r="Y4847" s="23"/>
      <c r="Z4847" s="43"/>
      <c r="AA4847" s="23"/>
      <c r="AB4847" s="23"/>
      <c r="AC4847" s="23"/>
      <c r="AD4847" s="23"/>
      <c r="AE4847" s="23"/>
      <c r="AF4847" s="23"/>
      <c r="AG4847" s="23"/>
      <c r="AH4847" s="23"/>
      <c r="AI4847" s="49"/>
    </row>
    <row r="4848" spans="1:35">
      <c r="A4848" s="50"/>
      <c r="B4848" s="42"/>
      <c r="C4848" s="49"/>
      <c r="E4848" s="49"/>
      <c r="G4848" s="43"/>
      <c r="H4848" s="44"/>
      <c r="L4848" s="42"/>
      <c r="M4848" s="42"/>
      <c r="N4848" s="25"/>
      <c r="O4848" s="54"/>
      <c r="P4848"/>
      <c r="Q4848" s="25"/>
      <c r="R4848" s="54"/>
      <c r="W4848" s="23"/>
      <c r="X4848" s="23"/>
      <c r="Y4848" s="23"/>
      <c r="Z4848" s="43"/>
      <c r="AA4848" s="23"/>
      <c r="AB4848" s="23"/>
      <c r="AC4848" s="23"/>
      <c r="AD4848" s="23"/>
      <c r="AE4848" s="23"/>
      <c r="AF4848" s="23"/>
      <c r="AG4848" s="23"/>
      <c r="AH4848" s="23"/>
      <c r="AI4848" s="49"/>
    </row>
    <row r="4849" spans="1:35">
      <c r="A4849" s="50"/>
      <c r="B4849" s="42"/>
      <c r="C4849" s="49"/>
      <c r="E4849" s="49"/>
      <c r="G4849" s="43"/>
      <c r="H4849" s="44"/>
      <c r="L4849" s="42"/>
      <c r="M4849" s="42"/>
      <c r="N4849" s="25"/>
      <c r="O4849" s="54"/>
      <c r="P4849"/>
      <c r="Q4849" s="25"/>
      <c r="R4849" s="54"/>
      <c r="W4849" s="23"/>
      <c r="X4849" s="23"/>
      <c r="Y4849" s="23"/>
      <c r="Z4849" s="43"/>
      <c r="AA4849" s="23"/>
      <c r="AB4849" s="23"/>
      <c r="AC4849" s="23"/>
      <c r="AD4849" s="23"/>
      <c r="AE4849" s="23"/>
      <c r="AF4849" s="23"/>
      <c r="AG4849" s="23"/>
      <c r="AH4849" s="23"/>
      <c r="AI4849" s="49"/>
    </row>
    <row r="4850" spans="1:35">
      <c r="A4850" s="50"/>
      <c r="B4850" s="42"/>
      <c r="C4850" s="49"/>
      <c r="E4850" s="49"/>
      <c r="G4850" s="43"/>
      <c r="H4850" s="44"/>
      <c r="L4850" s="42"/>
      <c r="M4850" s="42"/>
      <c r="N4850" s="25"/>
      <c r="O4850" s="54"/>
      <c r="P4850"/>
      <c r="Q4850" s="25"/>
      <c r="R4850" s="54"/>
      <c r="W4850" s="23"/>
      <c r="X4850" s="23"/>
      <c r="Y4850" s="23"/>
      <c r="Z4850" s="43"/>
      <c r="AA4850" s="23"/>
      <c r="AB4850" s="23"/>
      <c r="AC4850" s="23"/>
      <c r="AD4850" s="23"/>
      <c r="AE4850" s="23"/>
      <c r="AF4850" s="23"/>
      <c r="AG4850" s="23"/>
      <c r="AH4850" s="23"/>
      <c r="AI4850" s="49"/>
    </row>
    <row r="4851" spans="1:35">
      <c r="A4851" s="50"/>
      <c r="B4851" s="42"/>
      <c r="C4851" s="49"/>
      <c r="E4851" s="49"/>
      <c r="G4851" s="43"/>
      <c r="H4851" s="44"/>
      <c r="L4851" s="42"/>
      <c r="M4851" s="42"/>
      <c r="N4851" s="25"/>
      <c r="O4851" s="54"/>
      <c r="P4851"/>
      <c r="Q4851" s="25"/>
      <c r="R4851" s="54"/>
      <c r="W4851" s="23"/>
      <c r="X4851" s="23"/>
      <c r="Y4851" s="23"/>
      <c r="Z4851" s="43"/>
      <c r="AA4851" s="23"/>
      <c r="AB4851" s="23"/>
      <c r="AC4851" s="23"/>
      <c r="AD4851" s="23"/>
      <c r="AE4851" s="23"/>
      <c r="AF4851" s="23"/>
      <c r="AG4851" s="23"/>
      <c r="AH4851" s="23"/>
      <c r="AI4851" s="49"/>
    </row>
    <row r="4852" spans="1:35">
      <c r="A4852" s="50"/>
      <c r="B4852" s="42"/>
      <c r="C4852" s="49"/>
      <c r="E4852" s="49"/>
      <c r="G4852" s="43"/>
      <c r="H4852" s="44"/>
      <c r="L4852" s="42"/>
      <c r="M4852" s="42"/>
      <c r="N4852" s="25"/>
      <c r="O4852" s="54"/>
      <c r="P4852"/>
      <c r="Q4852" s="25"/>
      <c r="R4852" s="54"/>
      <c r="W4852" s="23"/>
      <c r="X4852" s="23"/>
      <c r="Y4852" s="23"/>
      <c r="Z4852" s="43"/>
      <c r="AA4852" s="23"/>
      <c r="AB4852" s="23"/>
      <c r="AC4852" s="23"/>
      <c r="AD4852" s="23"/>
      <c r="AE4852" s="23"/>
      <c r="AF4852" s="23"/>
      <c r="AG4852" s="23"/>
      <c r="AH4852" s="23"/>
      <c r="AI4852" s="49"/>
    </row>
    <row r="4853" spans="1:35">
      <c r="A4853" s="50"/>
      <c r="B4853" s="42"/>
      <c r="C4853" s="49"/>
      <c r="E4853" s="49"/>
      <c r="G4853" s="43"/>
      <c r="H4853" s="44"/>
      <c r="L4853" s="42"/>
      <c r="M4853" s="42"/>
      <c r="N4853" s="25"/>
      <c r="O4853" s="54"/>
      <c r="P4853"/>
      <c r="Q4853" s="25"/>
      <c r="R4853" s="54"/>
      <c r="W4853" s="23"/>
      <c r="X4853" s="23"/>
      <c r="Y4853" s="23"/>
      <c r="Z4853" s="43"/>
      <c r="AA4853" s="23"/>
      <c r="AB4853" s="23"/>
      <c r="AC4853" s="23"/>
      <c r="AD4853" s="23"/>
      <c r="AE4853" s="23"/>
      <c r="AF4853" s="23"/>
      <c r="AG4853" s="23"/>
      <c r="AH4853" s="23"/>
      <c r="AI4853" s="49"/>
    </row>
    <row r="4854" spans="1:35">
      <c r="A4854" s="50"/>
      <c r="B4854" s="42"/>
      <c r="C4854" s="49"/>
      <c r="E4854" s="49"/>
      <c r="G4854" s="43"/>
      <c r="H4854" s="44"/>
      <c r="L4854" s="42"/>
      <c r="M4854" s="42"/>
      <c r="N4854" s="25"/>
      <c r="O4854" s="54"/>
      <c r="P4854"/>
      <c r="Q4854" s="25"/>
      <c r="R4854" s="54"/>
      <c r="W4854" s="23"/>
      <c r="X4854" s="23"/>
      <c r="Y4854" s="23"/>
      <c r="Z4854" s="43"/>
      <c r="AA4854" s="23"/>
      <c r="AB4854" s="23"/>
      <c r="AC4854" s="23"/>
      <c r="AD4854" s="23"/>
      <c r="AE4854" s="23"/>
      <c r="AF4854" s="23"/>
      <c r="AG4854" s="23"/>
      <c r="AH4854" s="23"/>
      <c r="AI4854" s="49"/>
    </row>
    <row r="4855" spans="1:35">
      <c r="A4855" s="50"/>
      <c r="B4855" s="42"/>
      <c r="C4855" s="49"/>
      <c r="E4855" s="49"/>
      <c r="G4855" s="43"/>
      <c r="H4855" s="44"/>
      <c r="L4855" s="42"/>
      <c r="M4855" s="42"/>
      <c r="N4855" s="25"/>
      <c r="O4855" s="54"/>
      <c r="P4855"/>
      <c r="Q4855" s="25"/>
      <c r="R4855" s="54"/>
      <c r="W4855" s="23"/>
      <c r="X4855" s="23"/>
      <c r="Y4855" s="23"/>
      <c r="Z4855" s="43"/>
      <c r="AA4855" s="23"/>
      <c r="AB4855" s="23"/>
      <c r="AC4855" s="23"/>
      <c r="AD4855" s="23"/>
      <c r="AE4855" s="23"/>
      <c r="AF4855" s="23"/>
      <c r="AG4855" s="23"/>
      <c r="AH4855" s="23"/>
      <c r="AI4855" s="49"/>
    </row>
    <row r="4856" spans="1:35">
      <c r="A4856" s="50"/>
      <c r="B4856" s="42"/>
      <c r="C4856" s="49"/>
      <c r="E4856" s="49"/>
      <c r="G4856" s="43"/>
      <c r="H4856" s="44"/>
      <c r="L4856" s="42"/>
      <c r="M4856" s="42"/>
      <c r="N4856" s="25"/>
      <c r="O4856" s="54"/>
      <c r="P4856"/>
      <c r="Q4856" s="25"/>
      <c r="R4856" s="54"/>
      <c r="W4856" s="23"/>
      <c r="X4856" s="23"/>
      <c r="Y4856" s="23"/>
      <c r="Z4856" s="43"/>
      <c r="AA4856" s="23"/>
      <c r="AB4856" s="23"/>
      <c r="AC4856" s="23"/>
      <c r="AD4856" s="23"/>
      <c r="AE4856" s="23"/>
      <c r="AF4856" s="23"/>
      <c r="AG4856" s="23"/>
      <c r="AH4856" s="23"/>
      <c r="AI4856" s="49"/>
    </row>
    <row r="4857" spans="1:35">
      <c r="A4857" s="50"/>
      <c r="B4857" s="42"/>
      <c r="C4857" s="49"/>
      <c r="E4857" s="49"/>
      <c r="G4857" s="43"/>
      <c r="H4857" s="44"/>
      <c r="L4857" s="42"/>
      <c r="M4857" s="42"/>
      <c r="N4857" s="25"/>
      <c r="O4857" s="54"/>
      <c r="P4857"/>
      <c r="Q4857" s="25"/>
      <c r="R4857" s="54"/>
      <c r="W4857" s="23"/>
      <c r="X4857" s="23"/>
      <c r="Y4857" s="23"/>
      <c r="Z4857" s="43"/>
      <c r="AA4857" s="23"/>
      <c r="AB4857" s="23"/>
      <c r="AC4857" s="23"/>
      <c r="AD4857" s="23"/>
      <c r="AE4857" s="23"/>
      <c r="AF4857" s="23"/>
      <c r="AG4857" s="23"/>
      <c r="AH4857" s="23"/>
      <c r="AI4857" s="49"/>
    </row>
    <row r="4858" spans="1:35">
      <c r="A4858" s="50"/>
      <c r="B4858" s="42"/>
      <c r="C4858" s="49"/>
      <c r="E4858" s="49"/>
      <c r="G4858" s="43"/>
      <c r="H4858" s="44"/>
      <c r="L4858" s="42"/>
      <c r="M4858" s="42"/>
      <c r="N4858" s="25"/>
      <c r="O4858" s="54"/>
      <c r="P4858"/>
      <c r="Q4858" s="25"/>
      <c r="R4858" s="54"/>
      <c r="W4858" s="23"/>
      <c r="X4858" s="23"/>
      <c r="Y4858" s="23"/>
      <c r="Z4858" s="43"/>
      <c r="AA4858" s="23"/>
      <c r="AB4858" s="23"/>
      <c r="AC4858" s="23"/>
      <c r="AD4858" s="23"/>
      <c r="AE4858" s="23"/>
      <c r="AF4858" s="23"/>
      <c r="AG4858" s="23"/>
      <c r="AH4858" s="23"/>
      <c r="AI4858" s="49"/>
    </row>
    <row r="4859" spans="1:35">
      <c r="A4859" s="49"/>
      <c r="B4859" s="42"/>
      <c r="C4859" s="49"/>
      <c r="E4859" s="49"/>
      <c r="G4859" s="43"/>
      <c r="H4859" s="44"/>
      <c r="L4859" s="42"/>
      <c r="M4859" s="42"/>
      <c r="N4859" s="25"/>
      <c r="O4859" s="54"/>
      <c r="P4859"/>
      <c r="Q4859" s="25"/>
      <c r="R4859" s="54"/>
      <c r="W4859" s="23"/>
      <c r="X4859" s="23"/>
      <c r="Y4859" s="23"/>
      <c r="Z4859" s="43"/>
      <c r="AA4859" s="23"/>
      <c r="AB4859" s="23"/>
      <c r="AC4859" s="23"/>
      <c r="AD4859" s="23"/>
      <c r="AE4859" s="23"/>
      <c r="AF4859" s="23"/>
      <c r="AG4859" s="23"/>
      <c r="AH4859" s="23"/>
      <c r="AI4859" s="49"/>
    </row>
    <row r="4860" spans="1:35">
      <c r="A4860" s="49"/>
      <c r="B4860" s="42"/>
      <c r="C4860" s="49"/>
      <c r="E4860" s="49"/>
      <c r="G4860" s="43"/>
      <c r="H4860" s="44"/>
      <c r="L4860" s="42"/>
      <c r="M4860" s="42"/>
      <c r="N4860" s="25"/>
      <c r="O4860" s="54"/>
      <c r="P4860"/>
      <c r="Q4860" s="25"/>
      <c r="R4860" s="54"/>
      <c r="W4860" s="23"/>
      <c r="X4860" s="23"/>
      <c r="Y4860" s="23"/>
      <c r="Z4860" s="43"/>
      <c r="AA4860" s="23"/>
      <c r="AB4860" s="23"/>
      <c r="AC4860" s="23"/>
      <c r="AD4860" s="23"/>
      <c r="AE4860" s="23"/>
      <c r="AF4860" s="23"/>
      <c r="AG4860" s="23"/>
      <c r="AH4860" s="23"/>
      <c r="AI4860" s="49"/>
    </row>
    <row r="4861" spans="1:35">
      <c r="A4861" s="49"/>
      <c r="B4861" s="42"/>
      <c r="C4861" s="49"/>
      <c r="E4861" s="49"/>
      <c r="G4861" s="43"/>
      <c r="H4861" s="44"/>
      <c r="L4861" s="42"/>
      <c r="M4861" s="42"/>
      <c r="N4861" s="25"/>
      <c r="O4861" s="54"/>
      <c r="P4861"/>
      <c r="Q4861" s="25"/>
      <c r="R4861" s="54"/>
      <c r="W4861" s="23"/>
      <c r="X4861" s="23"/>
      <c r="Y4861" s="23"/>
      <c r="Z4861" s="43"/>
      <c r="AA4861" s="23"/>
      <c r="AB4861" s="23"/>
      <c r="AC4861" s="23"/>
      <c r="AD4861" s="23"/>
      <c r="AE4861" s="23"/>
      <c r="AF4861" s="23"/>
      <c r="AG4861" s="23"/>
      <c r="AH4861" s="23"/>
      <c r="AI4861" s="49"/>
    </row>
    <row r="4862" spans="1:35">
      <c r="A4862" s="50"/>
      <c r="B4862" s="42"/>
      <c r="C4862" s="49"/>
      <c r="E4862" s="49"/>
      <c r="G4862" s="43"/>
      <c r="H4862" s="44"/>
      <c r="L4862" s="42"/>
      <c r="M4862" s="42"/>
      <c r="N4862" s="25"/>
      <c r="O4862" s="54"/>
      <c r="P4862"/>
      <c r="Q4862" s="25"/>
      <c r="R4862" s="54"/>
      <c r="W4862" s="23"/>
      <c r="X4862" s="23"/>
      <c r="Y4862" s="23"/>
      <c r="Z4862" s="43"/>
      <c r="AA4862" s="23"/>
      <c r="AB4862" s="23"/>
      <c r="AC4862" s="23"/>
      <c r="AD4862" s="23"/>
      <c r="AE4862" s="23"/>
      <c r="AF4862" s="23"/>
      <c r="AG4862" s="23"/>
      <c r="AH4862" s="23"/>
      <c r="AI4862" s="49"/>
    </row>
    <row r="4863" spans="1:35">
      <c r="A4863" s="50"/>
      <c r="B4863" s="42"/>
      <c r="C4863" s="49"/>
      <c r="E4863" s="49"/>
      <c r="G4863" s="43"/>
      <c r="H4863" s="44"/>
      <c r="L4863" s="42"/>
      <c r="M4863" s="42"/>
      <c r="N4863" s="25"/>
      <c r="O4863" s="54"/>
      <c r="P4863"/>
      <c r="Q4863" s="25"/>
      <c r="R4863" s="54"/>
      <c r="W4863" s="23"/>
      <c r="X4863" s="23"/>
      <c r="Y4863" s="23"/>
      <c r="Z4863" s="43"/>
      <c r="AA4863" s="23"/>
      <c r="AB4863" s="23"/>
      <c r="AC4863" s="23"/>
      <c r="AD4863" s="23"/>
      <c r="AE4863" s="23"/>
      <c r="AF4863" s="23"/>
      <c r="AG4863" s="23"/>
      <c r="AH4863" s="23"/>
      <c r="AI4863" s="49"/>
    </row>
    <row r="4864" spans="1:35">
      <c r="A4864" s="50"/>
      <c r="B4864" s="42"/>
      <c r="C4864" s="49"/>
      <c r="E4864" s="49"/>
      <c r="G4864" s="43"/>
      <c r="H4864" s="44"/>
      <c r="L4864" s="42"/>
      <c r="M4864" s="42"/>
      <c r="N4864" s="25"/>
      <c r="O4864" s="54"/>
      <c r="P4864"/>
      <c r="Q4864" s="25"/>
      <c r="R4864" s="54"/>
      <c r="W4864" s="23"/>
      <c r="X4864" s="23"/>
      <c r="Y4864" s="23"/>
      <c r="Z4864" s="43"/>
      <c r="AA4864" s="23"/>
      <c r="AB4864" s="23"/>
      <c r="AC4864" s="23"/>
      <c r="AD4864" s="23"/>
      <c r="AE4864" s="23"/>
      <c r="AF4864" s="23"/>
      <c r="AG4864" s="23"/>
      <c r="AH4864" s="23"/>
      <c r="AI4864" s="49"/>
    </row>
    <row r="4865" spans="1:35">
      <c r="A4865" s="49"/>
      <c r="B4865" s="42"/>
      <c r="C4865" s="49"/>
      <c r="E4865" s="49"/>
      <c r="G4865" s="43"/>
      <c r="H4865" s="44"/>
      <c r="L4865" s="42"/>
      <c r="M4865" s="42"/>
      <c r="N4865" s="25"/>
      <c r="O4865" s="54"/>
      <c r="P4865"/>
      <c r="Q4865" s="25"/>
      <c r="R4865" s="54"/>
      <c r="W4865" s="23"/>
      <c r="X4865" s="23"/>
      <c r="Y4865" s="23"/>
      <c r="Z4865" s="43"/>
      <c r="AA4865" s="23"/>
      <c r="AB4865" s="23"/>
      <c r="AC4865" s="23"/>
      <c r="AD4865" s="23"/>
      <c r="AE4865" s="23"/>
      <c r="AF4865" s="23"/>
      <c r="AG4865" s="23"/>
      <c r="AH4865" s="23"/>
      <c r="AI4865" s="49"/>
    </row>
    <row r="4866" spans="1:35">
      <c r="A4866" s="49"/>
      <c r="B4866" s="42"/>
      <c r="C4866" s="49"/>
      <c r="E4866" s="49"/>
      <c r="G4866" s="43"/>
      <c r="H4866" s="44"/>
      <c r="L4866" s="42"/>
      <c r="M4866" s="42"/>
      <c r="N4866" s="25"/>
      <c r="O4866" s="54"/>
      <c r="P4866"/>
      <c r="Q4866" s="25"/>
      <c r="R4866" s="54"/>
      <c r="W4866" s="23"/>
      <c r="X4866" s="23"/>
      <c r="Y4866" s="23"/>
      <c r="Z4866" s="43"/>
      <c r="AA4866" s="23"/>
      <c r="AB4866" s="23"/>
      <c r="AC4866" s="23"/>
      <c r="AD4866" s="23"/>
      <c r="AE4866" s="23"/>
      <c r="AF4866" s="23"/>
      <c r="AG4866" s="23"/>
      <c r="AH4866" s="23"/>
      <c r="AI4866" s="49"/>
    </row>
    <row r="4867" spans="1:35">
      <c r="A4867" s="49"/>
      <c r="B4867" s="42"/>
      <c r="C4867" s="49"/>
      <c r="E4867" s="49"/>
      <c r="G4867" s="43"/>
      <c r="H4867" s="44"/>
      <c r="L4867" s="42"/>
      <c r="M4867" s="42"/>
      <c r="N4867" s="25"/>
      <c r="O4867" s="54"/>
      <c r="P4867"/>
      <c r="Q4867" s="25"/>
      <c r="R4867" s="54"/>
      <c r="W4867" s="23"/>
      <c r="X4867" s="23"/>
      <c r="Y4867" s="23"/>
      <c r="Z4867" s="43"/>
      <c r="AA4867" s="23"/>
      <c r="AB4867" s="23"/>
      <c r="AC4867" s="23"/>
      <c r="AD4867" s="23"/>
      <c r="AE4867" s="23"/>
      <c r="AF4867" s="23"/>
      <c r="AG4867" s="23"/>
      <c r="AH4867" s="23"/>
      <c r="AI4867" s="49"/>
    </row>
    <row r="4868" spans="1:35">
      <c r="A4868" s="50"/>
      <c r="B4868" s="42"/>
      <c r="C4868" s="49"/>
      <c r="E4868" s="49"/>
      <c r="G4868" s="43"/>
      <c r="H4868" s="44"/>
      <c r="L4868" s="42"/>
      <c r="M4868" s="42"/>
      <c r="N4868" s="25"/>
      <c r="O4868" s="54"/>
      <c r="P4868"/>
      <c r="Q4868" s="25"/>
      <c r="R4868" s="54"/>
      <c r="W4868" s="23"/>
      <c r="X4868" s="23"/>
      <c r="Y4868" s="23"/>
      <c r="Z4868" s="43"/>
      <c r="AA4868" s="23"/>
      <c r="AB4868" s="23"/>
      <c r="AC4868" s="23"/>
      <c r="AD4868" s="23"/>
      <c r="AE4868" s="23"/>
      <c r="AF4868" s="23"/>
      <c r="AG4868" s="23"/>
      <c r="AH4868" s="23"/>
      <c r="AI4868" s="49"/>
    </row>
    <row r="4869" spans="1:35">
      <c r="A4869" s="50"/>
      <c r="B4869" s="42"/>
      <c r="C4869" s="49"/>
      <c r="E4869" s="49"/>
      <c r="G4869" s="43"/>
      <c r="H4869" s="44"/>
      <c r="L4869" s="42"/>
      <c r="M4869" s="42"/>
      <c r="N4869" s="25"/>
      <c r="O4869" s="54"/>
      <c r="P4869"/>
      <c r="Q4869" s="25"/>
      <c r="R4869" s="54"/>
      <c r="W4869" s="23"/>
      <c r="X4869" s="23"/>
      <c r="Y4869" s="23"/>
      <c r="Z4869" s="43"/>
      <c r="AA4869" s="23"/>
      <c r="AB4869" s="23"/>
      <c r="AC4869" s="23"/>
      <c r="AD4869" s="23"/>
      <c r="AE4869" s="23"/>
      <c r="AF4869" s="23"/>
      <c r="AG4869" s="23"/>
      <c r="AH4869" s="23"/>
      <c r="AI4869" s="49"/>
    </row>
    <row r="4870" spans="1:35">
      <c r="A4870" s="50"/>
      <c r="B4870" s="42"/>
      <c r="C4870" s="49"/>
      <c r="E4870" s="49"/>
      <c r="G4870" s="43"/>
      <c r="H4870" s="44"/>
      <c r="L4870" s="42"/>
      <c r="M4870" s="42"/>
      <c r="N4870" s="25"/>
      <c r="O4870" s="54"/>
      <c r="P4870"/>
      <c r="Q4870" s="25"/>
      <c r="R4870" s="54"/>
      <c r="W4870" s="23"/>
      <c r="X4870" s="23"/>
      <c r="Y4870" s="23"/>
      <c r="Z4870" s="43"/>
      <c r="AA4870" s="23"/>
      <c r="AB4870" s="23"/>
      <c r="AC4870" s="23"/>
      <c r="AD4870" s="23"/>
      <c r="AE4870" s="23"/>
      <c r="AF4870" s="23"/>
      <c r="AG4870" s="23"/>
      <c r="AH4870" s="23"/>
      <c r="AI4870" s="49"/>
    </row>
    <row r="4871" spans="1:35">
      <c r="A4871" s="49"/>
      <c r="B4871" s="42"/>
      <c r="C4871" s="49"/>
      <c r="E4871" s="49"/>
      <c r="G4871" s="43"/>
      <c r="H4871" s="44"/>
      <c r="L4871" s="42"/>
      <c r="M4871" s="42"/>
      <c r="N4871" s="25"/>
      <c r="O4871" s="54"/>
      <c r="P4871"/>
      <c r="Q4871" s="25"/>
      <c r="R4871" s="54"/>
      <c r="W4871" s="23"/>
      <c r="X4871" s="23"/>
      <c r="Y4871" s="23"/>
      <c r="Z4871" s="43"/>
      <c r="AA4871" s="23"/>
      <c r="AB4871" s="23"/>
      <c r="AC4871" s="23"/>
      <c r="AD4871" s="23"/>
      <c r="AE4871" s="23"/>
      <c r="AF4871" s="23"/>
      <c r="AG4871" s="23"/>
      <c r="AH4871" s="23"/>
      <c r="AI4871" s="49"/>
    </row>
    <row r="4872" spans="1:35">
      <c r="A4872" s="49"/>
      <c r="B4872" s="42"/>
      <c r="C4872" s="49"/>
      <c r="E4872" s="49"/>
      <c r="G4872" s="43"/>
      <c r="H4872" s="44"/>
      <c r="L4872" s="42"/>
      <c r="M4872" s="42"/>
      <c r="N4872" s="25"/>
      <c r="O4872" s="54"/>
      <c r="P4872"/>
      <c r="Q4872" s="25"/>
      <c r="R4872" s="54"/>
      <c r="W4872" s="23"/>
      <c r="X4872" s="23"/>
      <c r="Y4872" s="23"/>
      <c r="Z4872" s="43"/>
      <c r="AA4872" s="23"/>
      <c r="AB4872" s="23"/>
      <c r="AC4872" s="23"/>
      <c r="AD4872" s="23"/>
      <c r="AE4872" s="23"/>
      <c r="AF4872" s="23"/>
      <c r="AG4872" s="23"/>
      <c r="AH4872" s="23"/>
      <c r="AI4872" s="49"/>
    </row>
    <row r="4873" spans="1:35">
      <c r="A4873" s="49"/>
      <c r="B4873" s="42"/>
      <c r="C4873" s="49"/>
      <c r="E4873" s="49"/>
      <c r="G4873" s="43"/>
      <c r="H4873" s="44"/>
      <c r="L4873" s="42"/>
      <c r="M4873" s="42"/>
      <c r="N4873" s="25"/>
      <c r="O4873" s="54"/>
      <c r="P4873"/>
      <c r="Q4873" s="25"/>
      <c r="R4873" s="54"/>
      <c r="W4873" s="23"/>
      <c r="X4873" s="23"/>
      <c r="Y4873" s="23"/>
      <c r="Z4873" s="43"/>
      <c r="AA4873" s="23"/>
      <c r="AB4873" s="23"/>
      <c r="AC4873" s="23"/>
      <c r="AD4873" s="23"/>
      <c r="AE4873" s="23"/>
      <c r="AF4873" s="23"/>
      <c r="AG4873" s="23"/>
      <c r="AH4873" s="23"/>
      <c r="AI4873" s="49"/>
    </row>
    <row r="4874" spans="1:35">
      <c r="A4874" s="49"/>
      <c r="B4874" s="42"/>
      <c r="C4874" s="49"/>
      <c r="E4874" s="49"/>
      <c r="G4874" s="43"/>
      <c r="H4874" s="44"/>
      <c r="L4874" s="42"/>
      <c r="M4874" s="42"/>
      <c r="N4874" s="25"/>
      <c r="O4874" s="54"/>
      <c r="P4874"/>
      <c r="Q4874" s="25"/>
      <c r="R4874" s="54"/>
      <c r="W4874" s="23"/>
      <c r="X4874" s="23"/>
      <c r="Y4874" s="23"/>
      <c r="Z4874" s="43"/>
      <c r="AA4874" s="23"/>
      <c r="AB4874" s="23"/>
      <c r="AC4874" s="23"/>
      <c r="AD4874" s="23"/>
      <c r="AE4874" s="23"/>
      <c r="AF4874" s="23"/>
      <c r="AG4874" s="23"/>
      <c r="AH4874" s="23"/>
      <c r="AI4874" s="49"/>
    </row>
    <row r="4875" spans="1:35">
      <c r="A4875" s="49"/>
      <c r="B4875" s="42"/>
      <c r="C4875" s="49"/>
      <c r="E4875" s="49"/>
      <c r="G4875" s="43"/>
      <c r="H4875" s="44"/>
      <c r="L4875" s="42"/>
      <c r="M4875" s="42"/>
      <c r="N4875" s="25"/>
      <c r="O4875" s="54"/>
      <c r="P4875"/>
      <c r="Q4875" s="25"/>
      <c r="R4875" s="54"/>
      <c r="W4875" s="23"/>
      <c r="X4875" s="23"/>
      <c r="Y4875" s="23"/>
      <c r="Z4875" s="43"/>
      <c r="AA4875" s="23"/>
      <c r="AB4875" s="23"/>
      <c r="AC4875" s="23"/>
      <c r="AD4875" s="23"/>
      <c r="AE4875" s="23"/>
      <c r="AF4875" s="23"/>
      <c r="AG4875" s="23"/>
      <c r="AH4875" s="23"/>
      <c r="AI4875" s="49"/>
    </row>
    <row r="4876" spans="1:35">
      <c r="A4876" s="50"/>
      <c r="B4876" s="42"/>
      <c r="C4876" s="49"/>
      <c r="E4876" s="49"/>
      <c r="G4876" s="43"/>
      <c r="H4876" s="44"/>
      <c r="L4876" s="42"/>
      <c r="M4876" s="42"/>
      <c r="N4876" s="25"/>
      <c r="O4876" s="54"/>
      <c r="P4876"/>
      <c r="Q4876" s="25"/>
      <c r="R4876" s="54"/>
      <c r="W4876" s="23"/>
      <c r="X4876" s="23"/>
      <c r="Y4876" s="23"/>
      <c r="Z4876" s="43"/>
      <c r="AA4876" s="23"/>
      <c r="AB4876" s="23"/>
      <c r="AC4876" s="23"/>
      <c r="AD4876" s="23"/>
      <c r="AE4876" s="23"/>
      <c r="AF4876" s="23"/>
      <c r="AG4876" s="23"/>
      <c r="AH4876" s="23"/>
      <c r="AI4876" s="49"/>
    </row>
    <row r="4877" spans="1:35">
      <c r="A4877" s="50"/>
      <c r="B4877" s="42"/>
      <c r="C4877" s="49"/>
      <c r="E4877" s="49"/>
      <c r="G4877" s="43"/>
      <c r="H4877" s="44"/>
      <c r="L4877" s="42"/>
      <c r="M4877" s="42"/>
      <c r="N4877" s="25"/>
      <c r="O4877" s="54"/>
      <c r="P4877"/>
      <c r="Q4877" s="25"/>
      <c r="R4877" s="54"/>
      <c r="W4877" s="23"/>
      <c r="X4877" s="23"/>
      <c r="Y4877" s="23"/>
      <c r="Z4877" s="43"/>
      <c r="AA4877" s="23"/>
      <c r="AB4877" s="23"/>
      <c r="AC4877" s="23"/>
      <c r="AD4877" s="23"/>
      <c r="AE4877" s="23"/>
      <c r="AF4877" s="23"/>
      <c r="AG4877" s="23"/>
      <c r="AH4877" s="23"/>
      <c r="AI4877" s="49"/>
    </row>
    <row r="4878" spans="1:35">
      <c r="A4878" s="50"/>
      <c r="B4878" s="42"/>
      <c r="C4878" s="49"/>
      <c r="E4878" s="49"/>
      <c r="G4878" s="43"/>
      <c r="H4878" s="44"/>
      <c r="L4878" s="42"/>
      <c r="M4878" s="42"/>
      <c r="N4878" s="25"/>
      <c r="O4878" s="54"/>
      <c r="P4878"/>
      <c r="Q4878" s="25"/>
      <c r="R4878" s="54"/>
      <c r="W4878" s="23"/>
      <c r="X4878" s="23"/>
      <c r="Y4878" s="23"/>
      <c r="Z4878" s="43"/>
      <c r="AA4878" s="23"/>
      <c r="AB4878" s="23"/>
      <c r="AC4878" s="23"/>
      <c r="AD4878" s="23"/>
      <c r="AE4878" s="23"/>
      <c r="AF4878" s="23"/>
      <c r="AG4878" s="23"/>
      <c r="AH4878" s="23"/>
      <c r="AI4878" s="49"/>
    </row>
    <row r="4879" spans="1:35">
      <c r="A4879" s="49"/>
      <c r="B4879" s="42"/>
      <c r="C4879" s="49"/>
      <c r="E4879" s="49"/>
      <c r="G4879" s="43"/>
      <c r="H4879" s="44"/>
      <c r="L4879" s="42"/>
      <c r="M4879" s="42"/>
      <c r="N4879" s="25"/>
      <c r="O4879" s="54"/>
      <c r="P4879"/>
      <c r="Q4879" s="25"/>
      <c r="R4879" s="54"/>
      <c r="W4879" s="23"/>
      <c r="X4879" s="23"/>
      <c r="Y4879" s="23"/>
      <c r="Z4879" s="43"/>
      <c r="AA4879" s="23"/>
      <c r="AB4879" s="23"/>
      <c r="AC4879" s="23"/>
      <c r="AD4879" s="23"/>
      <c r="AE4879" s="23"/>
      <c r="AF4879" s="23"/>
      <c r="AG4879" s="23"/>
      <c r="AH4879" s="23"/>
      <c r="AI4879" s="49"/>
    </row>
    <row r="4880" spans="1:35">
      <c r="A4880" s="49"/>
      <c r="B4880" s="42"/>
      <c r="C4880" s="49"/>
      <c r="E4880" s="49"/>
      <c r="G4880" s="43"/>
      <c r="H4880" s="44"/>
      <c r="L4880" s="42"/>
      <c r="M4880" s="42"/>
      <c r="N4880" s="25"/>
      <c r="O4880" s="54"/>
      <c r="P4880"/>
      <c r="Q4880" s="25"/>
      <c r="R4880" s="54"/>
      <c r="W4880" s="23"/>
      <c r="X4880" s="23"/>
      <c r="Y4880" s="23"/>
      <c r="Z4880" s="43"/>
      <c r="AA4880" s="23"/>
      <c r="AB4880" s="23"/>
      <c r="AC4880" s="23"/>
      <c r="AD4880" s="23"/>
      <c r="AE4880" s="23"/>
      <c r="AF4880" s="23"/>
      <c r="AG4880" s="23"/>
      <c r="AH4880" s="23"/>
      <c r="AI4880" s="49"/>
    </row>
    <row r="4881" spans="1:35">
      <c r="A4881" s="49"/>
      <c r="B4881" s="42"/>
      <c r="C4881" s="49"/>
      <c r="E4881" s="49"/>
      <c r="G4881" s="43"/>
      <c r="H4881" s="44"/>
      <c r="L4881" s="42"/>
      <c r="M4881" s="42"/>
      <c r="N4881" s="25"/>
      <c r="O4881" s="54"/>
      <c r="P4881"/>
      <c r="Q4881" s="25"/>
      <c r="R4881" s="54"/>
      <c r="W4881" s="23"/>
      <c r="X4881" s="23"/>
      <c r="Y4881" s="23"/>
      <c r="Z4881" s="43"/>
      <c r="AA4881" s="23"/>
      <c r="AB4881" s="23"/>
      <c r="AC4881" s="23"/>
      <c r="AD4881" s="23"/>
      <c r="AE4881" s="23"/>
      <c r="AF4881" s="23"/>
      <c r="AG4881" s="23"/>
      <c r="AH4881" s="23"/>
      <c r="AI4881" s="49"/>
    </row>
    <row r="4882" spans="1:35">
      <c r="A4882" s="49"/>
      <c r="B4882" s="42"/>
      <c r="C4882" s="49"/>
      <c r="E4882" s="49"/>
      <c r="G4882" s="43"/>
      <c r="H4882" s="44"/>
      <c r="L4882" s="42"/>
      <c r="M4882" s="42"/>
      <c r="N4882" s="25"/>
      <c r="O4882" s="54"/>
      <c r="P4882"/>
      <c r="Q4882" s="25"/>
      <c r="R4882" s="54"/>
      <c r="W4882" s="23"/>
      <c r="X4882" s="23"/>
      <c r="Y4882" s="23"/>
      <c r="Z4882" s="43"/>
      <c r="AA4882" s="23"/>
      <c r="AB4882" s="23"/>
      <c r="AC4882" s="23"/>
      <c r="AD4882" s="23"/>
      <c r="AE4882" s="23"/>
      <c r="AF4882" s="23"/>
      <c r="AG4882" s="23"/>
      <c r="AH4882" s="23"/>
      <c r="AI4882" s="49"/>
    </row>
    <row r="4883" spans="1:35">
      <c r="A4883" s="50"/>
      <c r="B4883" s="42"/>
      <c r="C4883" s="49"/>
      <c r="E4883" s="49"/>
      <c r="G4883" s="43"/>
      <c r="H4883" s="44"/>
      <c r="L4883" s="42"/>
      <c r="M4883" s="42"/>
      <c r="N4883" s="25"/>
      <c r="O4883" s="54"/>
      <c r="P4883"/>
      <c r="Q4883" s="25"/>
      <c r="R4883" s="54"/>
      <c r="W4883" s="23"/>
      <c r="X4883" s="23"/>
      <c r="Y4883" s="23"/>
      <c r="Z4883" s="43"/>
      <c r="AA4883" s="23"/>
      <c r="AB4883" s="23"/>
      <c r="AC4883" s="23"/>
      <c r="AD4883" s="23"/>
      <c r="AE4883" s="23"/>
      <c r="AF4883" s="23"/>
      <c r="AG4883" s="23"/>
      <c r="AH4883" s="23"/>
      <c r="AI4883" s="49"/>
    </row>
    <row r="4884" spans="1:35">
      <c r="A4884" s="49"/>
      <c r="B4884" s="42"/>
      <c r="C4884" s="49"/>
      <c r="E4884" s="49"/>
      <c r="G4884" s="43"/>
      <c r="H4884" s="44"/>
      <c r="L4884" s="42"/>
      <c r="M4884" s="42"/>
      <c r="N4884" s="25"/>
      <c r="O4884" s="54"/>
      <c r="P4884"/>
      <c r="Q4884" s="25"/>
      <c r="R4884" s="54"/>
      <c r="W4884" s="23"/>
      <c r="X4884" s="23"/>
      <c r="Y4884" s="23"/>
      <c r="Z4884" s="43"/>
      <c r="AA4884" s="23"/>
      <c r="AB4884" s="23"/>
      <c r="AC4884" s="23"/>
      <c r="AD4884" s="23"/>
      <c r="AE4884" s="23"/>
      <c r="AF4884" s="23"/>
      <c r="AG4884" s="23"/>
      <c r="AH4884" s="23"/>
      <c r="AI4884" s="49"/>
    </row>
    <row r="4885" spans="1:35">
      <c r="A4885" s="49"/>
      <c r="B4885" s="42"/>
      <c r="C4885" s="49"/>
      <c r="E4885" s="49"/>
      <c r="G4885" s="43"/>
      <c r="H4885" s="44"/>
      <c r="L4885" s="42"/>
      <c r="M4885" s="42"/>
      <c r="N4885" s="25"/>
      <c r="O4885" s="54"/>
      <c r="P4885"/>
      <c r="Q4885" s="25"/>
      <c r="R4885" s="54"/>
      <c r="W4885" s="23"/>
      <c r="X4885" s="23"/>
      <c r="Y4885" s="23"/>
      <c r="Z4885" s="43"/>
      <c r="AA4885" s="23"/>
      <c r="AB4885" s="23"/>
      <c r="AC4885" s="23"/>
      <c r="AD4885" s="23"/>
      <c r="AE4885" s="23"/>
      <c r="AF4885" s="23"/>
      <c r="AG4885" s="23"/>
      <c r="AH4885" s="23"/>
      <c r="AI4885" s="49"/>
    </row>
    <row r="4886" spans="1:35">
      <c r="A4886" s="49"/>
      <c r="B4886" s="42"/>
      <c r="C4886" s="49"/>
      <c r="E4886" s="49"/>
      <c r="G4886" s="43"/>
      <c r="H4886" s="44"/>
      <c r="L4886" s="42"/>
      <c r="M4886" s="42"/>
      <c r="N4886" s="25"/>
      <c r="O4886" s="54"/>
      <c r="P4886"/>
      <c r="Q4886" s="25"/>
      <c r="R4886" s="54"/>
      <c r="W4886" s="23"/>
      <c r="X4886" s="23"/>
      <c r="Y4886" s="23"/>
      <c r="Z4886" s="43"/>
      <c r="AA4886" s="23"/>
      <c r="AB4886" s="23"/>
      <c r="AC4886" s="23"/>
      <c r="AD4886" s="23"/>
      <c r="AE4886" s="23"/>
      <c r="AF4886" s="23"/>
      <c r="AG4886" s="23"/>
      <c r="AH4886" s="23"/>
      <c r="AI4886" s="49"/>
    </row>
    <row r="4887" spans="1:35">
      <c r="A4887" s="49"/>
      <c r="B4887" s="42"/>
      <c r="C4887" s="49"/>
      <c r="E4887" s="49"/>
      <c r="G4887" s="43"/>
      <c r="H4887" s="44"/>
      <c r="L4887" s="42"/>
      <c r="M4887" s="42"/>
      <c r="N4887" s="25"/>
      <c r="O4887" s="54"/>
      <c r="P4887"/>
      <c r="Q4887" s="25"/>
      <c r="R4887" s="54"/>
      <c r="W4887" s="23"/>
      <c r="X4887" s="23"/>
      <c r="Y4887" s="23"/>
      <c r="Z4887" s="43"/>
      <c r="AA4887" s="23"/>
      <c r="AB4887" s="23"/>
      <c r="AC4887" s="23"/>
      <c r="AD4887" s="23"/>
      <c r="AE4887" s="23"/>
      <c r="AF4887" s="23"/>
      <c r="AG4887" s="23"/>
      <c r="AH4887" s="23"/>
      <c r="AI4887" s="49"/>
    </row>
    <row r="4888" spans="1:35">
      <c r="A4888" s="50"/>
      <c r="B4888" s="42"/>
      <c r="C4888" s="49"/>
      <c r="E4888" s="49"/>
      <c r="G4888" s="43"/>
      <c r="H4888" s="44"/>
      <c r="L4888" s="42"/>
      <c r="M4888" s="42"/>
      <c r="N4888" s="25"/>
      <c r="O4888" s="54"/>
      <c r="P4888"/>
      <c r="Q4888" s="25"/>
      <c r="R4888" s="54"/>
      <c r="W4888" s="23"/>
      <c r="X4888" s="23"/>
      <c r="Y4888" s="23"/>
      <c r="Z4888" s="43"/>
      <c r="AA4888" s="23"/>
      <c r="AB4888" s="23"/>
      <c r="AC4888" s="23"/>
      <c r="AD4888" s="23"/>
      <c r="AE4888" s="23"/>
      <c r="AF4888" s="23"/>
      <c r="AG4888" s="23"/>
      <c r="AH4888" s="23"/>
      <c r="AI4888" s="49"/>
    </row>
    <row r="4889" spans="1:35">
      <c r="A4889" s="49"/>
      <c r="B4889" s="42"/>
      <c r="C4889" s="49"/>
      <c r="E4889" s="49"/>
      <c r="G4889" s="43"/>
      <c r="H4889" s="44"/>
      <c r="L4889" s="42"/>
      <c r="M4889" s="42"/>
      <c r="N4889" s="25"/>
      <c r="O4889" s="54"/>
      <c r="P4889"/>
      <c r="Q4889" s="25"/>
      <c r="R4889" s="54"/>
      <c r="W4889" s="23"/>
      <c r="X4889" s="23"/>
      <c r="Y4889" s="23"/>
      <c r="Z4889" s="43"/>
      <c r="AA4889" s="23"/>
      <c r="AB4889" s="23"/>
      <c r="AC4889" s="23"/>
      <c r="AD4889" s="23"/>
      <c r="AE4889" s="23"/>
      <c r="AF4889" s="23"/>
      <c r="AG4889" s="23"/>
      <c r="AH4889" s="23"/>
      <c r="AI4889" s="49"/>
    </row>
    <row r="4890" spans="1:35">
      <c r="A4890" s="49"/>
      <c r="B4890" s="42"/>
      <c r="C4890" s="49"/>
      <c r="E4890" s="49"/>
      <c r="G4890" s="43"/>
      <c r="H4890" s="44"/>
      <c r="L4890" s="42"/>
      <c r="M4890" s="42"/>
      <c r="N4890" s="25"/>
      <c r="O4890" s="54"/>
      <c r="P4890"/>
      <c r="Q4890" s="25"/>
      <c r="R4890" s="54"/>
      <c r="W4890" s="23"/>
      <c r="X4890" s="23"/>
      <c r="Y4890" s="23"/>
      <c r="Z4890" s="43"/>
      <c r="AA4890" s="23"/>
      <c r="AB4890" s="23"/>
      <c r="AC4890" s="23"/>
      <c r="AD4890" s="23"/>
      <c r="AE4890" s="23"/>
      <c r="AF4890" s="23"/>
      <c r="AG4890" s="23"/>
      <c r="AH4890" s="23"/>
      <c r="AI4890" s="49"/>
    </row>
    <row r="4891" spans="1:35">
      <c r="A4891" s="49"/>
      <c r="B4891" s="42"/>
      <c r="C4891" s="49"/>
      <c r="E4891" s="49"/>
      <c r="G4891" s="43"/>
      <c r="H4891" s="44"/>
      <c r="L4891" s="42"/>
      <c r="M4891" s="42"/>
      <c r="N4891" s="25"/>
      <c r="O4891" s="54"/>
      <c r="P4891"/>
      <c r="Q4891" s="25"/>
      <c r="R4891" s="54"/>
      <c r="W4891" s="23"/>
      <c r="X4891" s="23"/>
      <c r="Y4891" s="23"/>
      <c r="Z4891" s="43"/>
      <c r="AA4891" s="23"/>
      <c r="AB4891" s="23"/>
      <c r="AC4891" s="23"/>
      <c r="AD4891" s="23"/>
      <c r="AE4891" s="23"/>
      <c r="AF4891" s="23"/>
      <c r="AG4891" s="23"/>
      <c r="AH4891" s="23"/>
      <c r="AI4891" s="49"/>
    </row>
    <row r="4892" spans="1:35">
      <c r="A4892" s="49"/>
      <c r="B4892" s="42"/>
      <c r="C4892" s="49"/>
      <c r="E4892" s="49"/>
      <c r="G4892" s="43"/>
      <c r="H4892" s="44"/>
      <c r="L4892" s="42"/>
      <c r="M4892" s="42"/>
      <c r="N4892" s="25"/>
      <c r="O4892" s="54"/>
      <c r="P4892"/>
      <c r="Q4892" s="25"/>
      <c r="R4892" s="54"/>
      <c r="W4892" s="23"/>
      <c r="X4892" s="23"/>
      <c r="Y4892" s="23"/>
      <c r="Z4892" s="43"/>
      <c r="AA4892" s="23"/>
      <c r="AB4892" s="23"/>
      <c r="AC4892" s="23"/>
      <c r="AD4892" s="23"/>
      <c r="AE4892" s="23"/>
      <c r="AF4892" s="23"/>
      <c r="AG4892" s="23"/>
      <c r="AH4892" s="23"/>
      <c r="AI4892" s="49"/>
    </row>
    <row r="4893" spans="1:35">
      <c r="A4893" s="50"/>
      <c r="B4893" s="42"/>
      <c r="C4893" s="49"/>
      <c r="E4893" s="49"/>
      <c r="G4893" s="43"/>
      <c r="H4893" s="44"/>
      <c r="L4893" s="42"/>
      <c r="M4893" s="42"/>
      <c r="N4893" s="25"/>
      <c r="O4893" s="54"/>
      <c r="P4893"/>
      <c r="Q4893" s="25"/>
      <c r="R4893" s="54"/>
      <c r="W4893" s="23"/>
      <c r="X4893" s="23"/>
      <c r="Y4893" s="23"/>
      <c r="Z4893" s="43"/>
      <c r="AA4893" s="23"/>
      <c r="AB4893" s="23"/>
      <c r="AC4893" s="23"/>
      <c r="AD4893" s="23"/>
      <c r="AE4893" s="23"/>
      <c r="AF4893" s="23"/>
      <c r="AG4893" s="23"/>
      <c r="AH4893" s="23"/>
      <c r="AI4893" s="49"/>
    </row>
    <row r="4894" spans="1:35">
      <c r="A4894" s="49"/>
      <c r="B4894" s="42"/>
      <c r="C4894" s="49"/>
      <c r="E4894" s="49"/>
      <c r="G4894" s="43"/>
      <c r="H4894" s="44"/>
      <c r="L4894" s="42"/>
      <c r="M4894" s="42"/>
      <c r="N4894" s="25"/>
      <c r="O4894" s="54"/>
      <c r="P4894"/>
      <c r="Q4894" s="25"/>
      <c r="R4894" s="54"/>
      <c r="W4894" s="23"/>
      <c r="X4894" s="23"/>
      <c r="Y4894" s="23"/>
      <c r="Z4894" s="43"/>
      <c r="AA4894" s="23"/>
      <c r="AB4894" s="23"/>
      <c r="AC4894" s="23"/>
      <c r="AD4894" s="23"/>
      <c r="AE4894" s="23"/>
      <c r="AF4894" s="23"/>
      <c r="AG4894" s="23"/>
      <c r="AH4894" s="23"/>
      <c r="AI4894" s="49"/>
    </row>
    <row r="4895" spans="1:35">
      <c r="A4895" s="49"/>
      <c r="B4895" s="42"/>
      <c r="C4895" s="49"/>
      <c r="E4895" s="49"/>
      <c r="G4895" s="43"/>
      <c r="H4895" s="44"/>
      <c r="L4895" s="42"/>
      <c r="M4895" s="42"/>
      <c r="N4895" s="25"/>
      <c r="O4895" s="54"/>
      <c r="P4895"/>
      <c r="Q4895" s="25"/>
      <c r="R4895" s="54"/>
      <c r="W4895" s="23"/>
      <c r="X4895" s="23"/>
      <c r="Y4895" s="23"/>
      <c r="Z4895" s="43"/>
      <c r="AA4895" s="23"/>
      <c r="AB4895" s="23"/>
      <c r="AC4895" s="23"/>
      <c r="AD4895" s="23"/>
      <c r="AE4895" s="23"/>
      <c r="AF4895" s="23"/>
      <c r="AG4895" s="23"/>
      <c r="AH4895" s="23"/>
      <c r="AI4895" s="49"/>
    </row>
    <row r="4896" spans="1:35">
      <c r="A4896" s="49"/>
      <c r="B4896" s="42"/>
      <c r="C4896" s="49"/>
      <c r="E4896" s="49"/>
      <c r="G4896" s="43"/>
      <c r="H4896" s="44"/>
      <c r="L4896" s="42"/>
      <c r="M4896" s="42"/>
      <c r="N4896" s="25"/>
      <c r="O4896" s="54"/>
      <c r="P4896"/>
      <c r="Q4896" s="25"/>
      <c r="R4896" s="54"/>
      <c r="W4896" s="23"/>
      <c r="X4896" s="23"/>
      <c r="Y4896" s="23"/>
      <c r="Z4896" s="43"/>
      <c r="AA4896" s="23"/>
      <c r="AB4896" s="23"/>
      <c r="AC4896" s="23"/>
      <c r="AD4896" s="23"/>
      <c r="AE4896" s="23"/>
      <c r="AF4896" s="23"/>
      <c r="AG4896" s="23"/>
      <c r="AH4896" s="23"/>
      <c r="AI4896" s="49"/>
    </row>
    <row r="4897" spans="1:35">
      <c r="A4897" s="49"/>
      <c r="B4897" s="42"/>
      <c r="C4897" s="49"/>
      <c r="E4897" s="49"/>
      <c r="G4897" s="43"/>
      <c r="H4897" s="44"/>
      <c r="L4897" s="42"/>
      <c r="M4897" s="42"/>
      <c r="N4897" s="25"/>
      <c r="O4897" s="54"/>
      <c r="P4897"/>
      <c r="Q4897" s="25"/>
      <c r="R4897" s="54"/>
      <c r="W4897" s="23"/>
      <c r="X4897" s="23"/>
      <c r="Y4897" s="23"/>
      <c r="Z4897" s="43"/>
      <c r="AA4897" s="23"/>
      <c r="AB4897" s="23"/>
      <c r="AC4897" s="23"/>
      <c r="AD4897" s="23"/>
      <c r="AE4897" s="23"/>
      <c r="AF4897" s="23"/>
      <c r="AG4897" s="23"/>
      <c r="AH4897" s="23"/>
      <c r="AI4897" s="49"/>
    </row>
    <row r="4898" spans="1:35">
      <c r="A4898" s="50"/>
      <c r="B4898" s="42"/>
      <c r="C4898" s="49"/>
      <c r="E4898" s="49"/>
      <c r="G4898" s="43"/>
      <c r="H4898" s="44"/>
      <c r="L4898" s="42"/>
      <c r="M4898" s="42"/>
      <c r="N4898" s="25"/>
      <c r="O4898" s="54"/>
      <c r="P4898"/>
      <c r="Q4898" s="25"/>
      <c r="R4898" s="54"/>
      <c r="W4898" s="23"/>
      <c r="X4898" s="23"/>
      <c r="Y4898" s="23"/>
      <c r="Z4898" s="43"/>
      <c r="AA4898" s="23"/>
      <c r="AB4898" s="23"/>
      <c r="AC4898" s="23"/>
      <c r="AD4898" s="23"/>
      <c r="AE4898" s="23"/>
      <c r="AF4898" s="23"/>
      <c r="AG4898" s="23"/>
      <c r="AH4898" s="23"/>
      <c r="AI4898" s="49"/>
    </row>
    <row r="4899" spans="1:35">
      <c r="A4899" s="50"/>
      <c r="B4899" s="42"/>
      <c r="C4899" s="49"/>
      <c r="E4899" s="49"/>
      <c r="G4899" s="43"/>
      <c r="H4899" s="44"/>
      <c r="L4899" s="42"/>
      <c r="M4899" s="42"/>
      <c r="N4899" s="25"/>
      <c r="O4899" s="54"/>
      <c r="P4899"/>
      <c r="Q4899" s="25"/>
      <c r="R4899" s="54"/>
      <c r="W4899" s="23"/>
      <c r="X4899" s="23"/>
      <c r="Y4899" s="23"/>
      <c r="Z4899" s="43"/>
      <c r="AA4899" s="23"/>
      <c r="AB4899" s="23"/>
      <c r="AC4899" s="23"/>
      <c r="AD4899" s="23"/>
      <c r="AE4899" s="23"/>
      <c r="AF4899" s="23"/>
      <c r="AG4899" s="23"/>
      <c r="AH4899" s="23"/>
      <c r="AI4899" s="49"/>
    </row>
    <row r="4900" spans="1:35">
      <c r="A4900" s="49"/>
      <c r="B4900" s="42"/>
      <c r="C4900" s="49"/>
      <c r="E4900" s="49"/>
      <c r="G4900" s="43"/>
      <c r="H4900" s="44"/>
      <c r="L4900" s="42"/>
      <c r="M4900" s="42"/>
      <c r="N4900" s="25"/>
      <c r="O4900" s="54"/>
      <c r="P4900"/>
      <c r="Q4900" s="25"/>
      <c r="R4900" s="54"/>
      <c r="W4900" s="23"/>
      <c r="X4900" s="23"/>
      <c r="Y4900" s="23"/>
      <c r="Z4900" s="43"/>
      <c r="AA4900" s="23"/>
      <c r="AB4900" s="23"/>
      <c r="AC4900" s="23"/>
      <c r="AD4900" s="23"/>
      <c r="AE4900" s="23"/>
      <c r="AF4900" s="23"/>
      <c r="AG4900" s="23"/>
      <c r="AH4900" s="23"/>
      <c r="AI4900" s="49"/>
    </row>
    <row r="4901" spans="1:35">
      <c r="A4901" s="49"/>
      <c r="B4901" s="42"/>
      <c r="C4901" s="49"/>
      <c r="E4901" s="49"/>
      <c r="G4901" s="43"/>
      <c r="H4901" s="44"/>
      <c r="L4901" s="42"/>
      <c r="M4901" s="42"/>
      <c r="N4901" s="25"/>
      <c r="O4901" s="54"/>
      <c r="P4901"/>
      <c r="Q4901" s="25"/>
      <c r="R4901" s="54"/>
      <c r="W4901" s="23"/>
      <c r="X4901" s="23"/>
      <c r="Y4901" s="23"/>
      <c r="Z4901" s="43"/>
      <c r="AA4901" s="23"/>
      <c r="AB4901" s="23"/>
      <c r="AC4901" s="23"/>
      <c r="AD4901" s="23"/>
      <c r="AE4901" s="23"/>
      <c r="AF4901" s="23"/>
      <c r="AG4901" s="23"/>
      <c r="AH4901" s="23"/>
      <c r="AI4901" s="49"/>
    </row>
    <row r="4902" spans="1:35">
      <c r="A4902" s="49"/>
      <c r="B4902" s="42"/>
      <c r="C4902" s="49"/>
      <c r="E4902" s="49"/>
      <c r="G4902" s="43"/>
      <c r="H4902" s="44"/>
      <c r="L4902" s="42"/>
      <c r="M4902" s="42"/>
      <c r="N4902" s="25"/>
      <c r="O4902" s="54"/>
      <c r="P4902"/>
      <c r="Q4902" s="25"/>
      <c r="R4902" s="54"/>
      <c r="W4902" s="23"/>
      <c r="X4902" s="23"/>
      <c r="Y4902" s="23"/>
      <c r="Z4902" s="43"/>
      <c r="AA4902" s="23"/>
      <c r="AB4902" s="23"/>
      <c r="AC4902" s="23"/>
      <c r="AD4902" s="23"/>
      <c r="AE4902" s="23"/>
      <c r="AF4902" s="23"/>
      <c r="AG4902" s="23"/>
      <c r="AH4902" s="23"/>
      <c r="AI4902" s="49"/>
    </row>
    <row r="4903" spans="1:35">
      <c r="A4903" s="50"/>
      <c r="B4903" s="42"/>
      <c r="C4903" s="49"/>
      <c r="E4903" s="49"/>
      <c r="G4903" s="43"/>
      <c r="H4903" s="44"/>
      <c r="L4903" s="42"/>
      <c r="M4903" s="42"/>
      <c r="N4903" s="25"/>
      <c r="O4903" s="54"/>
      <c r="P4903"/>
      <c r="Q4903" s="25"/>
      <c r="R4903" s="54"/>
      <c r="W4903" s="23"/>
      <c r="X4903" s="23"/>
      <c r="Y4903" s="23"/>
      <c r="Z4903" s="43"/>
      <c r="AA4903" s="23"/>
      <c r="AB4903" s="23"/>
      <c r="AC4903" s="23"/>
      <c r="AD4903" s="23"/>
      <c r="AE4903" s="23"/>
      <c r="AF4903" s="23"/>
      <c r="AG4903" s="23"/>
      <c r="AH4903" s="23"/>
      <c r="AI4903" s="49"/>
    </row>
    <row r="4904" spans="1:35">
      <c r="A4904" s="50"/>
      <c r="B4904" s="42"/>
      <c r="C4904" s="49"/>
      <c r="E4904" s="49"/>
      <c r="G4904" s="43"/>
      <c r="H4904" s="44"/>
      <c r="L4904" s="42"/>
      <c r="M4904" s="42"/>
      <c r="N4904" s="25"/>
      <c r="O4904" s="54"/>
      <c r="P4904"/>
      <c r="Q4904" s="25"/>
      <c r="R4904" s="54"/>
      <c r="W4904" s="23"/>
      <c r="X4904" s="23"/>
      <c r="Y4904" s="23"/>
      <c r="Z4904" s="43"/>
      <c r="AA4904" s="23"/>
      <c r="AB4904" s="23"/>
      <c r="AC4904" s="23"/>
      <c r="AD4904" s="23"/>
      <c r="AE4904" s="23"/>
      <c r="AF4904" s="23"/>
      <c r="AG4904" s="23"/>
      <c r="AH4904" s="23"/>
      <c r="AI4904" s="49"/>
    </row>
    <row r="4905" spans="1:35">
      <c r="A4905" s="49"/>
      <c r="B4905" s="42"/>
      <c r="C4905" s="49"/>
      <c r="E4905" s="49"/>
      <c r="G4905" s="43"/>
      <c r="H4905" s="44"/>
      <c r="L4905" s="42"/>
      <c r="M4905" s="42"/>
      <c r="N4905" s="25"/>
      <c r="O4905" s="54"/>
      <c r="P4905"/>
      <c r="Q4905" s="25"/>
      <c r="R4905" s="54"/>
      <c r="W4905" s="23"/>
      <c r="X4905" s="23"/>
      <c r="Y4905" s="23"/>
      <c r="Z4905" s="43"/>
      <c r="AA4905" s="23"/>
      <c r="AB4905" s="23"/>
      <c r="AC4905" s="23"/>
      <c r="AD4905" s="23"/>
      <c r="AE4905" s="23"/>
      <c r="AF4905" s="23"/>
      <c r="AG4905" s="23"/>
      <c r="AH4905" s="23"/>
      <c r="AI4905" s="49"/>
    </row>
    <row r="4906" spans="1:35">
      <c r="A4906" s="49"/>
      <c r="B4906" s="42"/>
      <c r="C4906" s="49"/>
      <c r="E4906" s="49"/>
      <c r="G4906" s="43"/>
      <c r="H4906" s="44"/>
      <c r="L4906" s="42"/>
      <c r="M4906" s="42"/>
      <c r="N4906" s="25"/>
      <c r="O4906" s="54"/>
      <c r="P4906"/>
      <c r="Q4906" s="25"/>
      <c r="R4906" s="54"/>
      <c r="W4906" s="23"/>
      <c r="X4906" s="23"/>
      <c r="Y4906" s="23"/>
      <c r="Z4906" s="43"/>
      <c r="AA4906" s="23"/>
      <c r="AB4906" s="23"/>
      <c r="AC4906" s="23"/>
      <c r="AD4906" s="23"/>
      <c r="AE4906" s="23"/>
      <c r="AF4906" s="23"/>
      <c r="AG4906" s="23"/>
      <c r="AH4906" s="23"/>
      <c r="AI4906" s="49"/>
    </row>
    <row r="4907" spans="1:35">
      <c r="A4907" s="49"/>
      <c r="B4907" s="42"/>
      <c r="C4907" s="49"/>
      <c r="E4907" s="49"/>
      <c r="G4907" s="43"/>
      <c r="H4907" s="44"/>
      <c r="L4907" s="42"/>
      <c r="M4907" s="42"/>
      <c r="N4907" s="25"/>
      <c r="O4907" s="54"/>
      <c r="P4907"/>
      <c r="Q4907" s="25"/>
      <c r="R4907" s="54"/>
      <c r="W4907" s="23"/>
      <c r="X4907" s="23"/>
      <c r="Y4907" s="23"/>
      <c r="Z4907" s="43"/>
      <c r="AA4907" s="23"/>
      <c r="AB4907" s="23"/>
      <c r="AC4907" s="23"/>
      <c r="AD4907" s="23"/>
      <c r="AE4907" s="23"/>
      <c r="AF4907" s="23"/>
      <c r="AG4907" s="23"/>
      <c r="AH4907" s="23"/>
      <c r="AI4907" s="49"/>
    </row>
    <row r="4908" spans="1:35">
      <c r="A4908" s="49"/>
      <c r="B4908" s="42"/>
      <c r="C4908" s="49"/>
      <c r="E4908" s="49"/>
      <c r="G4908" s="43"/>
      <c r="H4908" s="44"/>
      <c r="L4908" s="42"/>
      <c r="M4908" s="42"/>
      <c r="N4908" s="25"/>
      <c r="O4908" s="54"/>
      <c r="P4908"/>
      <c r="Q4908" s="25"/>
      <c r="R4908" s="54"/>
      <c r="W4908" s="23"/>
      <c r="X4908" s="23"/>
      <c r="Y4908" s="23"/>
      <c r="Z4908" s="43"/>
      <c r="AA4908" s="23"/>
      <c r="AB4908" s="23"/>
      <c r="AC4908" s="23"/>
      <c r="AD4908" s="23"/>
      <c r="AE4908" s="23"/>
      <c r="AF4908" s="23"/>
      <c r="AG4908" s="23"/>
      <c r="AH4908" s="23"/>
      <c r="AI4908" s="49"/>
    </row>
    <row r="4909" spans="1:35">
      <c r="A4909" s="50"/>
      <c r="B4909" s="42"/>
      <c r="C4909" s="49"/>
      <c r="E4909" s="49"/>
      <c r="G4909" s="43"/>
      <c r="H4909" s="44"/>
      <c r="L4909" s="42"/>
      <c r="M4909" s="42"/>
      <c r="N4909" s="25"/>
      <c r="O4909" s="54"/>
      <c r="P4909"/>
      <c r="Q4909" s="25"/>
      <c r="R4909" s="54"/>
      <c r="W4909" s="23"/>
      <c r="X4909" s="23"/>
      <c r="Y4909" s="23"/>
      <c r="Z4909" s="43"/>
      <c r="AA4909" s="23"/>
      <c r="AB4909" s="23"/>
      <c r="AC4909" s="23"/>
      <c r="AD4909" s="23"/>
      <c r="AE4909" s="23"/>
      <c r="AF4909" s="23"/>
      <c r="AG4909" s="23"/>
      <c r="AH4909" s="23"/>
      <c r="AI4909" s="49"/>
    </row>
    <row r="4910" spans="1:35">
      <c r="A4910" s="50"/>
      <c r="B4910" s="42"/>
      <c r="C4910" s="49"/>
      <c r="E4910" s="49"/>
      <c r="G4910" s="43"/>
      <c r="H4910" s="44"/>
      <c r="L4910" s="42"/>
      <c r="M4910" s="42"/>
      <c r="N4910" s="25"/>
      <c r="O4910" s="54"/>
      <c r="P4910"/>
      <c r="Q4910" s="25"/>
      <c r="R4910" s="54"/>
      <c r="W4910" s="23"/>
      <c r="X4910" s="23"/>
      <c r="Y4910" s="23"/>
      <c r="Z4910" s="43"/>
      <c r="AA4910" s="23"/>
      <c r="AB4910" s="23"/>
      <c r="AC4910" s="23"/>
      <c r="AD4910" s="23"/>
      <c r="AE4910" s="23"/>
      <c r="AF4910" s="23"/>
      <c r="AG4910" s="23"/>
      <c r="AH4910" s="23"/>
      <c r="AI4910" s="49"/>
    </row>
    <row r="4911" spans="1:35">
      <c r="A4911" s="49"/>
      <c r="B4911" s="42"/>
      <c r="C4911" s="49"/>
      <c r="E4911" s="49"/>
      <c r="G4911" s="43"/>
      <c r="H4911" s="44"/>
      <c r="L4911" s="42"/>
      <c r="M4911" s="42"/>
      <c r="N4911" s="25"/>
      <c r="O4911" s="54"/>
      <c r="P4911"/>
      <c r="Q4911" s="25"/>
      <c r="R4911" s="54"/>
      <c r="W4911" s="23"/>
      <c r="X4911" s="23"/>
      <c r="Y4911" s="23"/>
      <c r="Z4911" s="43"/>
      <c r="AA4911" s="23"/>
      <c r="AB4911" s="23"/>
      <c r="AC4911" s="23"/>
      <c r="AD4911" s="23"/>
      <c r="AE4911" s="23"/>
      <c r="AF4911" s="23"/>
      <c r="AG4911" s="23"/>
      <c r="AH4911" s="23"/>
      <c r="AI4911" s="49"/>
    </row>
    <row r="4912" spans="1:35">
      <c r="A4912" s="49"/>
      <c r="B4912" s="42"/>
      <c r="C4912" s="49"/>
      <c r="E4912" s="49"/>
      <c r="G4912" s="43"/>
      <c r="H4912" s="44"/>
      <c r="L4912" s="42"/>
      <c r="M4912" s="42"/>
      <c r="N4912" s="25"/>
      <c r="O4912" s="54"/>
      <c r="P4912"/>
      <c r="Q4912" s="25"/>
      <c r="R4912" s="54"/>
      <c r="W4912" s="23"/>
      <c r="X4912" s="23"/>
      <c r="Y4912" s="23"/>
      <c r="Z4912" s="43"/>
      <c r="AA4912" s="23"/>
      <c r="AB4912" s="23"/>
      <c r="AC4912" s="23"/>
      <c r="AD4912" s="23"/>
      <c r="AE4912" s="23"/>
      <c r="AF4912" s="23"/>
      <c r="AG4912" s="23"/>
      <c r="AH4912" s="23"/>
      <c r="AI4912" s="49"/>
    </row>
    <row r="4913" spans="1:35">
      <c r="A4913" s="49"/>
      <c r="B4913" s="42"/>
      <c r="C4913" s="49"/>
      <c r="E4913" s="49"/>
      <c r="G4913" s="43"/>
      <c r="H4913" s="44"/>
      <c r="L4913" s="42"/>
      <c r="M4913" s="42"/>
      <c r="N4913" s="25"/>
      <c r="O4913" s="54"/>
      <c r="P4913"/>
      <c r="Q4913" s="25"/>
      <c r="R4913" s="54"/>
      <c r="W4913" s="23"/>
      <c r="X4913" s="23"/>
      <c r="Y4913" s="23"/>
      <c r="Z4913" s="43"/>
      <c r="AA4913" s="23"/>
      <c r="AB4913" s="23"/>
      <c r="AC4913" s="23"/>
      <c r="AD4913" s="23"/>
      <c r="AE4913" s="23"/>
      <c r="AF4913" s="23"/>
      <c r="AG4913" s="23"/>
      <c r="AH4913" s="23"/>
      <c r="AI4913" s="49"/>
    </row>
    <row r="4914" spans="1:35">
      <c r="A4914" s="49"/>
      <c r="B4914" s="42"/>
      <c r="C4914" s="49"/>
      <c r="E4914" s="49"/>
      <c r="G4914" s="43"/>
      <c r="H4914" s="44"/>
      <c r="L4914" s="42"/>
      <c r="M4914" s="42"/>
      <c r="N4914" s="25"/>
      <c r="O4914" s="54"/>
      <c r="P4914"/>
      <c r="Q4914" s="25"/>
      <c r="R4914" s="54"/>
      <c r="W4914" s="23"/>
      <c r="X4914" s="23"/>
      <c r="Y4914" s="23"/>
      <c r="Z4914" s="43"/>
      <c r="AA4914" s="23"/>
      <c r="AB4914" s="23"/>
      <c r="AC4914" s="23"/>
      <c r="AD4914" s="23"/>
      <c r="AE4914" s="23"/>
      <c r="AF4914" s="23"/>
      <c r="AG4914" s="23"/>
      <c r="AH4914" s="23"/>
      <c r="AI4914" s="49"/>
    </row>
    <row r="4915" spans="1:35">
      <c r="A4915" s="50"/>
      <c r="B4915" s="42"/>
      <c r="C4915" s="49"/>
      <c r="E4915" s="49"/>
      <c r="G4915" s="43"/>
      <c r="H4915" s="44"/>
      <c r="L4915" s="42"/>
      <c r="M4915" s="42"/>
      <c r="N4915" s="25"/>
      <c r="O4915" s="54"/>
      <c r="P4915"/>
      <c r="Q4915" s="25"/>
      <c r="R4915" s="54"/>
      <c r="W4915" s="23"/>
      <c r="X4915" s="23"/>
      <c r="Y4915" s="23"/>
      <c r="Z4915" s="43"/>
      <c r="AA4915" s="23"/>
      <c r="AB4915" s="23"/>
      <c r="AC4915" s="23"/>
      <c r="AD4915" s="23"/>
      <c r="AE4915" s="23"/>
      <c r="AF4915" s="23"/>
      <c r="AG4915" s="23"/>
      <c r="AH4915" s="23"/>
      <c r="AI4915" s="49"/>
    </row>
    <row r="4916" spans="1:35">
      <c r="A4916" s="50"/>
      <c r="B4916" s="42"/>
      <c r="C4916" s="49"/>
      <c r="E4916" s="49"/>
      <c r="G4916" s="43"/>
      <c r="H4916" s="44"/>
      <c r="L4916" s="42"/>
      <c r="M4916" s="42"/>
      <c r="N4916" s="25"/>
      <c r="O4916" s="54"/>
      <c r="P4916"/>
      <c r="Q4916" s="25"/>
      <c r="R4916" s="54"/>
      <c r="W4916" s="23"/>
      <c r="X4916" s="23"/>
      <c r="Y4916" s="23"/>
      <c r="Z4916" s="43"/>
      <c r="AA4916" s="23"/>
      <c r="AB4916" s="23"/>
      <c r="AC4916" s="23"/>
      <c r="AD4916" s="23"/>
      <c r="AE4916" s="23"/>
      <c r="AF4916" s="23"/>
      <c r="AG4916" s="23"/>
      <c r="AH4916" s="23"/>
      <c r="AI4916" s="49"/>
    </row>
    <row r="4917" spans="1:35">
      <c r="A4917" s="49"/>
      <c r="B4917" s="42"/>
      <c r="C4917" s="49"/>
      <c r="E4917" s="49"/>
      <c r="G4917" s="43"/>
      <c r="H4917" s="44"/>
      <c r="L4917" s="42"/>
      <c r="M4917" s="42"/>
      <c r="N4917" s="25"/>
      <c r="O4917" s="54"/>
      <c r="P4917"/>
      <c r="Q4917" s="25"/>
      <c r="R4917" s="54"/>
      <c r="W4917" s="23"/>
      <c r="X4917" s="23"/>
      <c r="Y4917" s="23"/>
      <c r="Z4917" s="43"/>
      <c r="AA4917" s="23"/>
      <c r="AB4917" s="23"/>
      <c r="AC4917" s="23"/>
      <c r="AD4917" s="23"/>
      <c r="AE4917" s="23"/>
      <c r="AF4917" s="23"/>
      <c r="AG4917" s="23"/>
      <c r="AH4917" s="23"/>
      <c r="AI4917" s="49"/>
    </row>
    <row r="4918" spans="1:35">
      <c r="A4918" s="49"/>
      <c r="B4918" s="42"/>
      <c r="C4918" s="49"/>
      <c r="E4918" s="49"/>
      <c r="G4918" s="43"/>
      <c r="H4918" s="44"/>
      <c r="L4918" s="42"/>
      <c r="M4918" s="42"/>
      <c r="N4918" s="25"/>
      <c r="O4918" s="54"/>
      <c r="P4918"/>
      <c r="Q4918" s="25"/>
      <c r="R4918" s="54"/>
      <c r="W4918" s="23"/>
      <c r="X4918" s="23"/>
      <c r="Y4918" s="23"/>
      <c r="Z4918" s="43"/>
      <c r="AA4918" s="23"/>
      <c r="AB4918" s="23"/>
      <c r="AC4918" s="23"/>
      <c r="AD4918" s="23"/>
      <c r="AE4918" s="23"/>
      <c r="AF4918" s="23"/>
      <c r="AG4918" s="23"/>
      <c r="AH4918" s="23"/>
      <c r="AI4918" s="49"/>
    </row>
    <row r="4919" spans="1:35">
      <c r="A4919" s="49"/>
      <c r="B4919" s="42"/>
      <c r="C4919" s="49"/>
      <c r="E4919" s="49"/>
      <c r="G4919" s="43"/>
      <c r="H4919" s="44"/>
      <c r="L4919" s="42"/>
      <c r="M4919" s="42"/>
      <c r="N4919" s="25"/>
      <c r="O4919" s="54"/>
      <c r="P4919"/>
      <c r="Q4919" s="25"/>
      <c r="R4919" s="54"/>
      <c r="W4919" s="23"/>
      <c r="X4919" s="23"/>
      <c r="Y4919" s="23"/>
      <c r="Z4919" s="43"/>
      <c r="AA4919" s="23"/>
      <c r="AB4919" s="23"/>
      <c r="AC4919" s="23"/>
      <c r="AD4919" s="23"/>
      <c r="AE4919" s="23"/>
      <c r="AF4919" s="23"/>
      <c r="AG4919" s="23"/>
      <c r="AH4919" s="23"/>
      <c r="AI4919" s="49"/>
    </row>
    <row r="4920" spans="1:35">
      <c r="A4920" s="49"/>
      <c r="B4920" s="42"/>
      <c r="C4920" s="49"/>
      <c r="E4920" s="49"/>
      <c r="G4920" s="43"/>
      <c r="H4920" s="44"/>
      <c r="L4920" s="42"/>
      <c r="M4920" s="42"/>
      <c r="N4920" s="25"/>
      <c r="O4920" s="54"/>
      <c r="P4920"/>
      <c r="Q4920" s="25"/>
      <c r="R4920" s="54"/>
      <c r="W4920" s="23"/>
      <c r="X4920" s="23"/>
      <c r="Y4920" s="23"/>
      <c r="Z4920" s="43"/>
      <c r="AA4920" s="23"/>
      <c r="AB4920" s="23"/>
      <c r="AC4920" s="23"/>
      <c r="AD4920" s="23"/>
      <c r="AE4920" s="23"/>
      <c r="AF4920" s="23"/>
      <c r="AG4920" s="23"/>
      <c r="AH4920" s="23"/>
      <c r="AI4920" s="49"/>
    </row>
    <row r="4921" spans="1:35">
      <c r="A4921" s="50"/>
      <c r="B4921" s="42"/>
      <c r="C4921" s="49"/>
      <c r="E4921" s="49"/>
      <c r="G4921" s="43"/>
      <c r="H4921" s="44"/>
      <c r="L4921" s="42"/>
      <c r="M4921" s="42"/>
      <c r="N4921" s="25"/>
      <c r="O4921" s="54"/>
      <c r="P4921"/>
      <c r="Q4921" s="25"/>
      <c r="R4921" s="54"/>
      <c r="W4921" s="23"/>
      <c r="X4921" s="23"/>
      <c r="Y4921" s="23"/>
      <c r="Z4921" s="43"/>
      <c r="AA4921" s="23"/>
      <c r="AB4921" s="23"/>
      <c r="AC4921" s="23"/>
      <c r="AD4921" s="23"/>
      <c r="AE4921" s="23"/>
      <c r="AF4921" s="23"/>
      <c r="AG4921" s="23"/>
      <c r="AH4921" s="23"/>
      <c r="AI4921" s="49"/>
    </row>
    <row r="4922" spans="1:35">
      <c r="A4922" s="50"/>
      <c r="B4922" s="42"/>
      <c r="C4922" s="49"/>
      <c r="E4922" s="49"/>
      <c r="G4922" s="43"/>
      <c r="H4922" s="44"/>
      <c r="L4922" s="42"/>
      <c r="M4922" s="42"/>
      <c r="N4922" s="25"/>
      <c r="O4922" s="54"/>
      <c r="P4922"/>
      <c r="Q4922" s="25"/>
      <c r="R4922" s="54"/>
      <c r="W4922" s="23"/>
      <c r="X4922" s="23"/>
      <c r="Y4922" s="23"/>
      <c r="Z4922" s="43"/>
      <c r="AA4922" s="23"/>
      <c r="AB4922" s="23"/>
      <c r="AC4922" s="23"/>
      <c r="AD4922" s="23"/>
      <c r="AE4922" s="23"/>
      <c r="AF4922" s="23"/>
      <c r="AG4922" s="23"/>
      <c r="AH4922" s="23"/>
      <c r="AI4922" s="49"/>
    </row>
    <row r="4923" spans="1:35">
      <c r="A4923" s="49"/>
      <c r="B4923" s="42"/>
      <c r="C4923" s="49"/>
      <c r="E4923" s="49"/>
      <c r="G4923" s="43"/>
      <c r="H4923" s="44"/>
      <c r="L4923" s="42"/>
      <c r="M4923" s="42"/>
      <c r="N4923" s="25"/>
      <c r="O4923" s="54"/>
      <c r="P4923"/>
      <c r="Q4923" s="25"/>
      <c r="R4923" s="54"/>
      <c r="W4923" s="23"/>
      <c r="X4923" s="23"/>
      <c r="Y4923" s="23"/>
      <c r="Z4923" s="43"/>
      <c r="AA4923" s="23"/>
      <c r="AB4923" s="23"/>
      <c r="AC4923" s="23"/>
      <c r="AD4923" s="23"/>
      <c r="AE4923" s="23"/>
      <c r="AF4923" s="23"/>
      <c r="AG4923" s="23"/>
      <c r="AH4923" s="23"/>
      <c r="AI4923" s="49"/>
    </row>
    <row r="4924" spans="1:35">
      <c r="A4924" s="49"/>
      <c r="B4924" s="42"/>
      <c r="C4924" s="49"/>
      <c r="E4924" s="49"/>
      <c r="G4924" s="43"/>
      <c r="H4924" s="44"/>
      <c r="L4924" s="42"/>
      <c r="M4924" s="42"/>
      <c r="N4924" s="25"/>
      <c r="O4924" s="54"/>
      <c r="P4924"/>
      <c r="Q4924" s="25"/>
      <c r="R4924" s="54"/>
      <c r="W4924" s="23"/>
      <c r="X4924" s="23"/>
      <c r="Y4924" s="23"/>
      <c r="Z4924" s="43"/>
      <c r="AA4924" s="23"/>
      <c r="AB4924" s="23"/>
      <c r="AC4924" s="23"/>
      <c r="AD4924" s="23"/>
      <c r="AE4924" s="23"/>
      <c r="AF4924" s="23"/>
      <c r="AG4924" s="23"/>
      <c r="AH4924" s="23"/>
      <c r="AI4924" s="49"/>
    </row>
    <row r="4925" spans="1:35">
      <c r="A4925" s="49"/>
      <c r="B4925" s="42"/>
      <c r="C4925" s="49"/>
      <c r="E4925" s="49"/>
      <c r="G4925" s="43"/>
      <c r="H4925" s="44"/>
      <c r="L4925" s="42"/>
      <c r="M4925" s="42"/>
      <c r="N4925" s="25"/>
      <c r="O4925" s="54"/>
      <c r="P4925"/>
      <c r="Q4925" s="25"/>
      <c r="R4925" s="54"/>
      <c r="W4925" s="23"/>
      <c r="X4925" s="23"/>
      <c r="Y4925" s="23"/>
      <c r="Z4925" s="43"/>
      <c r="AA4925" s="23"/>
      <c r="AB4925" s="23"/>
      <c r="AC4925" s="23"/>
      <c r="AD4925" s="23"/>
      <c r="AE4925" s="23"/>
      <c r="AF4925" s="23"/>
      <c r="AG4925" s="23"/>
      <c r="AH4925" s="23"/>
      <c r="AI4925" s="49"/>
    </row>
    <row r="4926" spans="1:35">
      <c r="A4926" s="49"/>
      <c r="B4926" s="42"/>
      <c r="C4926" s="49"/>
      <c r="E4926" s="49"/>
      <c r="G4926" s="43"/>
      <c r="H4926" s="44"/>
      <c r="L4926" s="42"/>
      <c r="M4926" s="42"/>
      <c r="N4926" s="25"/>
      <c r="O4926" s="54"/>
      <c r="P4926"/>
      <c r="Q4926" s="25"/>
      <c r="R4926" s="54"/>
      <c r="W4926" s="23"/>
      <c r="X4926" s="23"/>
      <c r="Y4926" s="23"/>
      <c r="Z4926" s="43"/>
      <c r="AA4926" s="23"/>
      <c r="AB4926" s="23"/>
      <c r="AC4926" s="23"/>
      <c r="AD4926" s="23"/>
      <c r="AE4926" s="23"/>
      <c r="AF4926" s="23"/>
      <c r="AG4926" s="23"/>
      <c r="AH4926" s="23"/>
      <c r="AI4926" s="49"/>
    </row>
    <row r="4927" spans="1:35">
      <c r="A4927" s="50"/>
      <c r="B4927" s="42"/>
      <c r="C4927" s="49"/>
      <c r="E4927" s="49"/>
      <c r="G4927" s="43"/>
      <c r="H4927" s="44"/>
      <c r="L4927" s="42"/>
      <c r="M4927" s="42"/>
      <c r="N4927" s="25"/>
      <c r="O4927" s="54"/>
      <c r="P4927"/>
      <c r="Q4927" s="25"/>
      <c r="R4927" s="54"/>
      <c r="W4927" s="23"/>
      <c r="X4927" s="23"/>
      <c r="Y4927" s="23"/>
      <c r="Z4927" s="43"/>
      <c r="AA4927" s="23"/>
      <c r="AB4927" s="23"/>
      <c r="AC4927" s="23"/>
      <c r="AD4927" s="23"/>
      <c r="AE4927" s="23"/>
      <c r="AF4927" s="23"/>
      <c r="AG4927" s="23"/>
      <c r="AH4927" s="23"/>
      <c r="AI4927" s="49"/>
    </row>
    <row r="4928" spans="1:35">
      <c r="A4928" s="50"/>
      <c r="B4928" s="42"/>
      <c r="C4928" s="49"/>
      <c r="E4928" s="49"/>
      <c r="G4928" s="43"/>
      <c r="H4928" s="44"/>
      <c r="L4928" s="42"/>
      <c r="M4928" s="42"/>
      <c r="N4928" s="25"/>
      <c r="O4928" s="54"/>
      <c r="P4928"/>
      <c r="Q4928" s="25"/>
      <c r="R4928" s="54"/>
      <c r="W4928" s="23"/>
      <c r="X4928" s="23"/>
      <c r="Y4928" s="23"/>
      <c r="Z4928" s="43"/>
      <c r="AA4928" s="23"/>
      <c r="AB4928" s="23"/>
      <c r="AC4928" s="23"/>
      <c r="AD4928" s="23"/>
      <c r="AE4928" s="23"/>
      <c r="AF4928" s="23"/>
      <c r="AG4928" s="23"/>
      <c r="AH4928" s="23"/>
      <c r="AI4928" s="49"/>
    </row>
    <row r="4929" spans="1:35">
      <c r="A4929" s="50"/>
      <c r="B4929" s="42"/>
      <c r="C4929" s="49"/>
      <c r="E4929" s="49"/>
      <c r="G4929" s="43"/>
      <c r="H4929" s="44"/>
      <c r="L4929" s="42"/>
      <c r="M4929" s="42"/>
      <c r="N4929" s="25"/>
      <c r="O4929" s="54"/>
      <c r="P4929"/>
      <c r="Q4929" s="25"/>
      <c r="R4929" s="54"/>
      <c r="W4929" s="23"/>
      <c r="X4929" s="23"/>
      <c r="Y4929" s="23"/>
      <c r="Z4929" s="43"/>
      <c r="AA4929" s="23"/>
      <c r="AB4929" s="23"/>
      <c r="AC4929" s="23"/>
      <c r="AD4929" s="23"/>
      <c r="AE4929" s="23"/>
      <c r="AF4929" s="23"/>
      <c r="AG4929" s="23"/>
      <c r="AH4929" s="23"/>
      <c r="AI4929" s="49"/>
    </row>
    <row r="4930" spans="1:35">
      <c r="A4930" s="49"/>
      <c r="B4930" s="42"/>
      <c r="C4930" s="49"/>
      <c r="E4930" s="49"/>
      <c r="G4930" s="43"/>
      <c r="H4930" s="44"/>
      <c r="L4930" s="42"/>
      <c r="M4930" s="42"/>
      <c r="N4930" s="25"/>
      <c r="O4930" s="54"/>
      <c r="P4930"/>
      <c r="Q4930" s="25"/>
      <c r="R4930" s="54"/>
      <c r="W4930" s="23"/>
      <c r="X4930" s="23"/>
      <c r="Y4930" s="23"/>
      <c r="Z4930" s="43"/>
      <c r="AA4930" s="23"/>
      <c r="AB4930" s="23"/>
      <c r="AC4930" s="23"/>
      <c r="AD4930" s="23"/>
      <c r="AE4930" s="23"/>
      <c r="AF4930" s="23"/>
      <c r="AG4930" s="23"/>
      <c r="AH4930" s="23"/>
      <c r="AI4930" s="49"/>
    </row>
    <row r="4931" spans="1:35">
      <c r="A4931" s="49"/>
      <c r="B4931" s="42"/>
      <c r="C4931" s="49"/>
      <c r="E4931" s="49"/>
      <c r="G4931" s="43"/>
      <c r="H4931" s="44"/>
      <c r="L4931" s="42"/>
      <c r="M4931" s="42"/>
      <c r="N4931" s="25"/>
      <c r="O4931" s="54"/>
      <c r="P4931"/>
      <c r="Q4931" s="25"/>
      <c r="R4931" s="54"/>
      <c r="W4931" s="23"/>
      <c r="X4931" s="23"/>
      <c r="Y4931" s="23"/>
      <c r="Z4931" s="43"/>
      <c r="AA4931" s="23"/>
      <c r="AB4931" s="23"/>
      <c r="AC4931" s="23"/>
      <c r="AD4931" s="23"/>
      <c r="AE4931" s="23"/>
      <c r="AF4931" s="23"/>
      <c r="AG4931" s="23"/>
      <c r="AH4931" s="23"/>
      <c r="AI4931" s="49"/>
    </row>
    <row r="4932" spans="1:35">
      <c r="A4932" s="50"/>
      <c r="B4932" s="42"/>
      <c r="C4932" s="49"/>
      <c r="E4932" s="49"/>
      <c r="G4932" s="43"/>
      <c r="H4932" s="44"/>
      <c r="L4932" s="42"/>
      <c r="M4932" s="42"/>
      <c r="N4932" s="25"/>
      <c r="O4932" s="54"/>
      <c r="P4932"/>
      <c r="Q4932" s="25"/>
      <c r="R4932" s="54"/>
      <c r="W4932" s="23"/>
      <c r="X4932" s="23"/>
      <c r="Y4932" s="23"/>
      <c r="Z4932" s="43"/>
      <c r="AA4932" s="23"/>
      <c r="AB4932" s="23"/>
      <c r="AC4932" s="23"/>
      <c r="AD4932" s="23"/>
      <c r="AE4932" s="23"/>
      <c r="AF4932" s="23"/>
      <c r="AG4932" s="23"/>
      <c r="AH4932" s="23"/>
      <c r="AI4932" s="49"/>
    </row>
    <row r="4933" spans="1:35">
      <c r="A4933" s="50"/>
      <c r="B4933" s="42"/>
      <c r="C4933" s="49"/>
      <c r="E4933" s="49"/>
      <c r="G4933" s="43"/>
      <c r="H4933" s="44"/>
      <c r="L4933" s="42"/>
      <c r="M4933" s="42"/>
      <c r="N4933" s="25"/>
      <c r="O4933" s="54"/>
      <c r="P4933"/>
      <c r="Q4933" s="25"/>
      <c r="R4933" s="54"/>
      <c r="W4933" s="23"/>
      <c r="X4933" s="23"/>
      <c r="Y4933" s="23"/>
      <c r="Z4933" s="43"/>
      <c r="AA4933" s="23"/>
      <c r="AB4933" s="23"/>
      <c r="AC4933" s="23"/>
      <c r="AD4933" s="23"/>
      <c r="AE4933" s="23"/>
      <c r="AF4933" s="23"/>
      <c r="AG4933" s="23"/>
      <c r="AH4933" s="23"/>
      <c r="AI4933" s="49"/>
    </row>
    <row r="4934" spans="1:35">
      <c r="A4934" s="50"/>
      <c r="B4934" s="42"/>
      <c r="C4934" s="49"/>
      <c r="E4934" s="49"/>
      <c r="G4934" s="43"/>
      <c r="H4934" s="44"/>
      <c r="L4934" s="42"/>
      <c r="M4934" s="42"/>
      <c r="N4934" s="25"/>
      <c r="O4934" s="54"/>
      <c r="P4934"/>
      <c r="Q4934" s="25"/>
      <c r="R4934" s="54"/>
      <c r="W4934" s="23"/>
      <c r="X4934" s="23"/>
      <c r="Y4934" s="23"/>
      <c r="Z4934" s="43"/>
      <c r="AA4934" s="23"/>
      <c r="AB4934" s="23"/>
      <c r="AC4934" s="23"/>
      <c r="AD4934" s="23"/>
      <c r="AE4934" s="23"/>
      <c r="AF4934" s="23"/>
      <c r="AG4934" s="23"/>
      <c r="AH4934" s="23"/>
      <c r="AI4934" s="49"/>
    </row>
    <row r="4935" spans="1:35">
      <c r="A4935" s="50"/>
      <c r="B4935" s="42"/>
      <c r="G4935" s="43"/>
      <c r="H4935" s="44"/>
      <c r="L4935" s="42"/>
      <c r="M4935" s="42"/>
      <c r="N4935" s="25"/>
      <c r="O4935" s="54"/>
      <c r="P4935"/>
      <c r="Q4935" s="25"/>
      <c r="R4935" s="54"/>
      <c r="W4935" s="23"/>
      <c r="X4935" s="23"/>
      <c r="Y4935" s="23"/>
      <c r="Z4935" s="43"/>
      <c r="AA4935" s="23"/>
      <c r="AB4935" s="23"/>
      <c r="AC4935" s="23"/>
      <c r="AD4935" s="23"/>
      <c r="AE4935" s="23"/>
      <c r="AF4935" s="23"/>
      <c r="AG4935" s="23"/>
      <c r="AH4935" s="23"/>
    </row>
    <row r="4936" spans="1:35">
      <c r="A4936" s="50"/>
      <c r="B4936" s="42"/>
      <c r="G4936" s="43"/>
      <c r="H4936" s="44"/>
      <c r="L4936" s="42"/>
      <c r="M4936" s="42"/>
      <c r="N4936" s="25"/>
      <c r="O4936" s="54"/>
      <c r="P4936"/>
      <c r="Q4936" s="25"/>
      <c r="R4936" s="54"/>
      <c r="W4936" s="23"/>
      <c r="X4936" s="23"/>
      <c r="Y4936" s="23"/>
      <c r="Z4936" s="43"/>
      <c r="AA4936" s="23"/>
      <c r="AB4936" s="23"/>
      <c r="AC4936" s="23"/>
      <c r="AD4936" s="23"/>
      <c r="AE4936" s="23"/>
      <c r="AF4936" s="23"/>
      <c r="AG4936" s="23"/>
      <c r="AH4936" s="23"/>
    </row>
    <row r="4937" spans="1:35">
      <c r="A4937" s="50"/>
      <c r="B4937" s="42"/>
      <c r="G4937" s="43"/>
      <c r="H4937" s="44"/>
      <c r="L4937" s="42"/>
      <c r="M4937" s="42"/>
      <c r="N4937" s="25"/>
      <c r="O4937" s="54"/>
      <c r="P4937"/>
      <c r="Q4937" s="25"/>
      <c r="R4937" s="54"/>
      <c r="W4937" s="23"/>
      <c r="X4937" s="23"/>
      <c r="Y4937" s="23"/>
      <c r="Z4937" s="43"/>
      <c r="AA4937" s="23"/>
      <c r="AB4937" s="23"/>
      <c r="AC4937" s="23"/>
      <c r="AD4937" s="23"/>
      <c r="AE4937" s="23"/>
      <c r="AF4937" s="23"/>
      <c r="AG4937" s="23"/>
      <c r="AH4937" s="23"/>
    </row>
    <row r="4938" spans="1:35">
      <c r="A4938" s="50"/>
      <c r="B4938" s="42"/>
      <c r="G4938" s="43"/>
      <c r="H4938" s="44"/>
      <c r="L4938" s="42"/>
      <c r="M4938" s="42"/>
      <c r="N4938" s="25"/>
      <c r="O4938" s="54"/>
      <c r="P4938"/>
      <c r="Q4938" s="25"/>
      <c r="R4938" s="54"/>
      <c r="W4938" s="23"/>
      <c r="X4938" s="23"/>
      <c r="Y4938" s="23"/>
      <c r="Z4938" s="43"/>
      <c r="AA4938" s="23"/>
      <c r="AB4938" s="23"/>
      <c r="AC4938" s="23"/>
      <c r="AD4938" s="23"/>
      <c r="AE4938" s="23"/>
      <c r="AF4938" s="23"/>
      <c r="AG4938" s="23"/>
      <c r="AH4938" s="23"/>
    </row>
    <row r="4939" spans="1:35">
      <c r="A4939" s="50"/>
      <c r="B4939" s="42"/>
      <c r="C4939" s="49"/>
      <c r="E4939" s="49"/>
      <c r="G4939" s="43"/>
      <c r="H4939" s="44"/>
      <c r="L4939" s="42"/>
      <c r="M4939" s="42"/>
      <c r="N4939" s="25"/>
      <c r="O4939" s="54"/>
      <c r="P4939"/>
      <c r="Q4939" s="25"/>
      <c r="R4939" s="54"/>
      <c r="W4939" s="23"/>
      <c r="X4939" s="23"/>
      <c r="Y4939" s="23"/>
      <c r="Z4939" s="43"/>
      <c r="AA4939" s="23"/>
      <c r="AB4939" s="23"/>
      <c r="AC4939" s="23"/>
      <c r="AD4939" s="23"/>
      <c r="AE4939" s="23"/>
      <c r="AF4939" s="23"/>
      <c r="AG4939" s="23"/>
      <c r="AH4939" s="23"/>
      <c r="AI4939" s="49"/>
    </row>
    <row r="4940" spans="1:35">
      <c r="A4940" s="50"/>
      <c r="B4940" s="42"/>
      <c r="C4940" s="49"/>
      <c r="E4940" s="49"/>
      <c r="G4940" s="43"/>
      <c r="H4940" s="44"/>
      <c r="L4940" s="42"/>
      <c r="M4940" s="42"/>
      <c r="N4940" s="25"/>
      <c r="O4940" s="54"/>
      <c r="P4940"/>
      <c r="Q4940" s="25"/>
      <c r="R4940" s="54"/>
      <c r="W4940" s="23"/>
      <c r="X4940" s="23"/>
      <c r="Y4940" s="23"/>
      <c r="Z4940" s="43"/>
      <c r="AA4940" s="23"/>
      <c r="AB4940" s="23"/>
      <c r="AC4940" s="23"/>
      <c r="AD4940" s="23"/>
      <c r="AE4940" s="23"/>
      <c r="AF4940" s="23"/>
      <c r="AG4940" s="23"/>
      <c r="AH4940" s="23"/>
      <c r="AI4940" s="49"/>
    </row>
    <row r="4941" spans="1:35">
      <c r="A4941" s="50"/>
      <c r="B4941" s="42"/>
      <c r="C4941" s="49"/>
      <c r="E4941" s="49"/>
      <c r="G4941" s="43"/>
      <c r="H4941" s="44"/>
      <c r="L4941" s="42"/>
      <c r="M4941" s="42"/>
      <c r="N4941" s="25"/>
      <c r="O4941" s="54"/>
      <c r="P4941"/>
      <c r="Q4941" s="25"/>
      <c r="R4941" s="54"/>
      <c r="W4941" s="23"/>
      <c r="X4941" s="23"/>
      <c r="Y4941" s="23"/>
      <c r="Z4941" s="43"/>
      <c r="AA4941" s="23"/>
      <c r="AB4941" s="23"/>
      <c r="AC4941" s="23"/>
      <c r="AD4941" s="23"/>
      <c r="AE4941" s="23"/>
      <c r="AF4941" s="23"/>
      <c r="AG4941" s="23"/>
      <c r="AH4941" s="23"/>
      <c r="AI4941" s="49"/>
    </row>
    <row r="4942" spans="1:35">
      <c r="A4942" s="50"/>
      <c r="B4942" s="42"/>
      <c r="G4942" s="43"/>
      <c r="H4942" s="44"/>
      <c r="L4942" s="42"/>
      <c r="M4942" s="42"/>
      <c r="N4942" s="25"/>
      <c r="O4942" s="54"/>
      <c r="P4942"/>
      <c r="Q4942" s="25"/>
      <c r="R4942" s="54"/>
      <c r="W4942" s="23"/>
      <c r="X4942" s="23"/>
      <c r="Y4942" s="23"/>
      <c r="Z4942" s="43"/>
      <c r="AA4942" s="23"/>
      <c r="AB4942" s="23"/>
      <c r="AC4942" s="23"/>
      <c r="AD4942" s="23"/>
      <c r="AE4942" s="23"/>
      <c r="AF4942" s="23"/>
      <c r="AG4942" s="23"/>
      <c r="AH4942" s="23"/>
    </row>
    <row r="4943" spans="1:35">
      <c r="A4943" s="49"/>
      <c r="B4943" s="42"/>
      <c r="G4943" s="43"/>
      <c r="H4943" s="44"/>
      <c r="L4943" s="42"/>
      <c r="M4943" s="42"/>
      <c r="N4943" s="25"/>
      <c r="O4943" s="54"/>
      <c r="P4943"/>
      <c r="Q4943" s="25"/>
      <c r="R4943" s="54"/>
      <c r="W4943" s="23"/>
      <c r="X4943" s="23"/>
      <c r="Y4943" s="23"/>
      <c r="Z4943" s="43"/>
      <c r="AA4943" s="23"/>
      <c r="AB4943" s="23"/>
      <c r="AC4943" s="23"/>
      <c r="AD4943" s="23"/>
      <c r="AE4943" s="23"/>
      <c r="AF4943" s="23"/>
      <c r="AG4943" s="23"/>
      <c r="AH4943" s="23"/>
    </row>
    <row r="4944" spans="1:35">
      <c r="A4944" s="49"/>
      <c r="B4944" s="42"/>
      <c r="G4944" s="43"/>
      <c r="H4944" s="44"/>
      <c r="L4944" s="42"/>
      <c r="M4944" s="42"/>
      <c r="N4944" s="25"/>
      <c r="O4944" s="54"/>
      <c r="P4944"/>
      <c r="Q4944" s="25"/>
      <c r="R4944" s="54"/>
      <c r="W4944" s="23"/>
      <c r="X4944" s="23"/>
      <c r="Y4944" s="23"/>
      <c r="Z4944" s="43"/>
      <c r="AA4944" s="23"/>
      <c r="AB4944" s="23"/>
      <c r="AC4944" s="23"/>
      <c r="AD4944" s="23"/>
      <c r="AE4944" s="23"/>
      <c r="AF4944" s="23"/>
      <c r="AG4944" s="23"/>
      <c r="AH4944" s="23"/>
    </row>
    <row r="4945" spans="1:35">
      <c r="A4945" s="50"/>
      <c r="B4945" s="42"/>
      <c r="G4945" s="43"/>
      <c r="H4945" s="44"/>
      <c r="L4945" s="42"/>
      <c r="M4945" s="42"/>
      <c r="N4945" s="25"/>
      <c r="O4945" s="54"/>
      <c r="P4945"/>
      <c r="Q4945" s="25"/>
      <c r="R4945" s="54"/>
      <c r="W4945" s="23"/>
      <c r="X4945" s="23"/>
      <c r="Y4945" s="23"/>
      <c r="Z4945" s="43"/>
      <c r="AA4945" s="23"/>
      <c r="AB4945" s="23"/>
      <c r="AC4945" s="23"/>
      <c r="AD4945" s="23"/>
      <c r="AE4945" s="23"/>
      <c r="AF4945" s="23"/>
      <c r="AG4945" s="23"/>
      <c r="AH4945" s="23"/>
    </row>
    <row r="4946" spans="1:35">
      <c r="A4946" s="50"/>
      <c r="B4946" s="42"/>
      <c r="C4946" s="49"/>
      <c r="E4946" s="49"/>
      <c r="G4946" s="43"/>
      <c r="H4946" s="44"/>
      <c r="L4946" s="42"/>
      <c r="M4946" s="42"/>
      <c r="N4946" s="25"/>
      <c r="O4946" s="54"/>
      <c r="P4946"/>
      <c r="Q4946" s="25"/>
      <c r="R4946" s="54"/>
      <c r="W4946" s="23"/>
      <c r="X4946" s="23"/>
      <c r="Y4946" s="23"/>
      <c r="Z4946" s="43"/>
      <c r="AA4946" s="23"/>
      <c r="AB4946" s="23"/>
      <c r="AC4946" s="23"/>
      <c r="AD4946" s="23"/>
      <c r="AE4946" s="23"/>
      <c r="AF4946" s="23"/>
      <c r="AG4946" s="23"/>
      <c r="AH4946" s="23"/>
      <c r="AI4946" s="49"/>
    </row>
    <row r="4947" spans="1:35">
      <c r="A4947" s="50"/>
      <c r="B4947" s="42"/>
      <c r="C4947" s="49"/>
      <c r="E4947" s="49"/>
      <c r="G4947" s="43"/>
      <c r="H4947" s="44"/>
      <c r="L4947" s="42"/>
      <c r="M4947" s="42"/>
      <c r="N4947" s="25"/>
      <c r="O4947" s="54"/>
      <c r="P4947"/>
      <c r="Q4947" s="25"/>
      <c r="R4947" s="54"/>
      <c r="W4947" s="23"/>
      <c r="X4947" s="23"/>
      <c r="Y4947" s="23"/>
      <c r="Z4947" s="43"/>
      <c r="AA4947" s="23"/>
      <c r="AB4947" s="23"/>
      <c r="AC4947" s="23"/>
      <c r="AD4947" s="23"/>
      <c r="AE4947" s="23"/>
      <c r="AF4947" s="23"/>
      <c r="AG4947" s="23"/>
      <c r="AH4947" s="23"/>
      <c r="AI4947" s="49"/>
    </row>
    <row r="4948" spans="1:35">
      <c r="A4948" s="50"/>
      <c r="B4948" s="42"/>
      <c r="C4948" s="49"/>
      <c r="E4948" s="49"/>
      <c r="G4948" s="43"/>
      <c r="H4948" s="44"/>
      <c r="L4948" s="42"/>
      <c r="M4948" s="42"/>
      <c r="N4948" s="25"/>
      <c r="O4948" s="54"/>
      <c r="P4948"/>
      <c r="Q4948" s="25"/>
      <c r="R4948" s="54"/>
      <c r="W4948" s="23"/>
      <c r="X4948" s="23"/>
      <c r="Y4948" s="23"/>
      <c r="Z4948" s="43"/>
      <c r="AA4948" s="23"/>
      <c r="AB4948" s="23"/>
      <c r="AC4948" s="23"/>
      <c r="AD4948" s="23"/>
      <c r="AE4948" s="23"/>
      <c r="AF4948" s="23"/>
      <c r="AG4948" s="23"/>
      <c r="AH4948" s="23"/>
      <c r="AI4948" s="49"/>
    </row>
    <row r="4949" spans="1:35">
      <c r="A4949" s="50"/>
      <c r="B4949" s="42"/>
      <c r="G4949" s="43"/>
      <c r="H4949" s="44"/>
      <c r="L4949" s="42"/>
      <c r="M4949" s="42"/>
      <c r="N4949" s="25"/>
      <c r="O4949" s="54"/>
      <c r="P4949"/>
      <c r="Q4949" s="25"/>
      <c r="R4949" s="54"/>
      <c r="W4949" s="23"/>
      <c r="X4949" s="23"/>
      <c r="Y4949" s="23"/>
      <c r="Z4949" s="43"/>
      <c r="AA4949" s="23"/>
      <c r="AB4949" s="23"/>
      <c r="AC4949" s="23"/>
      <c r="AD4949" s="23"/>
      <c r="AE4949" s="23"/>
      <c r="AF4949" s="23"/>
      <c r="AG4949" s="23"/>
      <c r="AH4949" s="23"/>
    </row>
    <row r="4950" spans="1:35">
      <c r="A4950" s="50"/>
      <c r="B4950" s="42"/>
      <c r="G4950" s="43"/>
      <c r="H4950" s="44"/>
      <c r="L4950" s="42"/>
      <c r="M4950" s="42"/>
      <c r="N4950" s="25"/>
      <c r="O4950" s="54"/>
      <c r="P4950"/>
      <c r="Q4950" s="25"/>
      <c r="R4950" s="54"/>
      <c r="W4950" s="23"/>
      <c r="X4950" s="23"/>
      <c r="Y4950" s="23"/>
      <c r="Z4950" s="43"/>
      <c r="AA4950" s="23"/>
      <c r="AB4950" s="23"/>
      <c r="AC4950" s="23"/>
      <c r="AD4950" s="23"/>
      <c r="AE4950" s="23"/>
      <c r="AF4950" s="23"/>
      <c r="AG4950" s="23"/>
      <c r="AH4950" s="23"/>
    </row>
    <row r="4951" spans="1:35">
      <c r="A4951" s="50"/>
      <c r="B4951" s="42"/>
      <c r="G4951" s="43"/>
      <c r="H4951" s="44"/>
      <c r="L4951" s="42"/>
      <c r="M4951" s="42"/>
      <c r="N4951" s="25"/>
      <c r="O4951" s="54"/>
      <c r="P4951"/>
      <c r="Q4951" s="25"/>
      <c r="R4951" s="54"/>
      <c r="W4951" s="23"/>
      <c r="X4951" s="23"/>
      <c r="Y4951" s="23"/>
      <c r="Z4951" s="43"/>
      <c r="AA4951" s="23"/>
      <c r="AB4951" s="23"/>
      <c r="AC4951" s="23"/>
      <c r="AD4951" s="23"/>
      <c r="AE4951" s="23"/>
      <c r="AF4951" s="23"/>
      <c r="AG4951" s="23"/>
      <c r="AH4951" s="23"/>
    </row>
    <row r="4952" spans="1:35">
      <c r="A4952" s="50"/>
      <c r="B4952" s="42"/>
      <c r="G4952" s="43"/>
      <c r="H4952" s="44"/>
      <c r="L4952" s="42"/>
      <c r="M4952" s="42"/>
      <c r="N4952" s="25"/>
      <c r="O4952" s="54"/>
      <c r="P4952"/>
      <c r="Q4952" s="25"/>
      <c r="R4952" s="54"/>
      <c r="W4952" s="23"/>
      <c r="X4952" s="23"/>
      <c r="Y4952" s="23"/>
      <c r="Z4952" s="43"/>
      <c r="AA4952" s="23"/>
      <c r="AB4952" s="23"/>
      <c r="AC4952" s="23"/>
      <c r="AD4952" s="23"/>
      <c r="AE4952" s="23"/>
      <c r="AF4952" s="23"/>
      <c r="AG4952" s="23"/>
      <c r="AH4952" s="23"/>
    </row>
    <row r="4953" spans="1:35">
      <c r="A4953" s="50"/>
      <c r="B4953" s="42"/>
      <c r="C4953" s="49"/>
      <c r="E4953" s="49"/>
      <c r="G4953" s="43"/>
      <c r="H4953" s="44"/>
      <c r="L4953" s="42"/>
      <c r="M4953" s="42"/>
      <c r="N4953" s="25"/>
      <c r="O4953" s="54"/>
      <c r="P4953"/>
      <c r="Q4953" s="25"/>
      <c r="R4953" s="54"/>
      <c r="W4953" s="23"/>
      <c r="X4953" s="23"/>
      <c r="Y4953" s="23"/>
      <c r="Z4953" s="43"/>
      <c r="AA4953" s="23"/>
      <c r="AB4953" s="23"/>
      <c r="AC4953" s="23"/>
      <c r="AD4953" s="23"/>
      <c r="AE4953" s="23"/>
      <c r="AF4953" s="23"/>
      <c r="AG4953" s="23"/>
      <c r="AH4953" s="23"/>
      <c r="AI4953" s="49"/>
    </row>
    <row r="4954" spans="1:35">
      <c r="A4954" s="50"/>
      <c r="B4954" s="42"/>
      <c r="C4954" s="49"/>
      <c r="E4954" s="49"/>
      <c r="G4954" s="43"/>
      <c r="H4954" s="44"/>
      <c r="L4954" s="42"/>
      <c r="M4954" s="42"/>
      <c r="N4954" s="25"/>
      <c r="O4954" s="54"/>
      <c r="P4954"/>
      <c r="Q4954" s="25"/>
      <c r="R4954" s="54"/>
      <c r="W4954" s="23"/>
      <c r="X4954" s="23"/>
      <c r="Y4954" s="23"/>
      <c r="Z4954" s="43"/>
      <c r="AA4954" s="23"/>
      <c r="AB4954" s="23"/>
      <c r="AC4954" s="23"/>
      <c r="AD4954" s="23"/>
      <c r="AE4954" s="23"/>
      <c r="AF4954" s="23"/>
      <c r="AG4954" s="23"/>
      <c r="AH4954" s="23"/>
      <c r="AI4954" s="49"/>
    </row>
    <row r="4955" spans="1:35">
      <c r="A4955" s="50"/>
      <c r="B4955" s="42"/>
      <c r="C4955" s="49"/>
      <c r="E4955" s="49"/>
      <c r="G4955" s="43"/>
      <c r="H4955" s="44"/>
      <c r="L4955" s="42"/>
      <c r="M4955" s="42"/>
      <c r="N4955" s="25"/>
      <c r="O4955" s="54"/>
      <c r="P4955"/>
      <c r="Q4955" s="25"/>
      <c r="R4955" s="54"/>
      <c r="W4955" s="23"/>
      <c r="X4955" s="23"/>
      <c r="Y4955" s="23"/>
      <c r="Z4955" s="43"/>
      <c r="AA4955" s="23"/>
      <c r="AB4955" s="23"/>
      <c r="AC4955" s="23"/>
      <c r="AD4955" s="23"/>
      <c r="AE4955" s="23"/>
      <c r="AF4955" s="23"/>
      <c r="AG4955" s="23"/>
      <c r="AH4955" s="23"/>
      <c r="AI4955" s="49"/>
    </row>
    <row r="4956" spans="1:35">
      <c r="A4956" s="50"/>
      <c r="B4956" s="42"/>
      <c r="G4956" s="43"/>
      <c r="H4956" s="44"/>
      <c r="L4956" s="42"/>
      <c r="M4956" s="42"/>
      <c r="N4956" s="25"/>
      <c r="O4956" s="54"/>
      <c r="P4956"/>
      <c r="Q4956" s="25"/>
      <c r="R4956" s="54"/>
      <c r="W4956" s="23"/>
      <c r="X4956" s="23"/>
      <c r="Y4956" s="23"/>
      <c r="Z4956" s="43"/>
      <c r="AA4956" s="23"/>
      <c r="AB4956" s="23"/>
      <c r="AC4956" s="23"/>
      <c r="AD4956" s="23"/>
      <c r="AE4956" s="23"/>
      <c r="AF4956" s="23"/>
      <c r="AG4956" s="23"/>
      <c r="AH4956" s="23"/>
    </row>
    <row r="4957" spans="1:35">
      <c r="A4957" s="50"/>
      <c r="B4957" s="42"/>
      <c r="G4957" s="43"/>
      <c r="H4957" s="44"/>
      <c r="L4957" s="42"/>
      <c r="M4957" s="42"/>
      <c r="N4957" s="25"/>
      <c r="O4957" s="54"/>
      <c r="P4957"/>
      <c r="Q4957" s="25"/>
      <c r="R4957" s="54"/>
      <c r="W4957" s="23"/>
      <c r="X4957" s="23"/>
      <c r="Y4957" s="23"/>
      <c r="Z4957" s="43"/>
      <c r="AA4957" s="23"/>
      <c r="AB4957" s="23"/>
      <c r="AC4957" s="23"/>
      <c r="AD4957" s="23"/>
      <c r="AE4957" s="23"/>
      <c r="AF4957" s="23"/>
      <c r="AG4957" s="23"/>
      <c r="AH4957" s="23"/>
    </row>
    <row r="4958" spans="1:35">
      <c r="A4958" s="50"/>
      <c r="B4958" s="42"/>
      <c r="G4958" s="43"/>
      <c r="H4958" s="44"/>
      <c r="L4958" s="42"/>
      <c r="M4958" s="42"/>
      <c r="N4958" s="25"/>
      <c r="O4958" s="54"/>
      <c r="P4958"/>
      <c r="Q4958" s="25"/>
      <c r="R4958" s="54"/>
      <c r="W4958" s="23"/>
      <c r="X4958" s="23"/>
      <c r="Y4958" s="23"/>
      <c r="Z4958" s="43"/>
      <c r="AA4958" s="23"/>
      <c r="AB4958" s="23"/>
      <c r="AC4958" s="23"/>
      <c r="AD4958" s="23"/>
      <c r="AE4958" s="23"/>
      <c r="AF4958" s="23"/>
      <c r="AG4958" s="23"/>
      <c r="AH4958" s="23"/>
    </row>
    <row r="4959" spans="1:35">
      <c r="A4959" s="50"/>
      <c r="B4959" s="42"/>
      <c r="C4959" s="49"/>
      <c r="E4959" s="49"/>
      <c r="G4959" s="43"/>
      <c r="H4959" s="44"/>
      <c r="L4959" s="42"/>
      <c r="M4959" s="42"/>
      <c r="N4959" s="25"/>
      <c r="O4959" s="54"/>
      <c r="P4959"/>
      <c r="Q4959" s="25"/>
      <c r="R4959" s="54"/>
      <c r="W4959" s="23"/>
      <c r="X4959" s="23"/>
      <c r="Y4959" s="23"/>
      <c r="Z4959" s="43"/>
      <c r="AA4959" s="23"/>
      <c r="AB4959" s="23"/>
      <c r="AC4959" s="23"/>
      <c r="AD4959" s="23"/>
      <c r="AE4959" s="23"/>
      <c r="AF4959" s="23"/>
      <c r="AG4959" s="23"/>
      <c r="AH4959" s="23"/>
      <c r="AI4959" s="49"/>
    </row>
    <row r="4960" spans="1:35">
      <c r="A4960" s="50"/>
      <c r="B4960" s="42"/>
      <c r="C4960" s="49"/>
      <c r="E4960" s="49"/>
      <c r="G4960" s="43"/>
      <c r="H4960" s="44"/>
      <c r="L4960" s="42"/>
      <c r="M4960" s="42"/>
      <c r="N4960" s="25"/>
      <c r="O4960" s="54"/>
      <c r="P4960"/>
      <c r="Q4960" s="25"/>
      <c r="R4960" s="54"/>
      <c r="W4960" s="23"/>
      <c r="X4960" s="23"/>
      <c r="Y4960" s="23"/>
      <c r="Z4960" s="43"/>
      <c r="AA4960" s="23"/>
      <c r="AB4960" s="23"/>
      <c r="AC4960" s="23"/>
      <c r="AD4960" s="23"/>
      <c r="AE4960" s="23"/>
      <c r="AF4960" s="23"/>
      <c r="AG4960" s="23"/>
      <c r="AH4960" s="23"/>
      <c r="AI4960" s="49"/>
    </row>
    <row r="4961" spans="1:35">
      <c r="A4961" s="50"/>
      <c r="B4961" s="42"/>
      <c r="C4961" s="49"/>
      <c r="E4961" s="49"/>
      <c r="G4961" s="43"/>
      <c r="H4961" s="44"/>
      <c r="L4961" s="42"/>
      <c r="M4961" s="42"/>
      <c r="N4961" s="25"/>
      <c r="O4961" s="54"/>
      <c r="P4961"/>
      <c r="Q4961" s="25"/>
      <c r="R4961" s="54"/>
      <c r="W4961" s="23"/>
      <c r="X4961" s="23"/>
      <c r="Y4961" s="23"/>
      <c r="Z4961" s="43"/>
      <c r="AA4961" s="23"/>
      <c r="AB4961" s="23"/>
      <c r="AC4961" s="23"/>
      <c r="AD4961" s="23"/>
      <c r="AE4961" s="23"/>
      <c r="AF4961" s="23"/>
      <c r="AG4961" s="23"/>
      <c r="AH4961" s="23"/>
      <c r="AI4961" s="49"/>
    </row>
    <row r="4962" spans="1:35">
      <c r="A4962" s="50"/>
      <c r="B4962" s="42"/>
      <c r="C4962" s="49"/>
      <c r="E4962" s="49"/>
      <c r="G4962" s="43"/>
      <c r="H4962" s="44"/>
      <c r="L4962" s="42"/>
      <c r="M4962" s="42"/>
      <c r="N4962" s="25"/>
      <c r="O4962" s="54"/>
      <c r="P4962"/>
      <c r="Q4962" s="25"/>
      <c r="R4962" s="54"/>
      <c r="W4962" s="23"/>
      <c r="X4962" s="23"/>
      <c r="Y4962" s="23"/>
      <c r="Z4962" s="43"/>
      <c r="AA4962" s="23"/>
      <c r="AB4962" s="23"/>
      <c r="AC4962" s="23"/>
      <c r="AD4962" s="23"/>
      <c r="AE4962" s="23"/>
      <c r="AF4962" s="23"/>
      <c r="AG4962" s="23"/>
      <c r="AH4962" s="23"/>
      <c r="AI4962" s="49"/>
    </row>
    <row r="4963" spans="1:35">
      <c r="A4963" s="50"/>
      <c r="B4963" s="42"/>
      <c r="C4963" s="49"/>
      <c r="E4963" s="49"/>
      <c r="G4963" s="43"/>
      <c r="H4963" s="44"/>
      <c r="L4963" s="42"/>
      <c r="M4963" s="42"/>
      <c r="N4963" s="25"/>
      <c r="O4963" s="54"/>
      <c r="P4963"/>
      <c r="Q4963" s="25"/>
      <c r="R4963" s="54"/>
      <c r="W4963" s="23"/>
      <c r="X4963" s="23"/>
      <c r="Y4963" s="23"/>
      <c r="Z4963" s="43"/>
      <c r="AA4963" s="23"/>
      <c r="AB4963" s="23"/>
      <c r="AC4963" s="23"/>
      <c r="AD4963" s="23"/>
      <c r="AE4963" s="23"/>
      <c r="AF4963" s="23"/>
      <c r="AG4963" s="23"/>
      <c r="AH4963" s="23"/>
      <c r="AI4963" s="49"/>
    </row>
    <row r="4964" spans="1:35">
      <c r="A4964" s="50"/>
      <c r="B4964" s="42"/>
      <c r="C4964" s="49"/>
      <c r="E4964" s="49"/>
      <c r="G4964" s="43"/>
      <c r="H4964" s="44"/>
      <c r="L4964" s="42"/>
      <c r="M4964" s="42"/>
      <c r="N4964" s="25"/>
      <c r="O4964" s="54"/>
      <c r="P4964"/>
      <c r="Q4964" s="25"/>
      <c r="R4964" s="54"/>
      <c r="W4964" s="23"/>
      <c r="X4964" s="23"/>
      <c r="Y4964" s="23"/>
      <c r="Z4964" s="43"/>
      <c r="AA4964" s="23"/>
      <c r="AB4964" s="23"/>
      <c r="AC4964" s="23"/>
      <c r="AD4964" s="23"/>
      <c r="AE4964" s="23"/>
      <c r="AF4964" s="23"/>
      <c r="AG4964" s="23"/>
      <c r="AH4964" s="23"/>
      <c r="AI4964" s="49"/>
    </row>
    <row r="4965" spans="1:35">
      <c r="A4965" s="50"/>
      <c r="B4965" s="42"/>
      <c r="G4965" s="43"/>
      <c r="H4965" s="44"/>
      <c r="L4965" s="42"/>
      <c r="M4965" s="42"/>
      <c r="N4965" s="25"/>
      <c r="O4965" s="54"/>
      <c r="P4965"/>
      <c r="Q4965" s="25"/>
      <c r="R4965" s="54"/>
      <c r="W4965" s="23"/>
      <c r="X4965" s="23"/>
      <c r="Y4965" s="23"/>
      <c r="Z4965" s="43"/>
      <c r="AA4965" s="23"/>
      <c r="AB4965" s="23"/>
      <c r="AC4965" s="23"/>
      <c r="AD4965" s="23"/>
      <c r="AE4965" s="23"/>
      <c r="AF4965" s="23"/>
      <c r="AG4965" s="23"/>
      <c r="AH4965" s="23"/>
    </row>
    <row r="4966" spans="1:35">
      <c r="A4966" s="50"/>
      <c r="B4966" s="42"/>
      <c r="C4966" s="49"/>
      <c r="E4966" s="49"/>
      <c r="G4966" s="43"/>
      <c r="H4966" s="44"/>
      <c r="L4966" s="42"/>
      <c r="M4966" s="42"/>
      <c r="N4966" s="25"/>
      <c r="O4966" s="54"/>
      <c r="P4966"/>
      <c r="Q4966" s="25"/>
      <c r="R4966" s="54"/>
      <c r="W4966" s="23"/>
      <c r="X4966" s="23"/>
      <c r="Y4966" s="23"/>
      <c r="Z4966" s="43"/>
      <c r="AA4966" s="23"/>
      <c r="AB4966" s="23"/>
      <c r="AC4966" s="23"/>
      <c r="AD4966" s="23"/>
      <c r="AE4966" s="23"/>
      <c r="AF4966" s="23"/>
      <c r="AG4966" s="23"/>
      <c r="AH4966" s="23"/>
      <c r="AI4966" s="49"/>
    </row>
    <row r="4967" spans="1:35">
      <c r="A4967" s="50"/>
      <c r="B4967" s="42"/>
      <c r="C4967" s="49"/>
      <c r="E4967" s="49"/>
      <c r="G4967" s="43"/>
      <c r="H4967" s="44"/>
      <c r="L4967" s="42"/>
      <c r="M4967" s="42"/>
      <c r="N4967" s="25"/>
      <c r="O4967" s="54"/>
      <c r="P4967"/>
      <c r="Q4967" s="25"/>
      <c r="R4967" s="54"/>
      <c r="W4967" s="23"/>
      <c r="X4967" s="23"/>
      <c r="Y4967" s="23"/>
      <c r="Z4967" s="43"/>
      <c r="AA4967" s="23"/>
      <c r="AB4967" s="23"/>
      <c r="AC4967" s="23"/>
      <c r="AD4967" s="23"/>
      <c r="AE4967" s="23"/>
      <c r="AF4967" s="23"/>
      <c r="AG4967" s="23"/>
      <c r="AH4967" s="23"/>
      <c r="AI4967" s="49"/>
    </row>
    <row r="4968" spans="1:35">
      <c r="A4968" s="50"/>
      <c r="B4968" s="42"/>
      <c r="C4968" s="49"/>
      <c r="E4968" s="49"/>
      <c r="G4968" s="43"/>
      <c r="H4968" s="44"/>
      <c r="L4968" s="42"/>
      <c r="M4968" s="42"/>
      <c r="N4968" s="25"/>
      <c r="O4968" s="54"/>
      <c r="P4968"/>
      <c r="Q4968" s="25"/>
      <c r="R4968" s="54"/>
      <c r="W4968" s="23"/>
      <c r="X4968" s="23"/>
      <c r="Y4968" s="23"/>
      <c r="Z4968" s="43"/>
      <c r="AA4968" s="23"/>
      <c r="AB4968" s="23"/>
      <c r="AC4968" s="23"/>
      <c r="AD4968" s="23"/>
      <c r="AE4968" s="23"/>
      <c r="AF4968" s="23"/>
      <c r="AG4968" s="23"/>
      <c r="AH4968" s="23"/>
      <c r="AI4968" s="49"/>
    </row>
    <row r="4969" spans="1:35">
      <c r="A4969" s="50"/>
      <c r="B4969" s="42"/>
      <c r="G4969" s="43"/>
      <c r="H4969" s="44"/>
      <c r="L4969" s="42"/>
      <c r="M4969" s="42"/>
      <c r="N4969" s="25"/>
      <c r="O4969" s="54"/>
      <c r="P4969"/>
      <c r="Q4969" s="25"/>
      <c r="R4969" s="54"/>
      <c r="W4969" s="23"/>
      <c r="X4969" s="23"/>
      <c r="Y4969" s="23"/>
      <c r="Z4969" s="43"/>
      <c r="AA4969" s="23"/>
      <c r="AB4969" s="23"/>
      <c r="AC4969" s="23"/>
      <c r="AD4969" s="23"/>
      <c r="AE4969" s="23"/>
      <c r="AF4969" s="23"/>
      <c r="AG4969" s="23"/>
      <c r="AH4969" s="23"/>
    </row>
    <row r="4970" spans="1:35">
      <c r="A4970" s="50"/>
      <c r="B4970" s="42"/>
      <c r="C4970" s="49"/>
      <c r="E4970" s="49"/>
      <c r="G4970" s="43"/>
      <c r="H4970" s="44"/>
      <c r="L4970" s="42"/>
      <c r="M4970" s="42"/>
      <c r="N4970" s="25"/>
      <c r="O4970" s="54"/>
      <c r="P4970"/>
      <c r="Q4970" s="25"/>
      <c r="R4970" s="54"/>
      <c r="W4970" s="23"/>
      <c r="X4970" s="23"/>
      <c r="Y4970" s="23"/>
      <c r="Z4970" s="43"/>
      <c r="AA4970" s="23"/>
      <c r="AB4970" s="23"/>
      <c r="AC4970" s="23"/>
      <c r="AD4970" s="23"/>
      <c r="AE4970" s="23"/>
      <c r="AF4970" s="23"/>
      <c r="AG4970" s="23"/>
      <c r="AH4970" s="23"/>
      <c r="AI4970" s="49"/>
    </row>
    <row r="4971" spans="1:35">
      <c r="A4971" s="50"/>
      <c r="B4971" s="42"/>
      <c r="C4971" s="49"/>
      <c r="E4971" s="49"/>
      <c r="G4971" s="43"/>
      <c r="H4971" s="44"/>
      <c r="L4971" s="42"/>
      <c r="M4971" s="42"/>
      <c r="N4971" s="25"/>
      <c r="O4971" s="54"/>
      <c r="P4971"/>
      <c r="Q4971" s="25"/>
      <c r="R4971" s="54"/>
      <c r="W4971" s="23"/>
      <c r="X4971" s="23"/>
      <c r="Y4971" s="23"/>
      <c r="Z4971" s="43"/>
      <c r="AA4971" s="23"/>
      <c r="AB4971" s="23"/>
      <c r="AC4971" s="23"/>
      <c r="AD4971" s="23"/>
      <c r="AE4971" s="23"/>
      <c r="AF4971" s="23"/>
      <c r="AG4971" s="23"/>
      <c r="AH4971" s="23"/>
      <c r="AI4971" s="49"/>
    </row>
    <row r="4972" spans="1:35">
      <c r="A4972" s="50"/>
      <c r="B4972" s="42"/>
      <c r="C4972" s="49"/>
      <c r="E4972" s="49"/>
      <c r="G4972" s="43"/>
      <c r="H4972" s="44"/>
      <c r="L4972" s="42"/>
      <c r="M4972" s="42"/>
      <c r="N4972" s="25"/>
      <c r="O4972" s="54"/>
      <c r="P4972"/>
      <c r="Q4972" s="25"/>
      <c r="R4972" s="54"/>
      <c r="W4972" s="23"/>
      <c r="X4972" s="23"/>
      <c r="Y4972" s="23"/>
      <c r="Z4972" s="43"/>
      <c r="AA4972" s="23"/>
      <c r="AB4972" s="23"/>
      <c r="AC4972" s="23"/>
      <c r="AD4972" s="23"/>
      <c r="AE4972" s="23"/>
      <c r="AF4972" s="23"/>
      <c r="AG4972" s="23"/>
      <c r="AH4972" s="23"/>
      <c r="AI4972" s="49"/>
    </row>
    <row r="4973" spans="1:35">
      <c r="A4973" s="50"/>
      <c r="B4973" s="42"/>
      <c r="G4973" s="43"/>
      <c r="H4973" s="44"/>
      <c r="L4973" s="42"/>
      <c r="M4973" s="42"/>
      <c r="N4973" s="25"/>
      <c r="O4973" s="54"/>
      <c r="P4973"/>
      <c r="Q4973" s="25"/>
      <c r="R4973" s="54"/>
      <c r="W4973" s="23"/>
      <c r="X4973" s="23"/>
      <c r="Y4973" s="23"/>
      <c r="Z4973" s="43"/>
      <c r="AA4973" s="23"/>
      <c r="AB4973" s="23"/>
      <c r="AC4973" s="23"/>
      <c r="AD4973" s="23"/>
      <c r="AE4973" s="23"/>
      <c r="AF4973" s="23"/>
      <c r="AG4973" s="23"/>
      <c r="AH4973" s="23"/>
    </row>
    <row r="4974" spans="1:35">
      <c r="A4974" s="50"/>
      <c r="B4974" s="42"/>
      <c r="G4974" s="43"/>
      <c r="H4974" s="44"/>
      <c r="L4974" s="42"/>
      <c r="M4974" s="42"/>
      <c r="N4974" s="25"/>
      <c r="O4974" s="54"/>
      <c r="P4974"/>
      <c r="Q4974" s="25"/>
      <c r="R4974" s="54"/>
      <c r="W4974" s="23"/>
      <c r="X4974" s="23"/>
      <c r="Y4974" s="23"/>
      <c r="Z4974" s="43"/>
      <c r="AA4974" s="23"/>
      <c r="AB4974" s="23"/>
      <c r="AC4974" s="23"/>
      <c r="AD4974" s="23"/>
      <c r="AE4974" s="23"/>
      <c r="AF4974" s="23"/>
      <c r="AG4974" s="23"/>
      <c r="AH4974" s="23"/>
    </row>
    <row r="4975" spans="1:35">
      <c r="A4975" s="50"/>
      <c r="B4975" s="42"/>
      <c r="C4975" s="49"/>
      <c r="E4975" s="49"/>
      <c r="G4975" s="43"/>
      <c r="H4975" s="44"/>
      <c r="L4975" s="42"/>
      <c r="M4975" s="42"/>
      <c r="N4975" s="25"/>
      <c r="O4975" s="54"/>
      <c r="P4975"/>
      <c r="Q4975" s="25"/>
      <c r="R4975" s="54"/>
      <c r="W4975" s="23"/>
      <c r="X4975" s="23"/>
      <c r="Y4975" s="23"/>
      <c r="Z4975" s="43"/>
      <c r="AA4975" s="23"/>
      <c r="AB4975" s="23"/>
      <c r="AC4975" s="23"/>
      <c r="AD4975" s="23"/>
      <c r="AE4975" s="23"/>
      <c r="AF4975" s="23"/>
      <c r="AG4975" s="23"/>
      <c r="AH4975" s="23"/>
      <c r="AI4975" s="49"/>
    </row>
    <row r="4976" spans="1:35">
      <c r="A4976" s="50"/>
      <c r="B4976" s="42"/>
      <c r="C4976" s="49"/>
      <c r="E4976" s="49"/>
      <c r="G4976" s="43"/>
      <c r="H4976" s="44"/>
      <c r="L4976" s="42"/>
      <c r="M4976" s="42"/>
      <c r="N4976" s="25"/>
      <c r="O4976" s="54"/>
      <c r="P4976"/>
      <c r="Q4976" s="25"/>
      <c r="R4976" s="54"/>
      <c r="W4976" s="23"/>
      <c r="X4976" s="23"/>
      <c r="Y4976" s="23"/>
      <c r="Z4976" s="43"/>
      <c r="AA4976" s="23"/>
      <c r="AB4976" s="23"/>
      <c r="AC4976" s="23"/>
      <c r="AD4976" s="23"/>
      <c r="AE4976" s="23"/>
      <c r="AF4976" s="23"/>
      <c r="AG4976" s="23"/>
      <c r="AH4976" s="23"/>
      <c r="AI4976" s="49"/>
    </row>
    <row r="4977" spans="1:35">
      <c r="A4977" s="50"/>
      <c r="B4977" s="42"/>
      <c r="C4977" s="49"/>
      <c r="E4977" s="49"/>
      <c r="G4977" s="43"/>
      <c r="H4977" s="44"/>
      <c r="L4977" s="42"/>
      <c r="M4977" s="42"/>
      <c r="N4977" s="25"/>
      <c r="O4977" s="54"/>
      <c r="P4977"/>
      <c r="Q4977" s="25"/>
      <c r="R4977" s="54"/>
      <c r="W4977" s="23"/>
      <c r="X4977" s="23"/>
      <c r="Y4977" s="23"/>
      <c r="Z4977" s="43"/>
      <c r="AA4977" s="23"/>
      <c r="AB4977" s="23"/>
      <c r="AC4977" s="23"/>
      <c r="AD4977" s="23"/>
      <c r="AE4977" s="23"/>
      <c r="AF4977" s="23"/>
      <c r="AG4977" s="23"/>
      <c r="AH4977" s="23"/>
      <c r="AI4977" s="49"/>
    </row>
    <row r="4978" spans="1:35">
      <c r="A4978" s="50"/>
      <c r="B4978" s="42"/>
      <c r="G4978" s="43"/>
      <c r="H4978" s="44"/>
      <c r="L4978" s="42"/>
      <c r="M4978" s="42"/>
      <c r="N4978" s="25"/>
      <c r="O4978" s="54"/>
      <c r="P4978"/>
      <c r="Q4978" s="25"/>
      <c r="R4978" s="54"/>
      <c r="W4978" s="23"/>
      <c r="X4978" s="23"/>
      <c r="Y4978" s="23"/>
      <c r="Z4978" s="43"/>
      <c r="AA4978" s="23"/>
      <c r="AB4978" s="23"/>
      <c r="AC4978" s="23"/>
      <c r="AD4978" s="23"/>
      <c r="AE4978" s="23"/>
      <c r="AF4978" s="23"/>
      <c r="AG4978" s="23"/>
      <c r="AH4978" s="23"/>
    </row>
    <row r="4979" spans="1:35">
      <c r="A4979" s="50"/>
      <c r="B4979" s="42"/>
      <c r="G4979" s="43"/>
      <c r="H4979" s="44"/>
      <c r="L4979" s="42"/>
      <c r="M4979" s="42"/>
      <c r="N4979" s="25"/>
      <c r="O4979" s="54"/>
      <c r="P4979"/>
      <c r="Q4979" s="25"/>
      <c r="R4979" s="54"/>
      <c r="W4979" s="23"/>
      <c r="X4979" s="23"/>
      <c r="Y4979" s="23"/>
      <c r="Z4979" s="43"/>
      <c r="AA4979" s="23"/>
      <c r="AB4979" s="23"/>
      <c r="AC4979" s="23"/>
      <c r="AD4979" s="23"/>
      <c r="AE4979" s="23"/>
      <c r="AF4979" s="23"/>
      <c r="AG4979" s="23"/>
      <c r="AH4979" s="23"/>
    </row>
    <row r="4980" spans="1:35">
      <c r="A4980" s="50"/>
      <c r="B4980" s="42"/>
      <c r="G4980" s="43"/>
      <c r="H4980" s="44"/>
      <c r="L4980" s="42"/>
      <c r="M4980" s="42"/>
      <c r="N4980" s="25"/>
      <c r="O4980" s="54"/>
      <c r="P4980"/>
      <c r="Q4980" s="25"/>
      <c r="R4980" s="54"/>
      <c r="W4980" s="23"/>
      <c r="X4980" s="23"/>
      <c r="Y4980" s="23"/>
      <c r="Z4980" s="43"/>
      <c r="AA4980" s="23"/>
      <c r="AB4980" s="23"/>
      <c r="AC4980" s="23"/>
      <c r="AD4980" s="23"/>
      <c r="AE4980" s="23"/>
      <c r="AF4980" s="23"/>
      <c r="AG4980" s="23"/>
      <c r="AH4980" s="23"/>
    </row>
    <row r="4981" spans="1:35">
      <c r="A4981" s="50"/>
      <c r="B4981" s="42"/>
      <c r="C4981" s="49"/>
      <c r="E4981" s="49"/>
      <c r="G4981" s="43"/>
      <c r="H4981" s="44"/>
      <c r="L4981" s="42"/>
      <c r="M4981" s="42"/>
      <c r="N4981" s="25"/>
      <c r="O4981" s="54"/>
      <c r="P4981"/>
      <c r="Q4981" s="25"/>
      <c r="R4981" s="54"/>
      <c r="W4981" s="23"/>
      <c r="X4981" s="23"/>
      <c r="Y4981" s="23"/>
      <c r="Z4981" s="43"/>
      <c r="AA4981" s="23"/>
      <c r="AB4981" s="23"/>
      <c r="AC4981" s="23"/>
      <c r="AD4981" s="23"/>
      <c r="AE4981" s="23"/>
      <c r="AF4981" s="23"/>
      <c r="AG4981" s="23"/>
      <c r="AH4981" s="23"/>
      <c r="AI4981" s="49"/>
    </row>
    <row r="4982" spans="1:35">
      <c r="A4982" s="50"/>
      <c r="B4982" s="42"/>
      <c r="C4982" s="49"/>
      <c r="E4982" s="49"/>
      <c r="G4982" s="43"/>
      <c r="H4982" s="44"/>
      <c r="L4982" s="42"/>
      <c r="M4982" s="42"/>
      <c r="N4982" s="25"/>
      <c r="O4982" s="54"/>
      <c r="P4982"/>
      <c r="Q4982" s="25"/>
      <c r="R4982" s="54"/>
      <c r="W4982" s="23"/>
      <c r="X4982" s="23"/>
      <c r="Y4982" s="23"/>
      <c r="Z4982" s="43"/>
      <c r="AA4982" s="23"/>
      <c r="AB4982" s="23"/>
      <c r="AC4982" s="23"/>
      <c r="AD4982" s="23"/>
      <c r="AE4982" s="23"/>
      <c r="AF4982" s="23"/>
      <c r="AG4982" s="23"/>
      <c r="AH4982" s="23"/>
      <c r="AI4982" s="49"/>
    </row>
    <row r="4983" spans="1:35">
      <c r="A4983" s="50"/>
      <c r="B4983" s="42"/>
      <c r="C4983" s="49"/>
      <c r="E4983" s="49"/>
      <c r="G4983" s="43"/>
      <c r="H4983" s="44"/>
      <c r="L4983" s="42"/>
      <c r="M4983" s="42"/>
      <c r="N4983" s="25"/>
      <c r="O4983" s="54"/>
      <c r="P4983"/>
      <c r="Q4983" s="25"/>
      <c r="R4983" s="54"/>
      <c r="W4983" s="23"/>
      <c r="X4983" s="23"/>
      <c r="Y4983" s="23"/>
      <c r="Z4983" s="43"/>
      <c r="AA4983" s="23"/>
      <c r="AB4983" s="23"/>
      <c r="AC4983" s="23"/>
      <c r="AD4983" s="23"/>
      <c r="AE4983" s="23"/>
      <c r="AF4983" s="23"/>
      <c r="AG4983" s="23"/>
      <c r="AH4983" s="23"/>
      <c r="AI4983" s="49"/>
    </row>
    <row r="4984" spans="1:35">
      <c r="A4984" s="50"/>
      <c r="B4984" s="42"/>
      <c r="G4984" s="43"/>
      <c r="H4984" s="44"/>
      <c r="L4984" s="42"/>
      <c r="M4984" s="42"/>
      <c r="N4984" s="25"/>
      <c r="O4984" s="54"/>
      <c r="P4984"/>
      <c r="Q4984" s="25"/>
      <c r="R4984" s="54"/>
      <c r="W4984" s="23"/>
      <c r="X4984" s="23"/>
      <c r="Y4984" s="23"/>
      <c r="Z4984" s="43"/>
      <c r="AA4984" s="23"/>
      <c r="AB4984" s="23"/>
      <c r="AC4984" s="23"/>
      <c r="AD4984" s="23"/>
      <c r="AE4984" s="23"/>
      <c r="AF4984" s="23"/>
      <c r="AG4984" s="23"/>
      <c r="AH4984" s="23"/>
    </row>
    <row r="4985" spans="1:35">
      <c r="A4985" s="50"/>
      <c r="B4985" s="42"/>
      <c r="G4985" s="43"/>
      <c r="H4985" s="44"/>
      <c r="L4985" s="42"/>
      <c r="M4985" s="42"/>
      <c r="N4985" s="25"/>
      <c r="O4985" s="54"/>
      <c r="P4985"/>
      <c r="Q4985" s="25"/>
      <c r="R4985" s="54"/>
      <c r="W4985" s="23"/>
      <c r="X4985" s="23"/>
      <c r="Y4985" s="23"/>
      <c r="Z4985" s="43"/>
      <c r="AA4985" s="23"/>
      <c r="AB4985" s="23"/>
      <c r="AC4985" s="23"/>
      <c r="AD4985" s="23"/>
      <c r="AE4985" s="23"/>
      <c r="AF4985" s="23"/>
      <c r="AG4985" s="23"/>
      <c r="AH4985" s="23"/>
    </row>
    <row r="4986" spans="1:35">
      <c r="A4986" s="50"/>
      <c r="B4986" s="42"/>
      <c r="G4986" s="43"/>
      <c r="H4986" s="44"/>
      <c r="L4986" s="42"/>
      <c r="M4986" s="42"/>
      <c r="N4986" s="25"/>
      <c r="O4986" s="54"/>
      <c r="P4986"/>
      <c r="Q4986" s="25"/>
      <c r="R4986" s="54"/>
      <c r="W4986" s="23"/>
      <c r="X4986" s="23"/>
      <c r="Y4986" s="23"/>
      <c r="Z4986" s="43"/>
      <c r="AA4986" s="23"/>
      <c r="AB4986" s="23"/>
      <c r="AC4986" s="23"/>
      <c r="AD4986" s="23"/>
      <c r="AE4986" s="23"/>
      <c r="AF4986" s="23"/>
      <c r="AG4986" s="23"/>
      <c r="AH4986" s="23"/>
    </row>
    <row r="4987" spans="1:35">
      <c r="A4987" s="50"/>
      <c r="B4987" s="42"/>
      <c r="G4987" s="43"/>
      <c r="H4987" s="44"/>
      <c r="L4987" s="42"/>
      <c r="M4987" s="42"/>
      <c r="N4987" s="25"/>
      <c r="O4987" s="54"/>
      <c r="P4987"/>
      <c r="Q4987" s="25"/>
      <c r="R4987" s="54"/>
      <c r="W4987" s="23"/>
      <c r="X4987" s="23"/>
      <c r="Y4987" s="23"/>
      <c r="Z4987" s="43"/>
      <c r="AA4987" s="23"/>
      <c r="AB4987" s="23"/>
      <c r="AC4987" s="23"/>
      <c r="AD4987" s="23"/>
      <c r="AE4987" s="23"/>
      <c r="AF4987" s="23"/>
      <c r="AG4987" s="23"/>
      <c r="AH4987" s="23"/>
    </row>
    <row r="4988" spans="1:35">
      <c r="A4988" s="50"/>
      <c r="B4988" s="42"/>
      <c r="C4988" s="49"/>
      <c r="E4988" s="49"/>
      <c r="G4988" s="43"/>
      <c r="H4988" s="44"/>
      <c r="L4988" s="42"/>
      <c r="M4988" s="42"/>
      <c r="N4988" s="25"/>
      <c r="O4988" s="54"/>
      <c r="P4988"/>
      <c r="Q4988" s="25"/>
      <c r="R4988" s="54"/>
      <c r="W4988" s="23"/>
      <c r="X4988" s="23"/>
      <c r="Y4988" s="23"/>
      <c r="Z4988" s="43"/>
      <c r="AA4988" s="23"/>
      <c r="AB4988" s="23"/>
      <c r="AC4988" s="23"/>
      <c r="AD4988" s="23"/>
      <c r="AE4988" s="23"/>
      <c r="AF4988" s="23"/>
      <c r="AG4988" s="23"/>
      <c r="AH4988" s="23"/>
      <c r="AI4988" s="49"/>
    </row>
    <row r="4989" spans="1:35">
      <c r="A4989" s="50"/>
      <c r="B4989" s="42"/>
      <c r="C4989" s="49"/>
      <c r="E4989" s="49"/>
      <c r="G4989" s="43"/>
      <c r="H4989" s="44"/>
      <c r="L4989" s="42"/>
      <c r="M4989" s="42"/>
      <c r="N4989" s="25"/>
      <c r="O4989" s="54"/>
      <c r="P4989"/>
      <c r="Q4989" s="25"/>
      <c r="R4989" s="54"/>
      <c r="W4989" s="23"/>
      <c r="X4989" s="23"/>
      <c r="Y4989" s="23"/>
      <c r="Z4989" s="43"/>
      <c r="AA4989" s="23"/>
      <c r="AB4989" s="23"/>
      <c r="AC4989" s="23"/>
      <c r="AD4989" s="23"/>
      <c r="AE4989" s="23"/>
      <c r="AF4989" s="23"/>
      <c r="AG4989" s="23"/>
      <c r="AH4989" s="23"/>
      <c r="AI4989" s="49"/>
    </row>
    <row r="4990" spans="1:35">
      <c r="A4990" s="50"/>
      <c r="B4990" s="42"/>
      <c r="C4990" s="49"/>
      <c r="E4990" s="49"/>
      <c r="G4990" s="43"/>
      <c r="H4990" s="44"/>
      <c r="L4990" s="42"/>
      <c r="M4990" s="42"/>
      <c r="N4990" s="25"/>
      <c r="O4990" s="54"/>
      <c r="P4990"/>
      <c r="Q4990" s="25"/>
      <c r="R4990" s="54"/>
      <c r="W4990" s="23"/>
      <c r="X4990" s="23"/>
      <c r="Y4990" s="23"/>
      <c r="Z4990" s="43"/>
      <c r="AA4990" s="23"/>
      <c r="AB4990" s="23"/>
      <c r="AC4990" s="23"/>
      <c r="AD4990" s="23"/>
      <c r="AE4990" s="23"/>
      <c r="AF4990" s="23"/>
      <c r="AG4990" s="23"/>
      <c r="AH4990" s="23"/>
      <c r="AI4990" s="49"/>
    </row>
    <row r="4991" spans="1:35">
      <c r="A4991" s="50"/>
      <c r="B4991" s="42"/>
      <c r="G4991" s="43"/>
      <c r="H4991" s="44"/>
      <c r="L4991" s="42"/>
      <c r="M4991" s="42"/>
      <c r="N4991" s="25"/>
      <c r="O4991" s="54"/>
      <c r="P4991"/>
      <c r="Q4991" s="25"/>
      <c r="R4991" s="54"/>
      <c r="W4991" s="23"/>
      <c r="X4991" s="23"/>
      <c r="Y4991" s="23"/>
      <c r="Z4991" s="43"/>
      <c r="AA4991" s="23"/>
      <c r="AB4991" s="23"/>
      <c r="AC4991" s="23"/>
      <c r="AD4991" s="23"/>
      <c r="AE4991" s="23"/>
      <c r="AF4991" s="23"/>
      <c r="AG4991" s="23"/>
      <c r="AH4991" s="23"/>
    </row>
    <row r="4992" spans="1:35">
      <c r="A4992" s="50"/>
      <c r="B4992" s="42"/>
      <c r="G4992" s="43"/>
      <c r="H4992" s="44"/>
      <c r="L4992" s="42"/>
      <c r="M4992" s="42"/>
      <c r="N4992" s="25"/>
      <c r="O4992" s="54"/>
      <c r="P4992"/>
      <c r="Q4992" s="25"/>
      <c r="R4992" s="54"/>
      <c r="W4992" s="23"/>
      <c r="X4992" s="23"/>
      <c r="Y4992" s="23"/>
      <c r="Z4992" s="43"/>
      <c r="AA4992" s="23"/>
      <c r="AB4992" s="23"/>
      <c r="AC4992" s="23"/>
      <c r="AD4992" s="23"/>
      <c r="AE4992" s="23"/>
      <c r="AF4992" s="23"/>
      <c r="AG4992" s="23"/>
      <c r="AH4992" s="23"/>
    </row>
    <row r="4993" spans="1:35">
      <c r="A4993" s="50"/>
      <c r="B4993" s="42"/>
      <c r="G4993" s="43"/>
      <c r="H4993" s="44"/>
      <c r="L4993" s="42"/>
      <c r="M4993" s="42"/>
      <c r="N4993" s="25"/>
      <c r="O4993" s="54"/>
      <c r="P4993"/>
      <c r="Q4993" s="25"/>
      <c r="R4993" s="54"/>
      <c r="W4993" s="23"/>
      <c r="X4993" s="23"/>
      <c r="Y4993" s="23"/>
      <c r="Z4993" s="43"/>
      <c r="AA4993" s="23"/>
      <c r="AB4993" s="23"/>
      <c r="AC4993" s="23"/>
      <c r="AD4993" s="23"/>
      <c r="AE4993" s="23"/>
      <c r="AF4993" s="23"/>
      <c r="AG4993" s="23"/>
      <c r="AH4993" s="23"/>
    </row>
    <row r="4994" spans="1:35">
      <c r="A4994" s="50"/>
      <c r="B4994" s="42"/>
      <c r="G4994" s="43"/>
      <c r="H4994" s="44"/>
      <c r="L4994" s="42"/>
      <c r="M4994" s="42"/>
      <c r="N4994" s="25"/>
      <c r="O4994" s="54"/>
      <c r="P4994"/>
      <c r="Q4994" s="25"/>
      <c r="R4994" s="54"/>
      <c r="W4994" s="23"/>
      <c r="X4994" s="23"/>
      <c r="Y4994" s="23"/>
      <c r="Z4994" s="43"/>
      <c r="AA4994" s="23"/>
      <c r="AB4994" s="23"/>
      <c r="AC4994" s="23"/>
      <c r="AD4994" s="23"/>
      <c r="AE4994" s="23"/>
      <c r="AF4994" s="23"/>
      <c r="AG4994" s="23"/>
      <c r="AH4994" s="23"/>
    </row>
    <row r="4995" spans="1:35">
      <c r="A4995" s="49"/>
      <c r="B4995" s="42"/>
      <c r="C4995" s="49"/>
      <c r="E4995" s="49"/>
      <c r="G4995" s="43"/>
      <c r="H4995" s="44"/>
      <c r="L4995" s="42"/>
      <c r="M4995" s="42"/>
      <c r="N4995" s="25"/>
      <c r="O4995" s="54"/>
      <c r="P4995"/>
      <c r="Q4995" s="25"/>
      <c r="R4995" s="54"/>
      <c r="W4995" s="23"/>
      <c r="X4995" s="23"/>
      <c r="Y4995" s="23"/>
      <c r="Z4995" s="43"/>
      <c r="AA4995" s="23"/>
      <c r="AB4995" s="23"/>
      <c r="AC4995" s="23"/>
      <c r="AD4995" s="23"/>
      <c r="AE4995" s="23"/>
      <c r="AF4995" s="23"/>
      <c r="AG4995" s="23"/>
      <c r="AH4995" s="23"/>
      <c r="AI4995" s="49"/>
    </row>
    <row r="4996" spans="1:35">
      <c r="A4996" s="49"/>
      <c r="B4996" s="42"/>
      <c r="C4996" s="49"/>
      <c r="E4996" s="49"/>
      <c r="G4996" s="43"/>
      <c r="H4996" s="44"/>
      <c r="L4996" s="42"/>
      <c r="M4996" s="42"/>
      <c r="N4996" s="25"/>
      <c r="O4996" s="54"/>
      <c r="P4996"/>
      <c r="Q4996" s="25"/>
      <c r="R4996" s="54"/>
      <c r="W4996" s="23"/>
      <c r="X4996" s="23"/>
      <c r="Y4996" s="23"/>
      <c r="Z4996" s="43"/>
      <c r="AA4996" s="23"/>
      <c r="AB4996" s="23"/>
      <c r="AC4996" s="23"/>
      <c r="AD4996" s="23"/>
      <c r="AE4996" s="23"/>
      <c r="AF4996" s="23"/>
      <c r="AG4996" s="23"/>
      <c r="AH4996" s="23"/>
      <c r="AI4996" s="49"/>
    </row>
    <row r="4997" spans="1:35">
      <c r="A4997" s="49"/>
      <c r="B4997" s="42"/>
      <c r="C4997" s="49"/>
      <c r="E4997" s="49"/>
      <c r="G4997" s="43"/>
      <c r="H4997" s="44"/>
      <c r="L4997" s="42"/>
      <c r="M4997" s="42"/>
      <c r="N4997" s="25"/>
      <c r="O4997" s="54"/>
      <c r="P4997"/>
      <c r="Q4997" s="25"/>
      <c r="R4997" s="54"/>
      <c r="W4997" s="23"/>
      <c r="X4997" s="23"/>
      <c r="Y4997" s="23"/>
      <c r="Z4997" s="43"/>
      <c r="AA4997" s="23"/>
      <c r="AB4997" s="23"/>
      <c r="AC4997" s="23"/>
      <c r="AD4997" s="23"/>
      <c r="AE4997" s="23"/>
      <c r="AF4997" s="23"/>
      <c r="AG4997" s="23"/>
      <c r="AH4997" s="23"/>
      <c r="AI4997" s="49"/>
    </row>
    <row r="4998" spans="1:35">
      <c r="A4998" s="49"/>
      <c r="B4998" s="42"/>
      <c r="C4998" s="49"/>
      <c r="E4998" s="49"/>
      <c r="G4998" s="43"/>
      <c r="H4998" s="44"/>
      <c r="L4998" s="42"/>
      <c r="M4998" s="42"/>
      <c r="N4998" s="25"/>
      <c r="O4998" s="54"/>
      <c r="P4998"/>
      <c r="Q4998" s="25"/>
      <c r="R4998" s="54"/>
      <c r="W4998" s="23"/>
      <c r="X4998" s="23"/>
      <c r="Y4998" s="23"/>
      <c r="Z4998" s="43"/>
      <c r="AA4998" s="23"/>
      <c r="AB4998" s="23"/>
      <c r="AC4998" s="23"/>
      <c r="AD4998" s="23"/>
      <c r="AE4998" s="23"/>
      <c r="AF4998" s="23"/>
      <c r="AG4998" s="23"/>
      <c r="AH4998" s="23"/>
      <c r="AI4998" s="49"/>
    </row>
    <row r="4999" spans="1:35">
      <c r="A4999" s="49"/>
      <c r="B4999" s="42"/>
      <c r="C4999" s="49"/>
      <c r="E4999" s="49"/>
      <c r="G4999" s="43"/>
      <c r="H4999" s="44"/>
      <c r="L4999" s="42"/>
      <c r="M4999" s="42"/>
      <c r="N4999" s="25"/>
      <c r="O4999" s="54"/>
      <c r="P4999"/>
      <c r="Q4999" s="25"/>
      <c r="R4999" s="54"/>
      <c r="W4999" s="23"/>
      <c r="X4999" s="23"/>
      <c r="Y4999" s="23"/>
      <c r="Z4999" s="43"/>
      <c r="AA4999" s="23"/>
      <c r="AB4999" s="23"/>
      <c r="AC4999" s="23"/>
      <c r="AD4999" s="23"/>
      <c r="AE4999" s="23"/>
      <c r="AF4999" s="23"/>
      <c r="AG4999" s="23"/>
      <c r="AH4999" s="23"/>
      <c r="AI4999" s="49"/>
    </row>
    <row r="5000" spans="1:35">
      <c r="A5000" s="49"/>
      <c r="B5000" s="42"/>
      <c r="C5000" s="49"/>
      <c r="E5000" s="49"/>
      <c r="G5000" s="43"/>
      <c r="H5000" s="44"/>
      <c r="L5000" s="42"/>
      <c r="M5000" s="42"/>
      <c r="N5000" s="25"/>
      <c r="O5000" s="54"/>
      <c r="P5000"/>
      <c r="Q5000" s="25"/>
      <c r="R5000" s="54"/>
      <c r="W5000" s="23"/>
      <c r="X5000" s="23"/>
      <c r="Y5000" s="23"/>
      <c r="Z5000" s="43"/>
      <c r="AA5000" s="23"/>
      <c r="AB5000" s="23"/>
      <c r="AC5000" s="23"/>
      <c r="AD5000" s="23"/>
      <c r="AE5000" s="23"/>
      <c r="AF5000" s="23"/>
      <c r="AG5000" s="23"/>
      <c r="AH5000" s="23"/>
      <c r="AI5000" s="49"/>
    </row>
    <row r="5001" spans="1:35">
      <c r="A5001" s="49"/>
      <c r="B5001" s="42"/>
      <c r="C5001" s="49"/>
      <c r="E5001" s="49"/>
      <c r="G5001" s="43"/>
      <c r="H5001" s="44"/>
      <c r="L5001" s="42"/>
      <c r="M5001" s="42"/>
      <c r="N5001" s="25"/>
      <c r="O5001" s="54"/>
      <c r="P5001"/>
      <c r="Q5001" s="25"/>
      <c r="R5001" s="54"/>
      <c r="W5001" s="23"/>
      <c r="X5001" s="23"/>
      <c r="Y5001" s="23"/>
      <c r="Z5001" s="43"/>
      <c r="AA5001" s="23"/>
      <c r="AB5001" s="23"/>
      <c r="AC5001" s="23"/>
      <c r="AD5001" s="23"/>
      <c r="AE5001" s="23"/>
      <c r="AF5001" s="23"/>
      <c r="AG5001" s="23"/>
      <c r="AH5001" s="23"/>
      <c r="AI5001" s="49"/>
    </row>
    <row r="5002" spans="1:35">
      <c r="A5002" s="49"/>
      <c r="B5002" s="42"/>
      <c r="C5002" s="49"/>
      <c r="E5002" s="49"/>
      <c r="G5002" s="43"/>
      <c r="H5002" s="44"/>
      <c r="L5002" s="42"/>
      <c r="M5002" s="42"/>
      <c r="N5002" s="25"/>
      <c r="O5002" s="54"/>
      <c r="P5002"/>
      <c r="Q5002" s="25"/>
      <c r="R5002" s="54"/>
      <c r="W5002" s="23"/>
      <c r="X5002" s="23"/>
      <c r="Y5002" s="23"/>
      <c r="Z5002" s="43"/>
      <c r="AA5002" s="23"/>
      <c r="AB5002" s="23"/>
      <c r="AC5002" s="23"/>
      <c r="AD5002" s="23"/>
      <c r="AE5002" s="23"/>
      <c r="AF5002" s="23"/>
      <c r="AG5002" s="23"/>
      <c r="AH5002" s="23"/>
      <c r="AI5002" s="49"/>
    </row>
    <row r="5003" spans="1:35">
      <c r="A5003" s="49"/>
      <c r="B5003" s="42"/>
      <c r="C5003" s="49"/>
      <c r="E5003" s="49"/>
      <c r="G5003" s="43"/>
      <c r="H5003" s="44"/>
      <c r="L5003" s="42"/>
      <c r="M5003" s="42"/>
      <c r="N5003" s="25"/>
      <c r="O5003" s="54"/>
      <c r="P5003"/>
      <c r="Q5003" s="25"/>
      <c r="R5003" s="54"/>
      <c r="W5003" s="23"/>
      <c r="X5003" s="23"/>
      <c r="Y5003" s="23"/>
      <c r="Z5003" s="43"/>
      <c r="AA5003" s="23"/>
      <c r="AB5003" s="23"/>
      <c r="AC5003" s="23"/>
      <c r="AD5003" s="23"/>
      <c r="AE5003" s="23"/>
      <c r="AF5003" s="23"/>
      <c r="AG5003" s="23"/>
      <c r="AH5003" s="23"/>
      <c r="AI5003" s="49"/>
    </row>
    <row r="5004" spans="1:35">
      <c r="A5004" s="49"/>
      <c r="B5004" s="42"/>
      <c r="C5004" s="49"/>
      <c r="E5004" s="49"/>
      <c r="G5004" s="43"/>
      <c r="H5004" s="44"/>
      <c r="L5004" s="42"/>
      <c r="M5004" s="42"/>
      <c r="N5004" s="25"/>
      <c r="O5004" s="54"/>
      <c r="P5004"/>
      <c r="Q5004" s="25"/>
      <c r="R5004" s="54"/>
      <c r="W5004" s="23"/>
      <c r="X5004" s="23"/>
      <c r="Y5004" s="23"/>
      <c r="Z5004" s="43"/>
      <c r="AA5004" s="23"/>
      <c r="AB5004" s="23"/>
      <c r="AC5004" s="23"/>
      <c r="AD5004" s="23"/>
      <c r="AE5004" s="23"/>
      <c r="AF5004" s="23"/>
      <c r="AG5004" s="23"/>
      <c r="AH5004" s="23"/>
      <c r="AI5004" s="49"/>
    </row>
    <row r="5005" spans="1:35">
      <c r="A5005" s="49"/>
      <c r="B5005" s="42"/>
      <c r="C5005" s="49"/>
      <c r="E5005" s="49"/>
      <c r="G5005" s="43"/>
      <c r="H5005" s="44"/>
      <c r="L5005" s="42"/>
      <c r="M5005" s="42"/>
      <c r="N5005" s="25"/>
      <c r="O5005" s="54"/>
      <c r="P5005"/>
      <c r="Q5005" s="25"/>
      <c r="R5005" s="54"/>
      <c r="W5005" s="23"/>
      <c r="X5005" s="23"/>
      <c r="Y5005" s="23"/>
      <c r="Z5005" s="43"/>
      <c r="AA5005" s="23"/>
      <c r="AB5005" s="23"/>
      <c r="AC5005" s="23"/>
      <c r="AD5005" s="23"/>
      <c r="AE5005" s="23"/>
      <c r="AF5005" s="23"/>
      <c r="AG5005" s="23"/>
      <c r="AH5005" s="23"/>
      <c r="AI5005" s="49"/>
    </row>
    <row r="5006" spans="1:35">
      <c r="A5006" s="49"/>
      <c r="B5006" s="42"/>
      <c r="C5006" s="49"/>
      <c r="E5006" s="49"/>
      <c r="G5006" s="43"/>
      <c r="H5006" s="44"/>
      <c r="L5006" s="42"/>
      <c r="M5006" s="42"/>
      <c r="N5006" s="25"/>
      <c r="O5006" s="54"/>
      <c r="P5006"/>
      <c r="Q5006" s="25"/>
      <c r="R5006" s="54"/>
      <c r="W5006" s="23"/>
      <c r="X5006" s="23"/>
      <c r="Y5006" s="23"/>
      <c r="Z5006" s="43"/>
      <c r="AA5006" s="23"/>
      <c r="AB5006" s="23"/>
      <c r="AC5006" s="23"/>
      <c r="AD5006" s="23"/>
      <c r="AE5006" s="23"/>
      <c r="AF5006" s="23"/>
      <c r="AG5006" s="23"/>
      <c r="AH5006" s="23"/>
      <c r="AI5006" s="49"/>
    </row>
    <row r="5007" spans="1:35">
      <c r="A5007" s="49"/>
      <c r="B5007" s="42"/>
      <c r="C5007" s="49"/>
      <c r="E5007" s="49"/>
      <c r="G5007" s="43"/>
      <c r="H5007" s="44"/>
      <c r="L5007" s="42"/>
      <c r="M5007" s="42"/>
      <c r="N5007" s="25"/>
      <c r="O5007" s="54"/>
      <c r="P5007"/>
      <c r="Q5007" s="25"/>
      <c r="R5007" s="54"/>
      <c r="W5007" s="23"/>
      <c r="X5007" s="23"/>
      <c r="Y5007" s="23"/>
      <c r="Z5007" s="43"/>
      <c r="AA5007" s="23"/>
      <c r="AB5007" s="23"/>
      <c r="AC5007" s="23"/>
      <c r="AD5007" s="23"/>
      <c r="AE5007" s="23"/>
      <c r="AF5007" s="23"/>
      <c r="AG5007" s="23"/>
      <c r="AH5007" s="23"/>
      <c r="AI5007" s="49"/>
    </row>
    <row r="5008" spans="1:35">
      <c r="A5008" s="50"/>
      <c r="B5008" s="42"/>
      <c r="G5008" s="43"/>
      <c r="H5008" s="44"/>
      <c r="L5008" s="42"/>
      <c r="M5008" s="42"/>
      <c r="N5008" s="25"/>
      <c r="O5008" s="54"/>
      <c r="P5008"/>
      <c r="Q5008" s="25"/>
      <c r="R5008" s="54"/>
      <c r="W5008" s="23"/>
      <c r="X5008" s="23"/>
      <c r="Y5008" s="23"/>
      <c r="Z5008" s="43"/>
      <c r="AA5008" s="23"/>
      <c r="AB5008" s="23"/>
      <c r="AC5008" s="23"/>
      <c r="AD5008" s="23"/>
      <c r="AE5008" s="23"/>
      <c r="AF5008" s="23"/>
      <c r="AG5008" s="23"/>
      <c r="AH5008" s="23"/>
    </row>
    <row r="5009" spans="1:35">
      <c r="A5009" s="49"/>
      <c r="B5009" s="42"/>
      <c r="C5009" s="49"/>
      <c r="E5009" s="49"/>
      <c r="G5009" s="43"/>
      <c r="H5009" s="44"/>
      <c r="L5009" s="42"/>
      <c r="M5009" s="42"/>
      <c r="N5009" s="25"/>
      <c r="O5009" s="54"/>
      <c r="P5009"/>
      <c r="Q5009" s="25"/>
      <c r="R5009" s="54"/>
      <c r="W5009" s="23"/>
      <c r="X5009" s="23"/>
      <c r="Y5009" s="23"/>
      <c r="Z5009" s="43"/>
      <c r="AA5009" s="23"/>
      <c r="AB5009" s="23"/>
      <c r="AC5009" s="23"/>
      <c r="AD5009" s="23"/>
      <c r="AE5009" s="23"/>
      <c r="AF5009" s="23"/>
      <c r="AG5009" s="23"/>
      <c r="AH5009" s="23"/>
      <c r="AI5009" s="49"/>
    </row>
    <row r="5010" spans="1:35">
      <c r="A5010" s="49"/>
      <c r="B5010" s="42"/>
      <c r="C5010" s="49"/>
      <c r="E5010" s="49"/>
      <c r="G5010" s="43"/>
      <c r="H5010" s="44"/>
      <c r="L5010" s="42"/>
      <c r="M5010" s="42"/>
      <c r="N5010" s="25"/>
      <c r="O5010" s="54"/>
      <c r="P5010"/>
      <c r="Q5010" s="25"/>
      <c r="R5010" s="54"/>
      <c r="W5010" s="23"/>
      <c r="X5010" s="23"/>
      <c r="Y5010" s="23"/>
      <c r="Z5010" s="43"/>
      <c r="AA5010" s="23"/>
      <c r="AB5010" s="23"/>
      <c r="AC5010" s="23"/>
      <c r="AD5010" s="23"/>
      <c r="AE5010" s="23"/>
      <c r="AF5010" s="23"/>
      <c r="AG5010" s="23"/>
      <c r="AH5010" s="23"/>
      <c r="AI5010" s="49"/>
    </row>
    <row r="5011" spans="1:35">
      <c r="A5011" s="49"/>
      <c r="B5011" s="42"/>
      <c r="C5011" s="49"/>
      <c r="E5011" s="49"/>
      <c r="G5011" s="43"/>
      <c r="H5011" s="44"/>
      <c r="L5011" s="42"/>
      <c r="M5011" s="42"/>
      <c r="N5011" s="25"/>
      <c r="O5011" s="54"/>
      <c r="P5011"/>
      <c r="Q5011" s="25"/>
      <c r="R5011" s="54"/>
      <c r="W5011" s="23"/>
      <c r="X5011" s="23"/>
      <c r="Y5011" s="23"/>
      <c r="Z5011" s="43"/>
      <c r="AA5011" s="23"/>
      <c r="AB5011" s="23"/>
      <c r="AC5011" s="23"/>
      <c r="AD5011" s="23"/>
      <c r="AE5011" s="23"/>
      <c r="AF5011" s="23"/>
      <c r="AG5011" s="23"/>
      <c r="AH5011" s="23"/>
      <c r="AI5011" s="49"/>
    </row>
    <row r="5012" spans="1:35">
      <c r="A5012" s="50"/>
      <c r="B5012" s="42"/>
      <c r="G5012" s="43"/>
      <c r="H5012" s="44"/>
      <c r="L5012" s="42"/>
      <c r="M5012" s="42"/>
      <c r="N5012" s="25"/>
      <c r="O5012" s="54"/>
      <c r="P5012"/>
      <c r="Q5012" s="25"/>
      <c r="R5012" s="54"/>
      <c r="W5012" s="23"/>
      <c r="X5012" s="23"/>
      <c r="Y5012" s="23"/>
      <c r="Z5012" s="43"/>
      <c r="AA5012" s="23"/>
      <c r="AB5012" s="23"/>
      <c r="AC5012" s="23"/>
      <c r="AD5012" s="23"/>
      <c r="AE5012" s="23"/>
      <c r="AF5012" s="23"/>
      <c r="AG5012" s="23"/>
      <c r="AH5012" s="23"/>
    </row>
    <row r="5013" spans="1:35">
      <c r="A5013" s="50"/>
      <c r="B5013" s="42"/>
      <c r="G5013" s="43"/>
      <c r="H5013" s="44"/>
      <c r="L5013" s="42"/>
      <c r="M5013" s="42"/>
      <c r="N5013" s="25"/>
      <c r="O5013" s="54"/>
      <c r="P5013"/>
      <c r="Q5013" s="25"/>
      <c r="R5013" s="54"/>
      <c r="W5013" s="23"/>
      <c r="X5013" s="23"/>
      <c r="Y5013" s="23"/>
      <c r="Z5013" s="43"/>
      <c r="AA5013" s="23"/>
      <c r="AB5013" s="23"/>
      <c r="AC5013" s="23"/>
      <c r="AD5013" s="23"/>
      <c r="AE5013" s="23"/>
      <c r="AF5013" s="23"/>
      <c r="AG5013" s="23"/>
      <c r="AH5013" s="23"/>
    </row>
    <row r="5014" spans="1:35">
      <c r="A5014" s="50"/>
      <c r="B5014" s="42"/>
      <c r="G5014" s="43"/>
      <c r="H5014" s="44"/>
      <c r="L5014" s="42"/>
      <c r="M5014" s="42"/>
      <c r="N5014" s="25"/>
      <c r="O5014" s="54"/>
      <c r="P5014"/>
      <c r="Q5014" s="25"/>
      <c r="R5014" s="54"/>
      <c r="W5014" s="23"/>
      <c r="X5014" s="23"/>
      <c r="Y5014" s="23"/>
      <c r="Z5014" s="43"/>
      <c r="AA5014" s="23"/>
      <c r="AB5014" s="23"/>
      <c r="AC5014" s="23"/>
      <c r="AD5014" s="23"/>
      <c r="AE5014" s="23"/>
      <c r="AF5014" s="23"/>
      <c r="AG5014" s="23"/>
      <c r="AH5014" s="23"/>
    </row>
    <row r="5015" spans="1:35">
      <c r="A5015" s="50"/>
      <c r="B5015" s="42"/>
      <c r="G5015" s="43"/>
      <c r="H5015" s="44"/>
      <c r="L5015" s="42"/>
      <c r="M5015" s="42"/>
      <c r="N5015" s="25"/>
      <c r="O5015" s="54"/>
      <c r="P5015"/>
      <c r="Q5015" s="25"/>
      <c r="R5015" s="54"/>
      <c r="W5015" s="23"/>
      <c r="X5015" s="23"/>
      <c r="Y5015" s="23"/>
      <c r="Z5015" s="43"/>
      <c r="AA5015" s="23"/>
      <c r="AB5015" s="23"/>
      <c r="AC5015" s="23"/>
      <c r="AD5015" s="23"/>
      <c r="AE5015" s="23"/>
      <c r="AF5015" s="23"/>
      <c r="AG5015" s="23"/>
      <c r="AH5015" s="23"/>
    </row>
    <row r="5016" spans="1:35">
      <c r="A5016" s="49"/>
      <c r="B5016" s="42"/>
      <c r="C5016" s="49"/>
      <c r="E5016" s="49"/>
      <c r="G5016" s="43"/>
      <c r="H5016" s="44"/>
      <c r="L5016" s="42"/>
      <c r="M5016" s="42"/>
      <c r="N5016" s="25"/>
      <c r="O5016" s="54"/>
      <c r="P5016"/>
      <c r="Q5016" s="25"/>
      <c r="R5016" s="54"/>
      <c r="W5016" s="23"/>
      <c r="X5016" s="23"/>
      <c r="Y5016" s="23"/>
      <c r="Z5016" s="43"/>
      <c r="AA5016" s="23"/>
      <c r="AB5016" s="23"/>
      <c r="AC5016" s="23"/>
      <c r="AD5016" s="23"/>
      <c r="AE5016" s="23"/>
      <c r="AF5016" s="23"/>
      <c r="AG5016" s="23"/>
      <c r="AH5016" s="23"/>
      <c r="AI5016" s="49"/>
    </row>
    <row r="5017" spans="1:35">
      <c r="A5017" s="49"/>
      <c r="B5017" s="42"/>
      <c r="C5017" s="49"/>
      <c r="E5017" s="49"/>
      <c r="G5017" s="43"/>
      <c r="H5017" s="44"/>
      <c r="L5017" s="42"/>
      <c r="M5017" s="42"/>
      <c r="N5017" s="25"/>
      <c r="O5017" s="54"/>
      <c r="P5017"/>
      <c r="Q5017" s="25"/>
      <c r="R5017" s="54"/>
      <c r="W5017" s="23"/>
      <c r="X5017" s="23"/>
      <c r="Y5017" s="23"/>
      <c r="Z5017" s="43"/>
      <c r="AA5017" s="23"/>
      <c r="AB5017" s="23"/>
      <c r="AC5017" s="23"/>
      <c r="AD5017" s="23"/>
      <c r="AE5017" s="23"/>
      <c r="AF5017" s="23"/>
      <c r="AG5017" s="23"/>
      <c r="AH5017" s="23"/>
      <c r="AI5017" s="49"/>
    </row>
    <row r="5018" spans="1:35">
      <c r="A5018" s="49"/>
      <c r="B5018" s="42"/>
      <c r="C5018" s="49"/>
      <c r="E5018" s="49"/>
      <c r="G5018" s="43"/>
      <c r="H5018" s="44"/>
      <c r="L5018" s="42"/>
      <c r="M5018" s="42"/>
      <c r="N5018" s="25"/>
      <c r="O5018" s="54"/>
      <c r="P5018"/>
      <c r="Q5018" s="25"/>
      <c r="R5018" s="54"/>
      <c r="W5018" s="23"/>
      <c r="X5018" s="23"/>
      <c r="Y5018" s="23"/>
      <c r="Z5018" s="43"/>
      <c r="AA5018" s="23"/>
      <c r="AB5018" s="23"/>
      <c r="AC5018" s="23"/>
      <c r="AD5018" s="23"/>
      <c r="AE5018" s="23"/>
      <c r="AF5018" s="23"/>
      <c r="AG5018" s="23"/>
      <c r="AH5018" s="23"/>
      <c r="AI5018" s="49"/>
    </row>
    <row r="5019" spans="1:35">
      <c r="A5019" s="49"/>
      <c r="B5019" s="42"/>
      <c r="C5019" s="49"/>
      <c r="E5019" s="49"/>
      <c r="G5019" s="43"/>
      <c r="H5019" s="44"/>
      <c r="L5019" s="42"/>
      <c r="M5019" s="42"/>
      <c r="N5019" s="25"/>
      <c r="O5019" s="54"/>
      <c r="P5019"/>
      <c r="Q5019" s="25"/>
      <c r="R5019" s="54"/>
      <c r="W5019" s="23"/>
      <c r="X5019" s="23"/>
      <c r="Y5019" s="23"/>
      <c r="Z5019" s="43"/>
      <c r="AA5019" s="23"/>
      <c r="AB5019" s="23"/>
      <c r="AC5019" s="23"/>
      <c r="AD5019" s="23"/>
      <c r="AE5019" s="23"/>
      <c r="AF5019" s="23"/>
      <c r="AG5019" s="23"/>
      <c r="AH5019" s="23"/>
      <c r="AI5019" s="49"/>
    </row>
    <row r="5020" spans="1:35">
      <c r="A5020" s="49"/>
      <c r="B5020" s="42"/>
      <c r="C5020" s="49"/>
      <c r="E5020" s="49"/>
      <c r="G5020" s="43"/>
      <c r="H5020" s="44"/>
      <c r="L5020" s="42"/>
      <c r="M5020" s="42"/>
      <c r="N5020" s="25"/>
      <c r="O5020" s="54"/>
      <c r="P5020"/>
      <c r="Q5020" s="25"/>
      <c r="R5020" s="54"/>
      <c r="W5020" s="23"/>
      <c r="X5020" s="23"/>
      <c r="Y5020" s="23"/>
      <c r="Z5020" s="43"/>
      <c r="AA5020" s="23"/>
      <c r="AB5020" s="23"/>
      <c r="AC5020" s="23"/>
      <c r="AD5020" s="23"/>
      <c r="AE5020" s="23"/>
      <c r="AF5020" s="23"/>
      <c r="AG5020" s="23"/>
      <c r="AH5020" s="23"/>
      <c r="AI5020" s="49"/>
    </row>
    <row r="5021" spans="1:35">
      <c r="A5021" s="50"/>
      <c r="B5021" s="42"/>
      <c r="G5021" s="43"/>
      <c r="H5021" s="44"/>
      <c r="L5021" s="42"/>
      <c r="M5021" s="42"/>
      <c r="N5021" s="25"/>
      <c r="O5021" s="54"/>
      <c r="P5021"/>
      <c r="Q5021" s="25"/>
      <c r="R5021" s="54"/>
      <c r="W5021" s="23"/>
      <c r="X5021" s="23"/>
      <c r="Y5021" s="23"/>
      <c r="Z5021" s="43"/>
      <c r="AA5021" s="23"/>
      <c r="AB5021" s="23"/>
      <c r="AC5021" s="23"/>
      <c r="AD5021" s="23"/>
      <c r="AE5021" s="23"/>
      <c r="AF5021" s="23"/>
      <c r="AG5021" s="23"/>
      <c r="AH5021" s="23"/>
    </row>
    <row r="5022" spans="1:35">
      <c r="A5022" s="50"/>
      <c r="B5022" s="42"/>
      <c r="G5022" s="43"/>
      <c r="H5022" s="44"/>
      <c r="L5022" s="42"/>
      <c r="M5022" s="42"/>
      <c r="N5022" s="25"/>
      <c r="O5022" s="54"/>
      <c r="P5022"/>
      <c r="Q5022" s="25"/>
      <c r="R5022" s="54"/>
      <c r="W5022" s="23"/>
      <c r="X5022" s="23"/>
      <c r="Y5022" s="23"/>
      <c r="Z5022" s="43"/>
      <c r="AA5022" s="23"/>
      <c r="AB5022" s="23"/>
      <c r="AC5022" s="23"/>
      <c r="AD5022" s="23"/>
      <c r="AE5022" s="23"/>
      <c r="AF5022" s="23"/>
      <c r="AG5022" s="23"/>
      <c r="AH5022" s="23"/>
    </row>
    <row r="5023" spans="1:35">
      <c r="A5023" s="23"/>
      <c r="B5023" s="42"/>
      <c r="G5023" s="43"/>
      <c r="H5023" s="44"/>
      <c r="L5023" s="42"/>
      <c r="M5023" s="42"/>
      <c r="N5023" s="25"/>
      <c r="O5023" s="54"/>
      <c r="P5023"/>
      <c r="Q5023" s="25"/>
      <c r="R5023" s="54"/>
      <c r="W5023" s="23"/>
      <c r="X5023" s="23"/>
      <c r="Y5023" s="23"/>
      <c r="Z5023" s="43"/>
      <c r="AA5023" s="23"/>
      <c r="AB5023" s="23"/>
      <c r="AC5023" s="23"/>
      <c r="AD5023" s="23"/>
      <c r="AE5023" s="23"/>
      <c r="AF5023" s="23"/>
      <c r="AG5023" s="23"/>
      <c r="AH5023" s="23"/>
    </row>
    <row r="5024" spans="1:35">
      <c r="A5024" s="49"/>
      <c r="B5024" s="42"/>
      <c r="C5024" s="49"/>
      <c r="E5024" s="49"/>
      <c r="G5024" s="43"/>
      <c r="H5024" s="44"/>
      <c r="L5024" s="42"/>
      <c r="M5024" s="42"/>
      <c r="N5024" s="25"/>
      <c r="O5024" s="54"/>
      <c r="P5024"/>
      <c r="Q5024" s="25"/>
      <c r="R5024" s="54"/>
      <c r="W5024" s="23"/>
      <c r="X5024" s="23"/>
      <c r="Y5024" s="23"/>
      <c r="Z5024" s="43"/>
      <c r="AA5024" s="23"/>
      <c r="AB5024" s="23"/>
      <c r="AC5024" s="23"/>
      <c r="AD5024" s="23"/>
      <c r="AE5024" s="23"/>
      <c r="AF5024" s="23"/>
      <c r="AG5024" s="23"/>
      <c r="AH5024" s="23"/>
      <c r="AI5024" s="49"/>
    </row>
    <row r="5025" spans="1:35">
      <c r="A5025" s="49"/>
      <c r="B5025" s="42"/>
      <c r="C5025" s="49"/>
      <c r="E5025" s="49"/>
      <c r="G5025" s="43"/>
      <c r="H5025" s="44"/>
      <c r="L5025" s="42"/>
      <c r="M5025" s="42"/>
      <c r="N5025" s="25"/>
      <c r="O5025" s="54"/>
      <c r="P5025"/>
      <c r="Q5025" s="25"/>
      <c r="R5025" s="54"/>
      <c r="W5025" s="23"/>
      <c r="X5025" s="23"/>
      <c r="Y5025" s="23"/>
      <c r="Z5025" s="43"/>
      <c r="AA5025" s="23"/>
      <c r="AB5025" s="23"/>
      <c r="AC5025" s="23"/>
      <c r="AD5025" s="23"/>
      <c r="AE5025" s="23"/>
      <c r="AF5025" s="23"/>
      <c r="AG5025" s="23"/>
      <c r="AH5025" s="23"/>
      <c r="AI5025" s="49"/>
    </row>
    <row r="5026" spans="1:35">
      <c r="A5026" s="49"/>
      <c r="B5026" s="42"/>
      <c r="C5026" s="49"/>
      <c r="E5026" s="49"/>
      <c r="G5026" s="43"/>
      <c r="H5026" s="44"/>
      <c r="L5026" s="42"/>
      <c r="M5026" s="42"/>
      <c r="N5026" s="25"/>
      <c r="O5026" s="54"/>
      <c r="P5026"/>
      <c r="Q5026" s="25"/>
      <c r="R5026" s="54"/>
      <c r="W5026" s="23"/>
      <c r="X5026" s="23"/>
      <c r="Y5026" s="23"/>
      <c r="Z5026" s="43"/>
      <c r="AA5026" s="23"/>
      <c r="AB5026" s="23"/>
      <c r="AC5026" s="23"/>
      <c r="AD5026" s="23"/>
      <c r="AE5026" s="23"/>
      <c r="AF5026" s="23"/>
      <c r="AG5026" s="23"/>
      <c r="AH5026" s="23"/>
      <c r="AI5026" s="49"/>
    </row>
    <row r="5027" spans="1:35">
      <c r="A5027" s="23"/>
      <c r="B5027" s="42"/>
      <c r="G5027" s="43"/>
      <c r="H5027" s="44"/>
      <c r="L5027" s="42"/>
      <c r="M5027" s="42"/>
      <c r="N5027" s="25"/>
      <c r="O5027" s="54"/>
      <c r="P5027"/>
      <c r="Q5027" s="25"/>
      <c r="R5027" s="54"/>
      <c r="W5027" s="23"/>
      <c r="X5027" s="23"/>
      <c r="Y5027" s="23"/>
      <c r="Z5027" s="43"/>
      <c r="AA5027" s="23"/>
      <c r="AB5027" s="23"/>
      <c r="AC5027" s="23"/>
      <c r="AD5027" s="23"/>
      <c r="AE5027" s="23"/>
      <c r="AF5027" s="23"/>
      <c r="AG5027" s="23"/>
      <c r="AH5027" s="23"/>
    </row>
    <row r="5028" spans="1:35">
      <c r="A5028" s="23"/>
      <c r="B5028" s="42"/>
      <c r="G5028" s="43"/>
      <c r="H5028" s="44"/>
      <c r="L5028" s="42"/>
      <c r="M5028" s="42"/>
      <c r="N5028" s="25"/>
      <c r="O5028" s="54"/>
      <c r="P5028"/>
      <c r="Q5028" s="25"/>
      <c r="R5028" s="54"/>
      <c r="W5028" s="23"/>
      <c r="X5028" s="23"/>
      <c r="Y5028" s="23"/>
      <c r="Z5028" s="43"/>
      <c r="AA5028" s="23"/>
      <c r="AB5028" s="23"/>
      <c r="AC5028" s="23"/>
      <c r="AD5028" s="23"/>
      <c r="AE5028" s="23"/>
      <c r="AF5028" s="23"/>
      <c r="AG5028" s="23"/>
      <c r="AH5028" s="23"/>
    </row>
    <row r="5029" spans="1:35">
      <c r="A5029" s="23"/>
      <c r="B5029" s="42"/>
      <c r="G5029" s="43"/>
      <c r="H5029" s="44"/>
      <c r="L5029" s="42"/>
      <c r="M5029" s="42"/>
      <c r="N5029" s="25"/>
      <c r="O5029" s="54"/>
      <c r="P5029"/>
      <c r="Q5029" s="25"/>
      <c r="R5029" s="54"/>
      <c r="W5029" s="23"/>
      <c r="X5029" s="23"/>
      <c r="Y5029" s="23"/>
      <c r="Z5029" s="43"/>
      <c r="AA5029" s="23"/>
      <c r="AB5029" s="23"/>
      <c r="AC5029" s="23"/>
      <c r="AD5029" s="23"/>
      <c r="AE5029" s="23"/>
      <c r="AF5029" s="23"/>
      <c r="AG5029" s="23"/>
      <c r="AH5029" s="23"/>
    </row>
    <row r="5030" spans="1:35">
      <c r="A5030" s="49"/>
      <c r="B5030" s="42"/>
      <c r="C5030" s="49"/>
      <c r="E5030" s="49"/>
      <c r="G5030" s="43"/>
      <c r="H5030" s="44"/>
      <c r="L5030" s="42"/>
      <c r="M5030" s="42"/>
      <c r="N5030" s="25"/>
      <c r="O5030" s="54"/>
      <c r="P5030"/>
      <c r="Q5030" s="25"/>
      <c r="R5030" s="54"/>
      <c r="W5030" s="23"/>
      <c r="X5030" s="23"/>
      <c r="Y5030" s="23"/>
      <c r="Z5030" s="43"/>
      <c r="AA5030" s="23"/>
      <c r="AB5030" s="23"/>
      <c r="AC5030" s="23"/>
      <c r="AD5030" s="23"/>
      <c r="AE5030" s="23"/>
      <c r="AF5030" s="23"/>
      <c r="AG5030" s="23"/>
      <c r="AH5030" s="23"/>
      <c r="AI5030" s="49"/>
    </row>
    <row r="5031" spans="1:35">
      <c r="A5031" s="49"/>
      <c r="B5031" s="42"/>
      <c r="C5031" s="49"/>
      <c r="E5031" s="49"/>
      <c r="G5031" s="43"/>
      <c r="H5031" s="44"/>
      <c r="L5031" s="42"/>
      <c r="M5031" s="42"/>
      <c r="N5031" s="25"/>
      <c r="O5031" s="54"/>
      <c r="P5031"/>
      <c r="Q5031" s="25"/>
      <c r="R5031" s="54"/>
      <c r="W5031" s="23"/>
      <c r="X5031" s="23"/>
      <c r="Y5031" s="23"/>
      <c r="Z5031" s="43"/>
      <c r="AA5031" s="23"/>
      <c r="AB5031" s="23"/>
      <c r="AC5031" s="23"/>
      <c r="AD5031" s="23"/>
      <c r="AE5031" s="23"/>
      <c r="AF5031" s="23"/>
      <c r="AG5031" s="23"/>
      <c r="AH5031" s="23"/>
      <c r="AI5031" s="49"/>
    </row>
    <row r="5032" spans="1:35">
      <c r="A5032" s="49"/>
      <c r="B5032" s="42"/>
      <c r="C5032" s="49"/>
      <c r="E5032" s="49"/>
      <c r="G5032" s="43"/>
      <c r="H5032" s="44"/>
      <c r="L5032" s="42"/>
      <c r="M5032" s="42"/>
      <c r="N5032" s="25"/>
      <c r="O5032" s="54"/>
      <c r="P5032"/>
      <c r="Q5032" s="25"/>
      <c r="R5032" s="54"/>
      <c r="W5032" s="23"/>
      <c r="X5032" s="23"/>
      <c r="Y5032" s="23"/>
      <c r="Z5032" s="43"/>
      <c r="AA5032" s="23"/>
      <c r="AB5032" s="23"/>
      <c r="AC5032" s="23"/>
      <c r="AD5032" s="23"/>
      <c r="AE5032" s="23"/>
      <c r="AF5032" s="23"/>
      <c r="AG5032" s="23"/>
      <c r="AH5032" s="23"/>
      <c r="AI5032" s="49"/>
    </row>
    <row r="5033" spans="1:35">
      <c r="A5033" s="23"/>
      <c r="B5033" s="42"/>
      <c r="G5033" s="43"/>
      <c r="H5033" s="44"/>
      <c r="L5033" s="42"/>
      <c r="M5033" s="42"/>
      <c r="N5033" s="25"/>
      <c r="O5033" s="54"/>
      <c r="P5033"/>
      <c r="Q5033" s="25"/>
      <c r="R5033" s="54"/>
      <c r="W5033" s="23"/>
      <c r="X5033" s="23"/>
      <c r="Y5033" s="23"/>
      <c r="Z5033" s="43"/>
      <c r="AA5033" s="23"/>
      <c r="AB5033" s="23"/>
      <c r="AC5033" s="23"/>
      <c r="AD5033" s="23"/>
      <c r="AE5033" s="23"/>
      <c r="AF5033" s="23"/>
      <c r="AG5033" s="23"/>
      <c r="AH5033" s="23"/>
    </row>
    <row r="5034" spans="1:35">
      <c r="A5034" s="23"/>
      <c r="B5034" s="42"/>
      <c r="G5034" s="43"/>
      <c r="H5034" s="44"/>
      <c r="L5034" s="42"/>
      <c r="M5034" s="42"/>
      <c r="N5034" s="25"/>
      <c r="O5034" s="54"/>
      <c r="P5034"/>
      <c r="Q5034" s="25"/>
      <c r="R5034" s="54"/>
      <c r="W5034" s="23"/>
      <c r="X5034" s="23"/>
      <c r="Y5034" s="23"/>
      <c r="Z5034" s="43"/>
      <c r="AA5034" s="23"/>
      <c r="AB5034" s="23"/>
      <c r="AC5034" s="23"/>
      <c r="AD5034" s="23"/>
      <c r="AE5034" s="23"/>
      <c r="AF5034" s="23"/>
      <c r="AG5034" s="23"/>
      <c r="AH5034" s="23"/>
    </row>
    <row r="5035" spans="1:35">
      <c r="A5035" s="23"/>
      <c r="B5035" s="42"/>
      <c r="G5035" s="43"/>
      <c r="H5035" s="44"/>
      <c r="L5035" s="42"/>
      <c r="M5035" s="42"/>
      <c r="N5035" s="25"/>
      <c r="O5035" s="54"/>
      <c r="P5035"/>
      <c r="Q5035" s="25"/>
      <c r="R5035" s="54"/>
      <c r="W5035" s="23"/>
      <c r="X5035" s="23"/>
      <c r="Y5035" s="23"/>
      <c r="Z5035" s="43"/>
      <c r="AA5035" s="23"/>
      <c r="AB5035" s="23"/>
      <c r="AC5035" s="23"/>
      <c r="AD5035" s="23"/>
      <c r="AE5035" s="23"/>
      <c r="AF5035" s="23"/>
      <c r="AG5035" s="23"/>
      <c r="AH5035" s="23"/>
    </row>
    <row r="5036" spans="1:35">
      <c r="A5036" s="49"/>
      <c r="B5036" s="42"/>
      <c r="C5036" s="49"/>
      <c r="E5036" s="49"/>
      <c r="G5036" s="43"/>
      <c r="H5036" s="44"/>
      <c r="L5036" s="42"/>
      <c r="M5036" s="42"/>
      <c r="N5036" s="25"/>
      <c r="O5036" s="54"/>
      <c r="P5036"/>
      <c r="Q5036" s="25"/>
      <c r="R5036" s="54"/>
      <c r="W5036" s="23"/>
      <c r="X5036" s="23"/>
      <c r="Y5036" s="23"/>
      <c r="Z5036" s="43"/>
      <c r="AA5036" s="23"/>
      <c r="AB5036" s="23"/>
      <c r="AC5036" s="23"/>
      <c r="AD5036" s="23"/>
      <c r="AE5036" s="23"/>
      <c r="AF5036" s="23"/>
      <c r="AG5036" s="23"/>
      <c r="AH5036" s="23"/>
      <c r="AI5036" s="49"/>
    </row>
    <row r="5037" spans="1:35">
      <c r="A5037" s="49"/>
      <c r="B5037" s="42"/>
      <c r="C5037" s="49"/>
      <c r="E5037" s="49"/>
      <c r="G5037" s="43"/>
      <c r="H5037" s="44"/>
      <c r="L5037" s="42"/>
      <c r="M5037" s="42"/>
      <c r="N5037" s="25"/>
      <c r="O5037" s="54"/>
      <c r="P5037"/>
      <c r="Q5037" s="25"/>
      <c r="R5037" s="54"/>
      <c r="W5037" s="23"/>
      <c r="X5037" s="23"/>
      <c r="Y5037" s="23"/>
      <c r="Z5037" s="43"/>
      <c r="AA5037" s="23"/>
      <c r="AB5037" s="23"/>
      <c r="AC5037" s="23"/>
      <c r="AD5037" s="23"/>
      <c r="AE5037" s="23"/>
      <c r="AF5037" s="23"/>
      <c r="AG5037" s="23"/>
      <c r="AH5037" s="23"/>
      <c r="AI5037" s="49"/>
    </row>
    <row r="5038" spans="1:35">
      <c r="A5038" s="49"/>
      <c r="B5038" s="42"/>
      <c r="C5038" s="49"/>
      <c r="E5038" s="49"/>
      <c r="G5038" s="43"/>
      <c r="H5038" s="44"/>
      <c r="L5038" s="42"/>
      <c r="M5038" s="42"/>
      <c r="N5038" s="25"/>
      <c r="O5038" s="54"/>
      <c r="P5038"/>
      <c r="Q5038" s="25"/>
      <c r="R5038" s="54"/>
      <c r="W5038" s="23"/>
      <c r="X5038" s="23"/>
      <c r="Y5038" s="23"/>
      <c r="Z5038" s="43"/>
      <c r="AA5038" s="23"/>
      <c r="AB5038" s="23"/>
      <c r="AC5038" s="23"/>
      <c r="AD5038" s="23"/>
      <c r="AE5038" s="23"/>
      <c r="AF5038" s="23"/>
      <c r="AG5038" s="23"/>
      <c r="AH5038" s="23"/>
      <c r="AI5038" s="49"/>
    </row>
    <row r="5039" spans="1:35">
      <c r="A5039" s="49"/>
      <c r="B5039" s="42"/>
      <c r="C5039" s="49"/>
      <c r="E5039" s="49"/>
      <c r="G5039" s="43"/>
      <c r="H5039" s="44"/>
      <c r="L5039" s="42"/>
      <c r="M5039" s="42"/>
      <c r="N5039" s="25"/>
      <c r="O5039" s="54"/>
      <c r="P5039"/>
      <c r="Q5039" s="25"/>
      <c r="R5039" s="54"/>
      <c r="W5039" s="23"/>
      <c r="X5039" s="23"/>
      <c r="Y5039" s="23"/>
      <c r="Z5039" s="43"/>
      <c r="AA5039" s="23"/>
      <c r="AB5039" s="23"/>
      <c r="AC5039" s="23"/>
      <c r="AD5039" s="23"/>
      <c r="AE5039" s="23"/>
      <c r="AF5039" s="23"/>
      <c r="AG5039" s="23"/>
      <c r="AH5039" s="23"/>
      <c r="AI5039" s="49"/>
    </row>
    <row r="5040" spans="1:35">
      <c r="A5040" s="49"/>
      <c r="B5040" s="42"/>
      <c r="C5040" s="49"/>
      <c r="E5040" s="49"/>
      <c r="G5040" s="43"/>
      <c r="H5040" s="44"/>
      <c r="L5040" s="42"/>
      <c r="M5040" s="42"/>
      <c r="N5040" s="25"/>
      <c r="O5040" s="54"/>
      <c r="P5040"/>
      <c r="Q5040" s="25"/>
      <c r="R5040" s="54"/>
      <c r="W5040" s="23"/>
      <c r="X5040" s="23"/>
      <c r="Y5040" s="23"/>
      <c r="Z5040" s="43"/>
      <c r="AA5040" s="23"/>
      <c r="AB5040" s="23"/>
      <c r="AC5040" s="23"/>
      <c r="AD5040" s="23"/>
      <c r="AE5040" s="23"/>
      <c r="AF5040" s="23"/>
      <c r="AG5040" s="23"/>
      <c r="AH5040" s="23"/>
      <c r="AI5040" s="49"/>
    </row>
    <row r="5041" spans="1:35">
      <c r="A5041" s="49"/>
      <c r="B5041" s="42"/>
      <c r="C5041" s="49"/>
      <c r="E5041" s="49"/>
      <c r="G5041" s="43"/>
      <c r="H5041" s="44"/>
      <c r="L5041" s="42"/>
      <c r="M5041" s="42"/>
      <c r="N5041" s="25"/>
      <c r="O5041" s="54"/>
      <c r="P5041"/>
      <c r="Q5041" s="25"/>
      <c r="R5041" s="54"/>
      <c r="W5041" s="23"/>
      <c r="X5041" s="23"/>
      <c r="Y5041" s="23"/>
      <c r="Z5041" s="43"/>
      <c r="AA5041" s="23"/>
      <c r="AB5041" s="23"/>
      <c r="AC5041" s="23"/>
      <c r="AD5041" s="23"/>
      <c r="AE5041" s="23"/>
      <c r="AF5041" s="23"/>
      <c r="AG5041" s="23"/>
      <c r="AH5041" s="23"/>
      <c r="AI5041" s="49"/>
    </row>
    <row r="5042" spans="1:35">
      <c r="A5042" s="49"/>
      <c r="B5042" s="42"/>
      <c r="C5042" s="49"/>
      <c r="E5042" s="49"/>
      <c r="G5042" s="43"/>
      <c r="H5042" s="44"/>
      <c r="L5042" s="42"/>
      <c r="M5042" s="42"/>
      <c r="N5042" s="25"/>
      <c r="O5042" s="54"/>
      <c r="P5042"/>
      <c r="Q5042" s="25"/>
      <c r="R5042" s="54"/>
      <c r="W5042" s="23"/>
      <c r="X5042" s="23"/>
      <c r="Y5042" s="23"/>
      <c r="Z5042" s="43"/>
      <c r="AA5042" s="23"/>
      <c r="AB5042" s="23"/>
      <c r="AC5042" s="23"/>
      <c r="AD5042" s="23"/>
      <c r="AE5042" s="23"/>
      <c r="AF5042" s="23"/>
      <c r="AG5042" s="23"/>
      <c r="AH5042" s="23"/>
      <c r="AI5042" s="49"/>
    </row>
    <row r="5043" spans="1:35">
      <c r="A5043" s="49"/>
      <c r="B5043" s="42"/>
      <c r="C5043" s="49"/>
      <c r="E5043" s="49"/>
      <c r="G5043" s="43"/>
      <c r="H5043" s="44"/>
      <c r="L5043" s="42"/>
      <c r="M5043" s="42"/>
      <c r="N5043" s="25"/>
      <c r="O5043" s="54"/>
      <c r="P5043"/>
      <c r="Q5043" s="25"/>
      <c r="R5043" s="54"/>
      <c r="W5043" s="23"/>
      <c r="X5043" s="23"/>
      <c r="Y5043" s="23"/>
      <c r="Z5043" s="43"/>
      <c r="AA5043" s="23"/>
      <c r="AB5043" s="23"/>
      <c r="AC5043" s="23"/>
      <c r="AD5043" s="23"/>
      <c r="AE5043" s="23"/>
      <c r="AF5043" s="23"/>
      <c r="AG5043" s="23"/>
      <c r="AH5043" s="23"/>
      <c r="AI5043" s="49"/>
    </row>
    <row r="5044" spans="1:35">
      <c r="A5044" s="49"/>
      <c r="B5044" s="42"/>
      <c r="C5044" s="49"/>
      <c r="E5044" s="49"/>
      <c r="G5044" s="43"/>
      <c r="H5044" s="44"/>
      <c r="L5044" s="42"/>
      <c r="M5044" s="42"/>
      <c r="N5044" s="25"/>
      <c r="O5044" s="54"/>
      <c r="P5044"/>
      <c r="Q5044" s="25"/>
      <c r="R5044" s="54"/>
      <c r="W5044" s="23"/>
      <c r="X5044" s="23"/>
      <c r="Y5044" s="23"/>
      <c r="Z5044" s="43"/>
      <c r="AA5044" s="23"/>
      <c r="AB5044" s="23"/>
      <c r="AC5044" s="23"/>
      <c r="AD5044" s="23"/>
      <c r="AE5044" s="23"/>
      <c r="AF5044" s="23"/>
      <c r="AG5044" s="23"/>
      <c r="AH5044" s="23"/>
      <c r="AI5044" s="49"/>
    </row>
    <row r="5045" spans="1:35">
      <c r="A5045" s="49"/>
      <c r="B5045" s="42"/>
      <c r="C5045" s="49"/>
      <c r="E5045" s="49"/>
      <c r="G5045" s="43"/>
      <c r="H5045" s="44"/>
      <c r="L5045" s="42"/>
      <c r="M5045" s="42"/>
      <c r="N5045" s="25"/>
      <c r="O5045" s="54"/>
      <c r="P5045"/>
      <c r="Q5045" s="25"/>
      <c r="R5045" s="54"/>
      <c r="W5045" s="23"/>
      <c r="X5045" s="23"/>
      <c r="Y5045" s="23"/>
      <c r="Z5045" s="43"/>
      <c r="AA5045" s="23"/>
      <c r="AB5045" s="23"/>
      <c r="AC5045" s="23"/>
      <c r="AD5045" s="23"/>
      <c r="AE5045" s="23"/>
      <c r="AF5045" s="23"/>
      <c r="AG5045" s="23"/>
      <c r="AH5045" s="23"/>
      <c r="AI5045" s="49"/>
    </row>
    <row r="5046" spans="1:35">
      <c r="A5046" s="49"/>
      <c r="B5046" s="42"/>
      <c r="C5046" s="49"/>
      <c r="E5046" s="49"/>
      <c r="G5046" s="43"/>
      <c r="H5046" s="44"/>
      <c r="L5046" s="42"/>
      <c r="M5046" s="42"/>
      <c r="N5046" s="25"/>
      <c r="O5046" s="54"/>
      <c r="P5046"/>
      <c r="Q5046" s="25"/>
      <c r="R5046" s="54"/>
      <c r="W5046" s="23"/>
      <c r="X5046" s="23"/>
      <c r="Y5046" s="23"/>
      <c r="Z5046" s="43"/>
      <c r="AA5046" s="23"/>
      <c r="AB5046" s="23"/>
      <c r="AC5046" s="23"/>
      <c r="AD5046" s="23"/>
      <c r="AE5046" s="23"/>
      <c r="AF5046" s="23"/>
      <c r="AG5046" s="23"/>
      <c r="AH5046" s="23"/>
      <c r="AI5046" s="49"/>
    </row>
    <row r="5047" spans="1:35">
      <c r="A5047" s="49"/>
      <c r="B5047" s="42"/>
      <c r="C5047" s="49"/>
      <c r="E5047" s="49"/>
      <c r="G5047" s="43"/>
      <c r="H5047" s="44"/>
      <c r="L5047" s="42"/>
      <c r="M5047" s="42"/>
      <c r="N5047" s="25"/>
      <c r="O5047" s="54"/>
      <c r="P5047"/>
      <c r="Q5047" s="25"/>
      <c r="R5047" s="54"/>
      <c r="W5047" s="23"/>
      <c r="X5047" s="23"/>
      <c r="Y5047" s="23"/>
      <c r="Z5047" s="43"/>
      <c r="AA5047" s="23"/>
      <c r="AB5047" s="23"/>
      <c r="AC5047" s="23"/>
      <c r="AD5047" s="23"/>
      <c r="AE5047" s="23"/>
      <c r="AF5047" s="23"/>
      <c r="AG5047" s="23"/>
      <c r="AH5047" s="23"/>
      <c r="AI5047" s="49"/>
    </row>
    <row r="5048" spans="1:35">
      <c r="A5048" s="49"/>
      <c r="B5048" s="42"/>
      <c r="C5048" s="49"/>
      <c r="E5048" s="49"/>
      <c r="G5048" s="43"/>
      <c r="H5048" s="44"/>
      <c r="L5048" s="42"/>
      <c r="M5048" s="42"/>
      <c r="N5048" s="25"/>
      <c r="O5048" s="54"/>
      <c r="P5048"/>
      <c r="Q5048" s="25"/>
      <c r="R5048" s="54"/>
      <c r="W5048" s="23"/>
      <c r="X5048" s="23"/>
      <c r="Y5048" s="23"/>
      <c r="Z5048" s="43"/>
      <c r="AA5048" s="23"/>
      <c r="AB5048" s="23"/>
      <c r="AC5048" s="23"/>
      <c r="AD5048" s="23"/>
      <c r="AE5048" s="23"/>
      <c r="AF5048" s="23"/>
      <c r="AG5048" s="23"/>
      <c r="AH5048" s="23"/>
      <c r="AI5048" s="49"/>
    </row>
    <row r="5049" spans="1:35">
      <c r="A5049" s="49"/>
      <c r="B5049" s="42"/>
      <c r="C5049" s="49"/>
      <c r="E5049" s="49"/>
      <c r="G5049" s="43"/>
      <c r="H5049" s="44"/>
      <c r="L5049" s="42"/>
      <c r="M5049" s="42"/>
      <c r="N5049" s="25"/>
      <c r="O5049" s="54"/>
      <c r="P5049"/>
      <c r="Q5049" s="25"/>
      <c r="R5049" s="54"/>
      <c r="W5049" s="23"/>
      <c r="X5049" s="23"/>
      <c r="Y5049" s="23"/>
      <c r="Z5049" s="43"/>
      <c r="AA5049" s="23"/>
      <c r="AB5049" s="23"/>
      <c r="AC5049" s="23"/>
      <c r="AD5049" s="23"/>
      <c r="AE5049" s="23"/>
      <c r="AF5049" s="23"/>
      <c r="AG5049" s="23"/>
      <c r="AH5049" s="23"/>
      <c r="AI5049" s="49"/>
    </row>
    <row r="5050" spans="1:35">
      <c r="A5050" s="49"/>
      <c r="B5050" s="42"/>
      <c r="C5050" s="49"/>
      <c r="E5050" s="49"/>
      <c r="G5050" s="43"/>
      <c r="H5050" s="44"/>
      <c r="L5050" s="42"/>
      <c r="M5050" s="42"/>
      <c r="N5050" s="25"/>
      <c r="O5050" s="54"/>
      <c r="P5050"/>
      <c r="Q5050" s="25"/>
      <c r="R5050" s="54"/>
      <c r="W5050" s="23"/>
      <c r="X5050" s="23"/>
      <c r="Y5050" s="23"/>
      <c r="Z5050" s="43"/>
      <c r="AA5050" s="23"/>
      <c r="AB5050" s="23"/>
      <c r="AC5050" s="23"/>
      <c r="AD5050" s="23"/>
      <c r="AE5050" s="23"/>
      <c r="AF5050" s="23"/>
      <c r="AG5050" s="23"/>
      <c r="AH5050" s="23"/>
      <c r="AI5050" s="49"/>
    </row>
    <row r="5051" spans="1:35">
      <c r="A5051" s="49"/>
      <c r="B5051" s="42"/>
      <c r="C5051" s="49"/>
      <c r="E5051" s="49"/>
      <c r="G5051" s="43"/>
      <c r="H5051" s="44"/>
      <c r="L5051" s="42"/>
      <c r="M5051" s="42"/>
      <c r="N5051" s="25"/>
      <c r="O5051" s="54"/>
      <c r="P5051"/>
      <c r="Q5051" s="25"/>
      <c r="R5051" s="54"/>
      <c r="W5051" s="23"/>
      <c r="X5051" s="23"/>
      <c r="Y5051" s="23"/>
      <c r="Z5051" s="43"/>
      <c r="AA5051" s="23"/>
      <c r="AB5051" s="23"/>
      <c r="AC5051" s="23"/>
      <c r="AD5051" s="23"/>
      <c r="AE5051" s="23"/>
      <c r="AF5051" s="23"/>
      <c r="AG5051" s="23"/>
      <c r="AH5051" s="23"/>
      <c r="AI5051" s="49"/>
    </row>
    <row r="5052" spans="1:35">
      <c r="A5052" s="49"/>
      <c r="B5052" s="42"/>
      <c r="C5052" s="49"/>
      <c r="E5052" s="49"/>
      <c r="G5052" s="43"/>
      <c r="H5052" s="44"/>
      <c r="L5052" s="42"/>
      <c r="M5052" s="42"/>
      <c r="N5052" s="25"/>
      <c r="O5052" s="54"/>
      <c r="P5052"/>
      <c r="Q5052" s="25"/>
      <c r="R5052" s="54"/>
      <c r="W5052" s="23"/>
      <c r="X5052" s="23"/>
      <c r="Y5052" s="23"/>
      <c r="Z5052" s="43"/>
      <c r="AA5052" s="23"/>
      <c r="AB5052" s="23"/>
      <c r="AC5052" s="23"/>
      <c r="AD5052" s="23"/>
      <c r="AE5052" s="23"/>
      <c r="AF5052" s="23"/>
      <c r="AG5052" s="23"/>
      <c r="AH5052" s="23"/>
      <c r="AI5052" s="49"/>
    </row>
    <row r="5053" spans="1:35">
      <c r="A5053" s="49"/>
      <c r="B5053" s="42"/>
      <c r="C5053" s="49"/>
      <c r="E5053" s="49"/>
      <c r="G5053" s="43"/>
      <c r="H5053" s="44"/>
      <c r="L5053" s="42"/>
      <c r="M5053" s="42"/>
      <c r="N5053" s="25"/>
      <c r="O5053" s="54"/>
      <c r="P5053"/>
      <c r="Q5053" s="25"/>
      <c r="R5053" s="54"/>
      <c r="W5053" s="23"/>
      <c r="X5053" s="23"/>
      <c r="Y5053" s="23"/>
      <c r="Z5053" s="43"/>
      <c r="AA5053" s="23"/>
      <c r="AB5053" s="23"/>
      <c r="AC5053" s="23"/>
      <c r="AD5053" s="23"/>
      <c r="AE5053" s="23"/>
      <c r="AF5053" s="23"/>
      <c r="AG5053" s="23"/>
      <c r="AH5053" s="23"/>
      <c r="AI5053" s="49"/>
    </row>
    <row r="5054" spans="1:35">
      <c r="A5054" s="49"/>
      <c r="B5054" s="42"/>
      <c r="C5054" s="49"/>
      <c r="E5054" s="49"/>
      <c r="G5054" s="43"/>
      <c r="H5054" s="44"/>
      <c r="L5054" s="42"/>
      <c r="M5054" s="42"/>
      <c r="N5054" s="25"/>
      <c r="O5054" s="54"/>
      <c r="P5054"/>
      <c r="Q5054" s="25"/>
      <c r="R5054" s="54"/>
      <c r="W5054" s="23"/>
      <c r="X5054" s="23"/>
      <c r="Y5054" s="23"/>
      <c r="Z5054" s="43"/>
      <c r="AA5054" s="23"/>
      <c r="AB5054" s="23"/>
      <c r="AC5054" s="23"/>
      <c r="AD5054" s="23"/>
      <c r="AE5054" s="23"/>
      <c r="AF5054" s="23"/>
      <c r="AG5054" s="23"/>
      <c r="AH5054" s="23"/>
      <c r="AI5054" s="49"/>
    </row>
    <row r="5055" spans="1:35">
      <c r="A5055" s="49"/>
      <c r="B5055" s="42"/>
      <c r="C5055" s="49"/>
      <c r="E5055" s="49"/>
      <c r="G5055" s="43"/>
      <c r="H5055" s="44"/>
      <c r="L5055" s="42"/>
      <c r="M5055" s="42"/>
      <c r="N5055" s="25"/>
      <c r="O5055" s="54"/>
      <c r="P5055"/>
      <c r="Q5055" s="25"/>
      <c r="R5055" s="54"/>
      <c r="W5055" s="23"/>
      <c r="X5055" s="23"/>
      <c r="Y5055" s="23"/>
      <c r="Z5055" s="43"/>
      <c r="AA5055" s="23"/>
      <c r="AB5055" s="23"/>
      <c r="AC5055" s="23"/>
      <c r="AD5055" s="23"/>
      <c r="AE5055" s="23"/>
      <c r="AF5055" s="23"/>
      <c r="AG5055" s="23"/>
      <c r="AH5055" s="23"/>
      <c r="AI5055" s="49"/>
    </row>
    <row r="5056" spans="1:35">
      <c r="A5056" s="23"/>
      <c r="B5056" s="42"/>
      <c r="G5056" s="43"/>
      <c r="H5056" s="44"/>
      <c r="L5056" s="42"/>
      <c r="M5056" s="42"/>
      <c r="N5056" s="25"/>
      <c r="O5056" s="54"/>
      <c r="P5056"/>
      <c r="Q5056" s="25"/>
      <c r="R5056" s="54"/>
      <c r="W5056" s="23"/>
      <c r="X5056" s="23"/>
      <c r="Y5056" s="23"/>
      <c r="Z5056" s="43"/>
      <c r="AA5056" s="23"/>
      <c r="AB5056" s="23"/>
      <c r="AC5056" s="23"/>
      <c r="AD5056" s="23"/>
      <c r="AE5056" s="23"/>
      <c r="AF5056" s="23"/>
      <c r="AG5056" s="23"/>
      <c r="AH5056" s="23"/>
    </row>
    <row r="5057" spans="1:35">
      <c r="A5057" s="23"/>
      <c r="B5057" s="42"/>
      <c r="G5057" s="43"/>
      <c r="H5057" s="44"/>
      <c r="L5057" s="42"/>
      <c r="M5057" s="42"/>
      <c r="N5057" s="25"/>
      <c r="O5057" s="54"/>
      <c r="P5057"/>
      <c r="Q5057" s="25"/>
      <c r="R5057" s="54"/>
      <c r="W5057" s="23"/>
      <c r="X5057" s="23"/>
      <c r="Y5057" s="23"/>
      <c r="Z5057" s="43"/>
      <c r="AA5057" s="23"/>
      <c r="AB5057" s="23"/>
      <c r="AC5057" s="23"/>
      <c r="AD5057" s="23"/>
      <c r="AE5057" s="23"/>
      <c r="AF5057" s="23"/>
      <c r="AG5057" s="23"/>
      <c r="AH5057" s="23"/>
    </row>
    <row r="5058" spans="1:35">
      <c r="A5058" s="49"/>
      <c r="B5058" s="42"/>
      <c r="C5058" s="49"/>
      <c r="E5058" s="49"/>
      <c r="G5058" s="43"/>
      <c r="H5058" s="44"/>
      <c r="L5058" s="42"/>
      <c r="M5058" s="42"/>
      <c r="N5058" s="25"/>
      <c r="O5058" s="54"/>
      <c r="P5058"/>
      <c r="Q5058" s="25"/>
      <c r="R5058" s="54"/>
      <c r="W5058" s="23"/>
      <c r="X5058" s="23"/>
      <c r="Y5058" s="23"/>
      <c r="Z5058" s="43"/>
      <c r="AA5058" s="23"/>
      <c r="AB5058" s="23"/>
      <c r="AC5058" s="23"/>
      <c r="AD5058" s="23"/>
      <c r="AE5058" s="23"/>
      <c r="AF5058" s="23"/>
      <c r="AG5058" s="23"/>
      <c r="AH5058" s="23"/>
      <c r="AI5058" s="49"/>
    </row>
    <row r="5059" spans="1:35">
      <c r="A5059" s="49"/>
      <c r="B5059" s="42"/>
      <c r="C5059" s="49"/>
      <c r="E5059" s="49"/>
      <c r="G5059" s="43"/>
      <c r="H5059" s="44"/>
      <c r="L5059" s="42"/>
      <c r="M5059" s="42"/>
      <c r="N5059" s="25"/>
      <c r="O5059" s="54"/>
      <c r="P5059"/>
      <c r="Q5059" s="25"/>
      <c r="R5059" s="54"/>
      <c r="W5059" s="23"/>
      <c r="X5059" s="23"/>
      <c r="Y5059" s="23"/>
      <c r="Z5059" s="43"/>
      <c r="AA5059" s="23"/>
      <c r="AB5059" s="23"/>
      <c r="AC5059" s="23"/>
      <c r="AD5059" s="23"/>
      <c r="AE5059" s="23"/>
      <c r="AF5059" s="23"/>
      <c r="AG5059" s="23"/>
      <c r="AH5059" s="23"/>
      <c r="AI5059" s="49"/>
    </row>
    <row r="5060" spans="1:35">
      <c r="A5060" s="49"/>
      <c r="B5060" s="42"/>
      <c r="C5060" s="49"/>
      <c r="E5060" s="49"/>
      <c r="G5060" s="43"/>
      <c r="H5060" s="44"/>
      <c r="L5060" s="42"/>
      <c r="M5060" s="42"/>
      <c r="N5060" s="25"/>
      <c r="O5060" s="54"/>
      <c r="P5060"/>
      <c r="Q5060" s="25"/>
      <c r="R5060" s="54"/>
      <c r="W5060" s="23"/>
      <c r="X5060" s="23"/>
      <c r="Y5060" s="23"/>
      <c r="Z5060" s="43"/>
      <c r="AA5060" s="23"/>
      <c r="AB5060" s="23"/>
      <c r="AC5060" s="23"/>
      <c r="AD5060" s="23"/>
      <c r="AE5060" s="23"/>
      <c r="AF5060" s="23"/>
      <c r="AG5060" s="23"/>
      <c r="AH5060" s="23"/>
      <c r="AI5060" s="49"/>
    </row>
    <row r="5061" spans="1:35">
      <c r="A5061" s="49"/>
      <c r="B5061" s="42"/>
      <c r="C5061" s="49"/>
      <c r="E5061" s="49"/>
      <c r="G5061" s="43"/>
      <c r="H5061" s="44"/>
      <c r="L5061" s="42"/>
      <c r="M5061" s="42"/>
      <c r="N5061" s="25"/>
      <c r="O5061" s="54"/>
      <c r="P5061"/>
      <c r="Q5061" s="25"/>
      <c r="R5061" s="54"/>
      <c r="W5061" s="23"/>
      <c r="X5061" s="23"/>
      <c r="Y5061" s="23"/>
      <c r="Z5061" s="43"/>
      <c r="AA5061" s="23"/>
      <c r="AB5061" s="23"/>
      <c r="AC5061" s="23"/>
      <c r="AD5061" s="23"/>
      <c r="AE5061" s="23"/>
      <c r="AF5061" s="23"/>
      <c r="AG5061" s="23"/>
      <c r="AH5061" s="23"/>
      <c r="AI5061" s="49"/>
    </row>
    <row r="5062" spans="1:35">
      <c r="A5062" s="49"/>
      <c r="B5062" s="42"/>
      <c r="C5062" s="49"/>
      <c r="E5062" s="49"/>
      <c r="G5062" s="43"/>
      <c r="H5062" s="44"/>
      <c r="L5062" s="42"/>
      <c r="M5062" s="42"/>
      <c r="N5062" s="25"/>
      <c r="O5062" s="54"/>
      <c r="P5062"/>
      <c r="Q5062" s="25"/>
      <c r="R5062" s="54"/>
      <c r="W5062" s="23"/>
      <c r="X5062" s="23"/>
      <c r="Y5062" s="23"/>
      <c r="Z5062" s="43"/>
      <c r="AA5062" s="23"/>
      <c r="AB5062" s="23"/>
      <c r="AC5062" s="23"/>
      <c r="AD5062" s="23"/>
      <c r="AE5062" s="23"/>
      <c r="AF5062" s="23"/>
      <c r="AG5062" s="23"/>
      <c r="AH5062" s="23"/>
      <c r="AI5062" s="49"/>
    </row>
    <row r="5063" spans="1:35">
      <c r="A5063" s="49"/>
      <c r="B5063" s="42"/>
      <c r="C5063" s="49"/>
      <c r="E5063" s="49"/>
      <c r="G5063" s="43"/>
      <c r="H5063" s="44"/>
      <c r="L5063" s="42"/>
      <c r="M5063" s="42"/>
      <c r="N5063" s="25"/>
      <c r="O5063" s="54"/>
      <c r="P5063"/>
      <c r="Q5063" s="25"/>
      <c r="R5063" s="54"/>
      <c r="W5063" s="23"/>
      <c r="X5063" s="23"/>
      <c r="Y5063" s="23"/>
      <c r="Z5063" s="43"/>
      <c r="AA5063" s="23"/>
      <c r="AB5063" s="23"/>
      <c r="AC5063" s="23"/>
      <c r="AD5063" s="23"/>
      <c r="AE5063" s="23"/>
      <c r="AF5063" s="23"/>
      <c r="AG5063" s="23"/>
      <c r="AH5063" s="23"/>
      <c r="AI5063" s="49"/>
    </row>
    <row r="5064" spans="1:35">
      <c r="A5064" s="23"/>
      <c r="B5064" s="42"/>
      <c r="G5064" s="43"/>
      <c r="H5064" s="44"/>
      <c r="L5064" s="42"/>
      <c r="M5064" s="42"/>
      <c r="N5064" s="25"/>
      <c r="O5064" s="54"/>
      <c r="P5064"/>
      <c r="Q5064" s="25"/>
      <c r="R5064" s="54"/>
      <c r="W5064" s="23"/>
      <c r="X5064" s="23"/>
      <c r="Y5064" s="23"/>
      <c r="Z5064" s="43"/>
      <c r="AA5064" s="23"/>
      <c r="AB5064" s="23"/>
      <c r="AC5064" s="23"/>
      <c r="AD5064" s="23"/>
      <c r="AE5064" s="23"/>
      <c r="AF5064" s="23"/>
      <c r="AG5064" s="23"/>
      <c r="AH5064" s="23"/>
    </row>
    <row r="5065" spans="1:35">
      <c r="A5065" s="23"/>
      <c r="B5065" s="42"/>
      <c r="G5065" s="43"/>
      <c r="H5065" s="44"/>
      <c r="L5065" s="42"/>
      <c r="M5065" s="42"/>
      <c r="N5065" s="25"/>
      <c r="O5065" s="54"/>
      <c r="P5065"/>
      <c r="Q5065" s="25"/>
      <c r="R5065" s="54"/>
      <c r="W5065" s="23"/>
      <c r="X5065" s="23"/>
      <c r="Y5065" s="23"/>
      <c r="Z5065" s="43"/>
      <c r="AA5065" s="23"/>
      <c r="AB5065" s="23"/>
      <c r="AC5065" s="23"/>
      <c r="AD5065" s="23"/>
      <c r="AE5065" s="23"/>
      <c r="AF5065" s="23"/>
      <c r="AG5065" s="23"/>
      <c r="AH5065" s="23"/>
    </row>
    <row r="5066" spans="1:35">
      <c r="A5066" s="23"/>
      <c r="B5066" s="42"/>
      <c r="G5066" s="43"/>
      <c r="H5066" s="44"/>
      <c r="L5066" s="42"/>
      <c r="M5066" s="42"/>
      <c r="N5066" s="25"/>
      <c r="O5066" s="54"/>
      <c r="P5066"/>
      <c r="Q5066" s="25"/>
      <c r="R5066" s="54"/>
      <c r="W5066" s="23"/>
      <c r="X5066" s="23"/>
      <c r="Y5066" s="23"/>
      <c r="Z5066" s="43"/>
      <c r="AA5066" s="23"/>
      <c r="AB5066" s="23"/>
      <c r="AC5066" s="23"/>
      <c r="AD5066" s="23"/>
      <c r="AE5066" s="23"/>
      <c r="AF5066" s="23"/>
      <c r="AG5066" s="23"/>
      <c r="AH5066" s="23"/>
    </row>
    <row r="5067" spans="1:35">
      <c r="A5067" s="23"/>
      <c r="B5067" s="42"/>
      <c r="G5067" s="43"/>
      <c r="H5067" s="44"/>
      <c r="L5067" s="42"/>
      <c r="M5067" s="42"/>
      <c r="N5067" s="25"/>
      <c r="O5067" s="54"/>
      <c r="P5067"/>
      <c r="Q5067" s="25"/>
      <c r="R5067" s="54"/>
      <c r="W5067" s="23"/>
      <c r="X5067" s="23"/>
      <c r="Y5067" s="23"/>
      <c r="Z5067" s="43"/>
      <c r="AA5067" s="23"/>
      <c r="AB5067" s="23"/>
      <c r="AC5067" s="23"/>
      <c r="AD5067" s="23"/>
      <c r="AE5067" s="23"/>
      <c r="AF5067" s="23"/>
      <c r="AG5067" s="23"/>
      <c r="AH5067" s="23"/>
    </row>
    <row r="5068" spans="1:35">
      <c r="A5068" s="23"/>
      <c r="B5068" s="42"/>
      <c r="G5068" s="43"/>
      <c r="H5068" s="44"/>
      <c r="L5068" s="42"/>
      <c r="M5068" s="42"/>
      <c r="N5068" s="25"/>
      <c r="O5068" s="54"/>
      <c r="P5068"/>
      <c r="Q5068" s="25"/>
      <c r="R5068" s="54"/>
      <c r="W5068" s="23"/>
      <c r="X5068" s="23"/>
      <c r="Y5068" s="23"/>
      <c r="Z5068" s="43"/>
      <c r="AA5068" s="23"/>
      <c r="AB5068" s="23"/>
      <c r="AC5068" s="23"/>
      <c r="AD5068" s="23"/>
      <c r="AE5068" s="23"/>
      <c r="AF5068" s="23"/>
      <c r="AG5068" s="23"/>
      <c r="AH5068" s="23"/>
    </row>
    <row r="5069" spans="1:35">
      <c r="A5069" s="49"/>
      <c r="B5069" s="42"/>
      <c r="C5069" s="49"/>
      <c r="E5069" s="49"/>
      <c r="G5069" s="43"/>
      <c r="H5069" s="44"/>
      <c r="L5069" s="42"/>
      <c r="M5069" s="42"/>
      <c r="N5069" s="25"/>
      <c r="O5069" s="54"/>
      <c r="P5069"/>
      <c r="Q5069" s="25"/>
      <c r="R5069" s="54"/>
      <c r="W5069" s="23"/>
      <c r="X5069" s="23"/>
      <c r="Y5069" s="23"/>
      <c r="Z5069" s="43"/>
      <c r="AA5069" s="23"/>
      <c r="AB5069" s="23"/>
      <c r="AC5069" s="23"/>
      <c r="AD5069" s="23"/>
      <c r="AE5069" s="23"/>
      <c r="AF5069" s="23"/>
      <c r="AG5069" s="23"/>
      <c r="AH5069" s="23"/>
      <c r="AI5069" s="49"/>
    </row>
    <row r="5070" spans="1:35">
      <c r="A5070" s="49"/>
      <c r="B5070" s="42"/>
      <c r="C5070" s="49"/>
      <c r="E5070" s="49"/>
      <c r="G5070" s="43"/>
      <c r="H5070" s="44"/>
      <c r="L5070" s="42"/>
      <c r="M5070" s="42"/>
      <c r="N5070" s="25"/>
      <c r="O5070" s="54"/>
      <c r="P5070"/>
      <c r="Q5070" s="25"/>
      <c r="R5070" s="54"/>
      <c r="W5070" s="23"/>
      <c r="X5070" s="23"/>
      <c r="Y5070" s="23"/>
      <c r="Z5070" s="43"/>
      <c r="AA5070" s="23"/>
      <c r="AB5070" s="23"/>
      <c r="AC5070" s="23"/>
      <c r="AD5070" s="23"/>
      <c r="AE5070" s="23"/>
      <c r="AF5070" s="23"/>
      <c r="AG5070" s="23"/>
      <c r="AH5070" s="23"/>
      <c r="AI5070" s="49"/>
    </row>
    <row r="5071" spans="1:35">
      <c r="A5071" s="49"/>
      <c r="B5071" s="42"/>
      <c r="C5071" s="49"/>
      <c r="E5071" s="49"/>
      <c r="G5071" s="43"/>
      <c r="H5071" s="44"/>
      <c r="L5071" s="42"/>
      <c r="M5071" s="42"/>
      <c r="N5071" s="25"/>
      <c r="O5071" s="54"/>
      <c r="P5071"/>
      <c r="Q5071" s="25"/>
      <c r="R5071" s="54"/>
      <c r="W5071" s="23"/>
      <c r="X5071" s="23"/>
      <c r="Y5071" s="23"/>
      <c r="Z5071" s="43"/>
      <c r="AA5071" s="23"/>
      <c r="AB5071" s="23"/>
      <c r="AC5071" s="23"/>
      <c r="AD5071" s="23"/>
      <c r="AE5071" s="23"/>
      <c r="AF5071" s="23"/>
      <c r="AG5071" s="23"/>
      <c r="AH5071" s="23"/>
      <c r="AI5071" s="49"/>
    </row>
    <row r="5072" spans="1:35">
      <c r="A5072" s="23"/>
      <c r="B5072" s="42"/>
      <c r="G5072" s="43"/>
      <c r="H5072" s="44"/>
      <c r="L5072" s="42"/>
      <c r="M5072" s="42"/>
      <c r="N5072" s="25"/>
      <c r="O5072" s="54"/>
      <c r="P5072"/>
      <c r="Q5072" s="25"/>
      <c r="R5072" s="54"/>
      <c r="W5072" s="23"/>
      <c r="X5072" s="23"/>
      <c r="Y5072" s="23"/>
      <c r="Z5072" s="43"/>
      <c r="AA5072" s="23"/>
      <c r="AB5072" s="23"/>
      <c r="AC5072" s="23"/>
      <c r="AD5072" s="23"/>
      <c r="AE5072" s="23"/>
      <c r="AF5072" s="23"/>
      <c r="AG5072" s="23"/>
      <c r="AH5072" s="23"/>
    </row>
    <row r="5073" spans="1:35">
      <c r="A5073" s="49"/>
      <c r="B5073" s="42"/>
      <c r="C5073" s="49"/>
      <c r="E5073" s="49"/>
      <c r="G5073" s="43"/>
      <c r="H5073" s="44"/>
      <c r="L5073" s="42"/>
      <c r="M5073" s="42"/>
      <c r="N5073" s="25"/>
      <c r="O5073" s="54"/>
      <c r="P5073"/>
      <c r="Q5073" s="25"/>
      <c r="R5073" s="54"/>
      <c r="W5073" s="23"/>
      <c r="X5073" s="23"/>
      <c r="Y5073" s="23"/>
      <c r="Z5073" s="43"/>
      <c r="AA5073" s="23"/>
      <c r="AB5073" s="23"/>
      <c r="AC5073" s="23"/>
      <c r="AD5073" s="23"/>
      <c r="AE5073" s="23"/>
      <c r="AF5073" s="23"/>
      <c r="AG5073" s="23"/>
      <c r="AH5073" s="23"/>
      <c r="AI5073" s="49"/>
    </row>
    <row r="5074" spans="1:35">
      <c r="A5074" s="23"/>
      <c r="B5074" s="42"/>
      <c r="G5074" s="43"/>
      <c r="H5074" s="44"/>
      <c r="L5074" s="42"/>
      <c r="M5074" s="42"/>
      <c r="N5074" s="25"/>
      <c r="O5074" s="54"/>
      <c r="P5074"/>
      <c r="Q5074" s="25"/>
      <c r="R5074" s="54"/>
      <c r="W5074" s="23"/>
      <c r="X5074" s="23"/>
      <c r="Y5074" s="23"/>
      <c r="Z5074" s="43"/>
      <c r="AA5074" s="23"/>
      <c r="AB5074" s="23"/>
      <c r="AC5074" s="23"/>
      <c r="AD5074" s="23"/>
      <c r="AE5074" s="23"/>
      <c r="AF5074" s="23"/>
      <c r="AG5074" s="23"/>
      <c r="AH5074" s="23"/>
    </row>
    <row r="5075" spans="1:35">
      <c r="A5075" s="23"/>
      <c r="B5075" s="42"/>
      <c r="G5075" s="43"/>
      <c r="H5075" s="44"/>
      <c r="L5075" s="42"/>
      <c r="M5075" s="42"/>
      <c r="N5075" s="25"/>
      <c r="O5075" s="54"/>
      <c r="P5075"/>
      <c r="Q5075" s="25"/>
      <c r="R5075" s="54"/>
      <c r="W5075" s="23"/>
      <c r="X5075" s="23"/>
      <c r="Y5075" s="23"/>
      <c r="Z5075" s="43"/>
      <c r="AA5075" s="23"/>
      <c r="AB5075" s="23"/>
      <c r="AC5075" s="23"/>
      <c r="AD5075" s="23"/>
      <c r="AE5075" s="23"/>
      <c r="AF5075" s="23"/>
      <c r="AG5075" s="23"/>
      <c r="AH5075" s="23"/>
    </row>
    <row r="5076" spans="1:35">
      <c r="A5076" s="23"/>
      <c r="B5076" s="42"/>
      <c r="G5076" s="43"/>
      <c r="H5076" s="44"/>
      <c r="L5076" s="42"/>
      <c r="M5076" s="42"/>
      <c r="N5076" s="25"/>
      <c r="O5076" s="54"/>
      <c r="P5076"/>
      <c r="Q5076" s="25"/>
      <c r="R5076" s="54"/>
      <c r="W5076" s="23"/>
      <c r="X5076" s="23"/>
      <c r="Y5076" s="23"/>
      <c r="Z5076" s="43"/>
      <c r="AA5076" s="23"/>
      <c r="AB5076" s="23"/>
      <c r="AC5076" s="23"/>
      <c r="AD5076" s="23"/>
      <c r="AE5076" s="23"/>
      <c r="AF5076" s="23"/>
      <c r="AG5076" s="23"/>
      <c r="AH5076" s="23"/>
    </row>
    <row r="5077" spans="1:35">
      <c r="A5077" s="23"/>
      <c r="B5077" s="42"/>
      <c r="G5077" s="43"/>
      <c r="H5077" s="44"/>
      <c r="L5077" s="42"/>
      <c r="M5077" s="42"/>
      <c r="N5077" s="25"/>
      <c r="O5077" s="54"/>
      <c r="P5077"/>
      <c r="Q5077" s="25"/>
      <c r="R5077" s="54"/>
      <c r="W5077" s="23"/>
      <c r="X5077" s="23"/>
      <c r="Y5077" s="23"/>
      <c r="Z5077" s="43"/>
      <c r="AA5077" s="23"/>
      <c r="AB5077" s="23"/>
      <c r="AC5077" s="23"/>
      <c r="AD5077" s="23"/>
      <c r="AE5077" s="23"/>
      <c r="AF5077" s="23"/>
      <c r="AG5077" s="23"/>
      <c r="AH5077" s="23"/>
    </row>
    <row r="5078" spans="1:35">
      <c r="A5078" s="23"/>
      <c r="B5078" s="42"/>
      <c r="G5078" s="43"/>
      <c r="H5078" s="44"/>
      <c r="L5078" s="42"/>
      <c r="M5078" s="42"/>
      <c r="N5078" s="25"/>
      <c r="O5078" s="54"/>
      <c r="P5078"/>
      <c r="Q5078" s="25"/>
      <c r="R5078" s="54"/>
      <c r="W5078" s="23"/>
      <c r="X5078" s="23"/>
      <c r="Y5078" s="23"/>
      <c r="Z5078" s="43"/>
      <c r="AA5078" s="23"/>
      <c r="AB5078" s="23"/>
      <c r="AC5078" s="23"/>
      <c r="AD5078" s="23"/>
      <c r="AE5078" s="23"/>
      <c r="AF5078" s="23"/>
      <c r="AG5078" s="23"/>
      <c r="AH5078" s="23"/>
    </row>
    <row r="5079" spans="1:35">
      <c r="A5079" s="49"/>
      <c r="B5079" s="42"/>
      <c r="C5079" s="49"/>
      <c r="E5079" s="49"/>
      <c r="G5079" s="43"/>
      <c r="H5079" s="44"/>
      <c r="L5079" s="42"/>
      <c r="M5079" s="42"/>
      <c r="N5079" s="25"/>
      <c r="O5079" s="54"/>
      <c r="P5079"/>
      <c r="Q5079" s="25"/>
      <c r="R5079" s="54"/>
      <c r="W5079" s="23"/>
      <c r="X5079" s="23"/>
      <c r="Y5079" s="23"/>
      <c r="Z5079" s="43"/>
      <c r="AA5079" s="23"/>
      <c r="AB5079" s="23"/>
      <c r="AC5079" s="23"/>
      <c r="AD5079" s="23"/>
      <c r="AE5079" s="23"/>
      <c r="AF5079" s="23"/>
      <c r="AG5079" s="23"/>
      <c r="AH5079" s="23"/>
      <c r="AI5079" s="49"/>
    </row>
    <row r="5080" spans="1:35">
      <c r="A5080" s="49"/>
      <c r="B5080" s="42"/>
      <c r="C5080" s="49"/>
      <c r="E5080" s="49"/>
      <c r="G5080" s="43"/>
      <c r="H5080" s="44"/>
      <c r="L5080" s="42"/>
      <c r="M5080" s="42"/>
      <c r="N5080" s="25"/>
      <c r="O5080" s="54"/>
      <c r="P5080"/>
      <c r="Q5080" s="25"/>
      <c r="R5080" s="54"/>
      <c r="W5080" s="23"/>
      <c r="X5080" s="23"/>
      <c r="Y5080" s="23"/>
      <c r="Z5080" s="43"/>
      <c r="AA5080" s="23"/>
      <c r="AB5080" s="23"/>
      <c r="AC5080" s="23"/>
      <c r="AD5080" s="23"/>
      <c r="AE5080" s="23"/>
      <c r="AF5080" s="23"/>
      <c r="AG5080" s="23"/>
      <c r="AH5080" s="23"/>
      <c r="AI5080" s="49"/>
    </row>
    <row r="5081" spans="1:35">
      <c r="A5081" s="49"/>
      <c r="B5081" s="42"/>
      <c r="C5081" s="49"/>
      <c r="E5081" s="49"/>
      <c r="G5081" s="43"/>
      <c r="H5081" s="44"/>
      <c r="L5081" s="42"/>
      <c r="M5081" s="42"/>
      <c r="N5081" s="25"/>
      <c r="O5081" s="54"/>
      <c r="P5081"/>
      <c r="Q5081" s="25"/>
      <c r="R5081" s="54"/>
      <c r="W5081" s="23"/>
      <c r="X5081" s="23"/>
      <c r="Y5081" s="23"/>
      <c r="Z5081" s="43"/>
      <c r="AA5081" s="23"/>
      <c r="AB5081" s="23"/>
      <c r="AC5081" s="23"/>
      <c r="AD5081" s="23"/>
      <c r="AE5081" s="23"/>
      <c r="AF5081" s="23"/>
      <c r="AG5081" s="23"/>
      <c r="AH5081" s="23"/>
      <c r="AI5081" s="49"/>
    </row>
    <row r="5082" spans="1:35">
      <c r="A5082" s="49"/>
      <c r="B5082" s="42"/>
      <c r="C5082" s="49"/>
      <c r="E5082" s="49"/>
      <c r="G5082" s="43"/>
      <c r="H5082" s="44"/>
      <c r="L5082" s="42"/>
      <c r="M5082" s="42"/>
      <c r="N5082" s="25"/>
      <c r="O5082" s="54"/>
      <c r="P5082"/>
      <c r="Q5082" s="25"/>
      <c r="R5082" s="54"/>
      <c r="W5082" s="23"/>
      <c r="X5082" s="23"/>
      <c r="Y5082" s="23"/>
      <c r="Z5082" s="43"/>
      <c r="AA5082" s="23"/>
      <c r="AB5082" s="23"/>
      <c r="AC5082" s="23"/>
      <c r="AD5082" s="23"/>
      <c r="AE5082" s="23"/>
      <c r="AF5082" s="23"/>
      <c r="AG5082" s="23"/>
      <c r="AH5082" s="23"/>
      <c r="AI5082" s="49"/>
    </row>
    <row r="5083" spans="1:35">
      <c r="A5083" s="23"/>
      <c r="B5083" s="42"/>
      <c r="G5083" s="43"/>
      <c r="H5083" s="44"/>
      <c r="L5083" s="42"/>
      <c r="M5083" s="42"/>
      <c r="N5083" s="25"/>
      <c r="O5083" s="54"/>
      <c r="P5083"/>
      <c r="Q5083" s="25"/>
      <c r="R5083" s="54"/>
      <c r="W5083" s="23"/>
      <c r="X5083" s="23"/>
      <c r="Y5083" s="23"/>
      <c r="Z5083" s="43"/>
      <c r="AA5083" s="23"/>
      <c r="AB5083" s="23"/>
      <c r="AC5083" s="23"/>
      <c r="AD5083" s="23"/>
      <c r="AE5083" s="23"/>
      <c r="AF5083" s="23"/>
      <c r="AG5083" s="23"/>
      <c r="AH5083" s="23"/>
    </row>
    <row r="5084" spans="1:35">
      <c r="A5084" s="23"/>
      <c r="B5084" s="42"/>
      <c r="G5084" s="43"/>
      <c r="H5084" s="44"/>
      <c r="L5084" s="42"/>
      <c r="M5084" s="42"/>
      <c r="N5084" s="25"/>
      <c r="O5084" s="54"/>
      <c r="P5084"/>
      <c r="Q5084" s="25"/>
      <c r="R5084" s="54"/>
      <c r="W5084" s="23"/>
      <c r="X5084" s="23"/>
      <c r="Y5084" s="23"/>
      <c r="Z5084" s="43"/>
      <c r="AA5084" s="23"/>
      <c r="AB5084" s="23"/>
      <c r="AC5084" s="23"/>
      <c r="AD5084" s="23"/>
      <c r="AE5084" s="23"/>
      <c r="AF5084" s="23"/>
      <c r="AG5084" s="23"/>
      <c r="AH5084" s="23"/>
    </row>
    <row r="5085" spans="1:35">
      <c r="A5085" s="23"/>
      <c r="B5085" s="42"/>
      <c r="G5085" s="43"/>
      <c r="H5085" s="44"/>
      <c r="L5085" s="42"/>
      <c r="M5085" s="42"/>
      <c r="N5085" s="25"/>
      <c r="O5085" s="54"/>
      <c r="P5085"/>
      <c r="Q5085" s="25"/>
      <c r="R5085" s="54"/>
      <c r="W5085" s="23"/>
      <c r="X5085" s="23"/>
      <c r="Y5085" s="23"/>
      <c r="Z5085" s="43"/>
      <c r="AA5085" s="23"/>
      <c r="AB5085" s="23"/>
      <c r="AC5085" s="23"/>
      <c r="AD5085" s="23"/>
      <c r="AE5085" s="23"/>
      <c r="AF5085" s="23"/>
      <c r="AG5085" s="23"/>
      <c r="AH5085" s="23"/>
    </row>
    <row r="5086" spans="1:35">
      <c r="A5086" s="23"/>
      <c r="B5086" s="42"/>
      <c r="G5086" s="43"/>
      <c r="H5086" s="44"/>
      <c r="L5086" s="42"/>
      <c r="M5086" s="42"/>
      <c r="N5086" s="25"/>
      <c r="O5086" s="54"/>
      <c r="P5086"/>
      <c r="Q5086" s="25"/>
      <c r="R5086" s="54"/>
      <c r="W5086" s="23"/>
      <c r="X5086" s="23"/>
      <c r="Y5086" s="23"/>
      <c r="Z5086" s="43"/>
      <c r="AA5086" s="23"/>
      <c r="AB5086" s="23"/>
      <c r="AC5086" s="23"/>
      <c r="AD5086" s="23"/>
      <c r="AE5086" s="23"/>
      <c r="AF5086" s="23"/>
      <c r="AG5086" s="23"/>
      <c r="AH5086" s="23"/>
    </row>
    <row r="5087" spans="1:35">
      <c r="A5087" s="49"/>
      <c r="B5087" s="42"/>
      <c r="C5087" s="49"/>
      <c r="E5087" s="49"/>
      <c r="G5087" s="43"/>
      <c r="H5087" s="44"/>
      <c r="L5087" s="42"/>
      <c r="M5087" s="42"/>
      <c r="N5087" s="25"/>
      <c r="O5087" s="54"/>
      <c r="P5087"/>
      <c r="Q5087" s="25"/>
      <c r="R5087" s="54"/>
      <c r="W5087" s="23"/>
      <c r="X5087" s="23"/>
      <c r="Y5087" s="23"/>
      <c r="Z5087" s="43"/>
      <c r="AA5087" s="23"/>
      <c r="AB5087" s="23"/>
      <c r="AC5087" s="23"/>
      <c r="AD5087" s="23"/>
      <c r="AE5087" s="23"/>
      <c r="AF5087" s="23"/>
      <c r="AG5087" s="23"/>
      <c r="AH5087" s="23"/>
      <c r="AI5087" s="49"/>
    </row>
    <row r="5088" spans="1:35">
      <c r="A5088" s="49"/>
      <c r="B5088" s="42"/>
      <c r="C5088" s="49"/>
      <c r="E5088" s="49"/>
      <c r="G5088" s="43"/>
      <c r="H5088" s="44"/>
      <c r="L5088" s="42"/>
      <c r="M5088" s="42"/>
      <c r="N5088" s="25"/>
      <c r="O5088" s="54"/>
      <c r="P5088"/>
      <c r="Q5088" s="25"/>
      <c r="R5088" s="54"/>
      <c r="W5088" s="23"/>
      <c r="X5088" s="23"/>
      <c r="Y5088" s="23"/>
      <c r="Z5088" s="43"/>
      <c r="AA5088" s="23"/>
      <c r="AB5088" s="23"/>
      <c r="AC5088" s="23"/>
      <c r="AD5088" s="23"/>
      <c r="AE5088" s="23"/>
      <c r="AF5088" s="23"/>
      <c r="AG5088" s="23"/>
      <c r="AH5088" s="23"/>
      <c r="AI5088" s="49"/>
    </row>
    <row r="5089" spans="1:35">
      <c r="A5089" s="49"/>
      <c r="B5089" s="42"/>
      <c r="C5089" s="49"/>
      <c r="E5089" s="49"/>
      <c r="G5089" s="43"/>
      <c r="H5089" s="44"/>
      <c r="L5089" s="42"/>
      <c r="M5089" s="42"/>
      <c r="N5089" s="25"/>
      <c r="O5089" s="54"/>
      <c r="P5089"/>
      <c r="Q5089" s="25"/>
      <c r="R5089" s="54"/>
      <c r="W5089" s="23"/>
      <c r="X5089" s="23"/>
      <c r="Y5089" s="23"/>
      <c r="Z5089" s="43"/>
      <c r="AA5089" s="23"/>
      <c r="AB5089" s="23"/>
      <c r="AC5089" s="23"/>
      <c r="AD5089" s="23"/>
      <c r="AE5089" s="23"/>
      <c r="AF5089" s="23"/>
      <c r="AG5089" s="23"/>
      <c r="AH5089" s="23"/>
      <c r="AI5089" s="49"/>
    </row>
    <row r="5090" spans="1:35">
      <c r="A5090" s="23"/>
      <c r="B5090" s="42"/>
      <c r="G5090" s="43"/>
      <c r="H5090" s="44"/>
      <c r="L5090" s="42"/>
      <c r="M5090" s="42"/>
      <c r="N5090" s="25"/>
      <c r="O5090" s="54"/>
      <c r="P5090"/>
      <c r="Q5090" s="25"/>
      <c r="R5090" s="54"/>
      <c r="W5090" s="23"/>
      <c r="X5090" s="23"/>
      <c r="Y5090" s="23"/>
      <c r="Z5090" s="43"/>
      <c r="AA5090" s="23"/>
      <c r="AB5090" s="23"/>
      <c r="AC5090" s="23"/>
      <c r="AD5090" s="23"/>
      <c r="AE5090" s="23"/>
      <c r="AF5090" s="23"/>
      <c r="AG5090" s="23"/>
      <c r="AH5090" s="23"/>
    </row>
    <row r="5091" spans="1:35">
      <c r="A5091" s="23"/>
      <c r="B5091" s="42"/>
      <c r="G5091" s="43"/>
      <c r="H5091" s="44"/>
      <c r="L5091" s="42"/>
      <c r="M5091" s="42"/>
      <c r="N5091" s="25"/>
      <c r="O5091" s="54"/>
      <c r="P5091"/>
      <c r="Q5091" s="25"/>
      <c r="R5091" s="54"/>
      <c r="W5091" s="23"/>
      <c r="X5091" s="23"/>
      <c r="Y5091" s="23"/>
      <c r="Z5091" s="43"/>
      <c r="AA5091" s="23"/>
      <c r="AB5091" s="23"/>
      <c r="AC5091" s="23"/>
      <c r="AD5091" s="23"/>
      <c r="AE5091" s="23"/>
      <c r="AF5091" s="23"/>
      <c r="AG5091" s="23"/>
      <c r="AH5091" s="23"/>
    </row>
    <row r="5092" spans="1:35">
      <c r="A5092" s="49"/>
      <c r="B5092" s="42"/>
      <c r="C5092" s="49"/>
      <c r="E5092" s="49"/>
      <c r="G5092" s="43"/>
      <c r="H5092" s="44"/>
      <c r="L5092" s="42"/>
      <c r="M5092" s="42"/>
      <c r="N5092" s="25"/>
      <c r="O5092" s="54"/>
      <c r="P5092"/>
      <c r="Q5092" s="25"/>
      <c r="R5092" s="54"/>
      <c r="W5092" s="23"/>
      <c r="X5092" s="23"/>
      <c r="Y5092" s="23"/>
      <c r="Z5092" s="43"/>
      <c r="AA5092" s="23"/>
      <c r="AB5092" s="23"/>
      <c r="AC5092" s="23"/>
      <c r="AD5092" s="23"/>
      <c r="AE5092" s="23"/>
      <c r="AF5092" s="23"/>
      <c r="AG5092" s="23"/>
      <c r="AH5092" s="23"/>
      <c r="AI5092" s="49"/>
    </row>
    <row r="5093" spans="1:35">
      <c r="A5093" s="49"/>
      <c r="B5093" s="42"/>
      <c r="C5093" s="49"/>
      <c r="E5093" s="49"/>
      <c r="G5093" s="43"/>
      <c r="H5093" s="44"/>
      <c r="L5093" s="42"/>
      <c r="M5093" s="42"/>
      <c r="N5093" s="25"/>
      <c r="O5093" s="54"/>
      <c r="P5093"/>
      <c r="Q5093" s="25"/>
      <c r="R5093" s="54"/>
      <c r="W5093" s="23"/>
      <c r="X5093" s="23"/>
      <c r="Y5093" s="23"/>
      <c r="Z5093" s="43"/>
      <c r="AA5093" s="23"/>
      <c r="AB5093" s="23"/>
      <c r="AC5093" s="23"/>
      <c r="AD5093" s="23"/>
      <c r="AE5093" s="23"/>
      <c r="AF5093" s="23"/>
      <c r="AG5093" s="23"/>
      <c r="AH5093" s="23"/>
      <c r="AI5093" s="49"/>
    </row>
    <row r="5094" spans="1:35">
      <c r="A5094" s="49"/>
      <c r="B5094" s="42"/>
      <c r="C5094" s="49"/>
      <c r="E5094" s="49"/>
      <c r="G5094" s="43"/>
      <c r="H5094" s="44"/>
      <c r="L5094" s="42"/>
      <c r="M5094" s="42"/>
      <c r="N5094" s="25"/>
      <c r="O5094" s="54"/>
      <c r="P5094"/>
      <c r="Q5094" s="25"/>
      <c r="R5094" s="54"/>
      <c r="W5094" s="23"/>
      <c r="X5094" s="23"/>
      <c r="Y5094" s="23"/>
      <c r="Z5094" s="43"/>
      <c r="AA5094" s="23"/>
      <c r="AB5094" s="23"/>
      <c r="AC5094" s="23"/>
      <c r="AD5094" s="23"/>
      <c r="AE5094" s="23"/>
      <c r="AF5094" s="23"/>
      <c r="AG5094" s="23"/>
      <c r="AH5094" s="23"/>
      <c r="AI5094" s="49"/>
    </row>
    <row r="5095" spans="1:35">
      <c r="A5095" s="23"/>
      <c r="B5095" s="42"/>
      <c r="G5095" s="43"/>
      <c r="H5095" s="44"/>
      <c r="L5095" s="42"/>
      <c r="M5095" s="42"/>
      <c r="N5095" s="25"/>
      <c r="O5095" s="54"/>
      <c r="P5095"/>
      <c r="Q5095" s="25"/>
      <c r="R5095" s="54"/>
      <c r="W5095" s="23"/>
      <c r="X5095" s="23"/>
      <c r="Y5095" s="23"/>
      <c r="Z5095" s="43"/>
      <c r="AA5095" s="23"/>
      <c r="AB5095" s="23"/>
      <c r="AC5095" s="23"/>
      <c r="AD5095" s="23"/>
      <c r="AE5095" s="23"/>
      <c r="AF5095" s="23"/>
      <c r="AG5095" s="23"/>
      <c r="AH5095" s="23"/>
    </row>
    <row r="5096" spans="1:35">
      <c r="A5096" s="23"/>
      <c r="B5096" s="42"/>
      <c r="G5096" s="43"/>
      <c r="H5096" s="44"/>
      <c r="L5096" s="42"/>
      <c r="M5096" s="42"/>
      <c r="N5096" s="25"/>
      <c r="O5096" s="54"/>
      <c r="P5096"/>
      <c r="Q5096" s="25"/>
      <c r="R5096" s="54"/>
      <c r="W5096" s="23"/>
      <c r="X5096" s="23"/>
      <c r="Y5096" s="23"/>
      <c r="Z5096" s="43"/>
      <c r="AA5096" s="23"/>
      <c r="AB5096" s="23"/>
      <c r="AC5096" s="23"/>
      <c r="AD5096" s="23"/>
      <c r="AE5096" s="23"/>
      <c r="AF5096" s="23"/>
      <c r="AG5096" s="23"/>
      <c r="AH5096" s="23"/>
    </row>
    <row r="5097" spans="1:35">
      <c r="A5097" s="23"/>
      <c r="B5097" s="42"/>
      <c r="G5097" s="43"/>
      <c r="H5097" s="44"/>
      <c r="L5097" s="42"/>
      <c r="M5097" s="42"/>
      <c r="N5097" s="25"/>
      <c r="O5097" s="54"/>
      <c r="P5097"/>
      <c r="Q5097" s="25"/>
      <c r="R5097" s="54"/>
      <c r="W5097" s="23"/>
      <c r="X5097" s="23"/>
      <c r="Y5097" s="23"/>
      <c r="Z5097" s="43"/>
      <c r="AA5097" s="23"/>
      <c r="AB5097" s="23"/>
      <c r="AC5097" s="23"/>
      <c r="AD5097" s="23"/>
      <c r="AE5097" s="23"/>
      <c r="AF5097" s="23"/>
      <c r="AG5097" s="23"/>
      <c r="AH5097" s="23"/>
    </row>
    <row r="5098" spans="1:35">
      <c r="A5098" s="49"/>
      <c r="B5098" s="42"/>
      <c r="C5098" s="49"/>
      <c r="E5098" s="49"/>
      <c r="G5098" s="43"/>
      <c r="H5098" s="44"/>
      <c r="L5098" s="42"/>
      <c r="M5098" s="42"/>
      <c r="N5098" s="25"/>
      <c r="O5098" s="54"/>
      <c r="P5098"/>
      <c r="Q5098" s="25"/>
      <c r="R5098" s="54"/>
      <c r="W5098" s="23"/>
      <c r="X5098" s="23"/>
      <c r="Y5098" s="23"/>
      <c r="Z5098" s="43"/>
      <c r="AA5098" s="23"/>
      <c r="AB5098" s="23"/>
      <c r="AC5098" s="23"/>
      <c r="AD5098" s="23"/>
      <c r="AE5098" s="23"/>
      <c r="AF5098" s="23"/>
      <c r="AG5098" s="23"/>
      <c r="AH5098" s="23"/>
      <c r="AI5098" s="49"/>
    </row>
    <row r="5099" spans="1:35">
      <c r="A5099" s="49"/>
      <c r="B5099" s="42"/>
      <c r="C5099" s="49"/>
      <c r="E5099" s="49"/>
      <c r="G5099" s="43"/>
      <c r="H5099" s="44"/>
      <c r="L5099" s="42"/>
      <c r="M5099" s="42"/>
      <c r="N5099" s="25"/>
      <c r="O5099" s="54"/>
      <c r="P5099"/>
      <c r="Q5099" s="25"/>
      <c r="R5099" s="54"/>
      <c r="W5099" s="23"/>
      <c r="X5099" s="23"/>
      <c r="Y5099" s="23"/>
      <c r="Z5099" s="43"/>
      <c r="AA5099" s="23"/>
      <c r="AB5099" s="23"/>
      <c r="AC5099" s="23"/>
      <c r="AD5099" s="23"/>
      <c r="AE5099" s="23"/>
      <c r="AF5099" s="23"/>
      <c r="AG5099" s="23"/>
      <c r="AH5099" s="23"/>
      <c r="AI5099" s="49"/>
    </row>
    <row r="5100" spans="1:35">
      <c r="A5100" s="49"/>
      <c r="B5100" s="42"/>
      <c r="C5100" s="49"/>
      <c r="E5100" s="49"/>
      <c r="G5100" s="43"/>
      <c r="H5100" s="44"/>
      <c r="L5100" s="42"/>
      <c r="M5100" s="42"/>
      <c r="N5100" s="25"/>
      <c r="O5100" s="54"/>
      <c r="P5100"/>
      <c r="Q5100" s="25"/>
      <c r="R5100" s="54"/>
      <c r="W5100" s="23"/>
      <c r="X5100" s="23"/>
      <c r="Y5100" s="23"/>
      <c r="Z5100" s="43"/>
      <c r="AA5100" s="23"/>
      <c r="AB5100" s="23"/>
      <c r="AC5100" s="23"/>
      <c r="AD5100" s="23"/>
      <c r="AE5100" s="23"/>
      <c r="AF5100" s="23"/>
      <c r="AG5100" s="23"/>
      <c r="AH5100" s="23"/>
      <c r="AI5100" s="49"/>
    </row>
    <row r="5101" spans="1:35">
      <c r="A5101" s="23"/>
      <c r="B5101" s="42"/>
      <c r="G5101" s="43"/>
      <c r="H5101" s="44"/>
      <c r="L5101" s="42"/>
      <c r="M5101" s="42"/>
      <c r="N5101" s="25"/>
      <c r="O5101" s="54"/>
      <c r="P5101"/>
      <c r="Q5101" s="25"/>
      <c r="R5101" s="54"/>
      <c r="W5101" s="23"/>
      <c r="X5101" s="23"/>
      <c r="Y5101" s="23"/>
      <c r="Z5101" s="43"/>
      <c r="AA5101" s="23"/>
      <c r="AB5101" s="23"/>
      <c r="AC5101" s="23"/>
      <c r="AD5101" s="23"/>
      <c r="AE5101" s="23"/>
      <c r="AF5101" s="23"/>
      <c r="AG5101" s="23"/>
      <c r="AH5101" s="23"/>
    </row>
    <row r="5102" spans="1:35">
      <c r="A5102" s="23"/>
      <c r="B5102" s="42"/>
      <c r="G5102" s="43"/>
      <c r="H5102" s="44"/>
      <c r="L5102" s="42"/>
      <c r="M5102" s="42"/>
      <c r="N5102" s="25"/>
      <c r="O5102" s="54"/>
      <c r="P5102"/>
      <c r="Q5102" s="25"/>
      <c r="R5102" s="54"/>
      <c r="W5102" s="23"/>
      <c r="X5102" s="23"/>
      <c r="Y5102" s="23"/>
      <c r="Z5102" s="43"/>
      <c r="AA5102" s="23"/>
      <c r="AB5102" s="23"/>
      <c r="AC5102" s="23"/>
      <c r="AD5102" s="23"/>
      <c r="AE5102" s="23"/>
      <c r="AF5102" s="23"/>
      <c r="AG5102" s="23"/>
      <c r="AH5102" s="23"/>
    </row>
    <row r="5103" spans="1:35">
      <c r="A5103" s="23"/>
      <c r="B5103" s="42"/>
      <c r="G5103" s="43"/>
      <c r="H5103" s="44"/>
      <c r="L5103" s="42"/>
      <c r="M5103" s="42"/>
      <c r="N5103" s="25"/>
      <c r="O5103" s="54"/>
      <c r="P5103"/>
      <c r="Q5103" s="25"/>
      <c r="R5103" s="54"/>
      <c r="W5103" s="23"/>
      <c r="X5103" s="23"/>
      <c r="Y5103" s="23"/>
      <c r="Z5103" s="43"/>
      <c r="AA5103" s="23"/>
      <c r="AB5103" s="23"/>
      <c r="AC5103" s="23"/>
      <c r="AD5103" s="23"/>
      <c r="AE5103" s="23"/>
      <c r="AF5103" s="23"/>
      <c r="AG5103" s="23"/>
      <c r="AH5103" s="23"/>
    </row>
    <row r="5104" spans="1:35">
      <c r="A5104" s="49"/>
      <c r="B5104" s="42"/>
      <c r="C5104" s="49"/>
      <c r="E5104" s="49"/>
      <c r="G5104" s="43"/>
      <c r="H5104" s="44"/>
      <c r="L5104" s="42"/>
      <c r="M5104" s="42"/>
      <c r="N5104" s="25"/>
      <c r="O5104" s="54"/>
      <c r="P5104"/>
      <c r="Q5104" s="25"/>
      <c r="R5104" s="54"/>
      <c r="W5104" s="23"/>
      <c r="X5104" s="23"/>
      <c r="Y5104" s="23"/>
      <c r="Z5104" s="43"/>
      <c r="AA5104" s="23"/>
      <c r="AB5104" s="23"/>
      <c r="AC5104" s="23"/>
      <c r="AD5104" s="23"/>
      <c r="AE5104" s="23"/>
      <c r="AF5104" s="23"/>
      <c r="AG5104" s="23"/>
      <c r="AH5104" s="23"/>
      <c r="AI5104" s="49"/>
    </row>
    <row r="5105" spans="1:35">
      <c r="A5105" s="49"/>
      <c r="B5105" s="42"/>
      <c r="C5105" s="49"/>
      <c r="E5105" s="49"/>
      <c r="G5105" s="43"/>
      <c r="H5105" s="44"/>
      <c r="L5105" s="42"/>
      <c r="M5105" s="42"/>
      <c r="N5105" s="25"/>
      <c r="O5105" s="54"/>
      <c r="P5105"/>
      <c r="Q5105" s="25"/>
      <c r="R5105" s="54"/>
      <c r="W5105" s="23"/>
      <c r="X5105" s="23"/>
      <c r="Y5105" s="23"/>
      <c r="Z5105" s="43"/>
      <c r="AA5105" s="23"/>
      <c r="AB5105" s="23"/>
      <c r="AC5105" s="23"/>
      <c r="AD5105" s="23"/>
      <c r="AE5105" s="23"/>
      <c r="AF5105" s="23"/>
      <c r="AG5105" s="23"/>
      <c r="AH5105" s="23"/>
      <c r="AI5105" s="49"/>
    </row>
    <row r="5106" spans="1:35">
      <c r="A5106" s="49"/>
      <c r="B5106" s="42"/>
      <c r="C5106" s="49"/>
      <c r="E5106" s="49"/>
      <c r="G5106" s="43"/>
      <c r="H5106" s="44"/>
      <c r="L5106" s="42"/>
      <c r="M5106" s="42"/>
      <c r="N5106" s="25"/>
      <c r="O5106" s="54"/>
      <c r="P5106"/>
      <c r="Q5106" s="25"/>
      <c r="R5106" s="54"/>
      <c r="W5106" s="23"/>
      <c r="X5106" s="23"/>
      <c r="Y5106" s="23"/>
      <c r="Z5106" s="43"/>
      <c r="AA5106" s="23"/>
      <c r="AB5106" s="23"/>
      <c r="AC5106" s="23"/>
      <c r="AD5106" s="23"/>
      <c r="AE5106" s="23"/>
      <c r="AF5106" s="23"/>
      <c r="AG5106" s="23"/>
      <c r="AH5106" s="23"/>
      <c r="AI5106" s="49"/>
    </row>
    <row r="5107" spans="1:35">
      <c r="A5107" s="49"/>
      <c r="B5107" s="42"/>
      <c r="C5107" s="49"/>
      <c r="E5107" s="49"/>
      <c r="G5107" s="43"/>
      <c r="H5107" s="44"/>
      <c r="L5107" s="42"/>
      <c r="M5107" s="42"/>
      <c r="N5107" s="25"/>
      <c r="O5107" s="54"/>
      <c r="P5107"/>
      <c r="Q5107" s="25"/>
      <c r="R5107" s="54"/>
      <c r="W5107" s="23"/>
      <c r="X5107" s="23"/>
      <c r="Y5107" s="23"/>
      <c r="Z5107" s="43"/>
      <c r="AA5107" s="23"/>
      <c r="AB5107" s="23"/>
      <c r="AC5107" s="23"/>
      <c r="AD5107" s="23"/>
      <c r="AE5107" s="23"/>
      <c r="AF5107" s="23"/>
      <c r="AG5107" s="23"/>
      <c r="AH5107" s="23"/>
      <c r="AI5107" s="49"/>
    </row>
    <row r="5108" spans="1:35">
      <c r="A5108" s="23"/>
      <c r="B5108" s="42"/>
      <c r="G5108" s="43"/>
      <c r="H5108" s="44"/>
      <c r="L5108" s="42"/>
      <c r="M5108" s="42"/>
      <c r="N5108" s="25"/>
      <c r="O5108" s="54"/>
      <c r="P5108"/>
      <c r="Q5108" s="25"/>
      <c r="R5108" s="54"/>
      <c r="W5108" s="23"/>
      <c r="X5108" s="23"/>
      <c r="Y5108" s="23"/>
      <c r="Z5108" s="43"/>
      <c r="AA5108" s="23"/>
      <c r="AB5108" s="23"/>
      <c r="AC5108" s="23"/>
      <c r="AD5108" s="23"/>
      <c r="AE5108" s="23"/>
      <c r="AF5108" s="23"/>
      <c r="AG5108" s="23"/>
      <c r="AH5108" s="23"/>
    </row>
    <row r="5109" spans="1:35">
      <c r="A5109" s="23"/>
      <c r="B5109" s="42"/>
      <c r="G5109" s="43"/>
      <c r="H5109" s="44"/>
      <c r="L5109" s="42"/>
      <c r="M5109" s="42"/>
      <c r="N5109" s="25"/>
      <c r="O5109" s="54"/>
      <c r="P5109"/>
      <c r="Q5109" s="25"/>
      <c r="R5109" s="54"/>
      <c r="W5109" s="23"/>
      <c r="X5109" s="23"/>
      <c r="Y5109" s="23"/>
      <c r="Z5109" s="43"/>
      <c r="AA5109" s="23"/>
      <c r="AB5109" s="23"/>
      <c r="AC5109" s="23"/>
      <c r="AD5109" s="23"/>
      <c r="AE5109" s="23"/>
      <c r="AF5109" s="23"/>
      <c r="AG5109" s="23"/>
      <c r="AH5109" s="23"/>
    </row>
    <row r="5110" spans="1:35">
      <c r="A5110" s="23"/>
      <c r="B5110" s="42"/>
      <c r="G5110" s="43"/>
      <c r="H5110" s="44"/>
      <c r="L5110" s="42"/>
      <c r="M5110" s="42"/>
      <c r="N5110" s="25"/>
      <c r="O5110" s="54"/>
      <c r="P5110"/>
      <c r="Q5110" s="25"/>
      <c r="R5110" s="54"/>
      <c r="W5110" s="23"/>
      <c r="X5110" s="23"/>
      <c r="Y5110" s="23"/>
      <c r="Z5110" s="43"/>
      <c r="AA5110" s="23"/>
      <c r="AB5110" s="23"/>
      <c r="AC5110" s="23"/>
      <c r="AD5110" s="23"/>
      <c r="AE5110" s="23"/>
      <c r="AF5110" s="23"/>
      <c r="AG5110" s="23"/>
      <c r="AH5110" s="23"/>
    </row>
    <row r="5111" spans="1:35">
      <c r="A5111" s="49"/>
      <c r="B5111" s="42"/>
      <c r="C5111" s="49"/>
      <c r="E5111" s="49"/>
      <c r="G5111" s="43"/>
      <c r="H5111" s="44"/>
      <c r="L5111" s="42"/>
      <c r="M5111" s="42"/>
      <c r="N5111" s="25"/>
      <c r="O5111" s="54"/>
      <c r="P5111"/>
      <c r="Q5111" s="25"/>
      <c r="R5111" s="54"/>
      <c r="W5111" s="23"/>
      <c r="X5111" s="23"/>
      <c r="Y5111" s="23"/>
      <c r="Z5111" s="43"/>
      <c r="AA5111" s="23"/>
      <c r="AB5111" s="23"/>
      <c r="AC5111" s="23"/>
      <c r="AD5111" s="23"/>
      <c r="AE5111" s="23"/>
      <c r="AF5111" s="23"/>
      <c r="AG5111" s="23"/>
      <c r="AH5111" s="23"/>
      <c r="AI5111" s="49"/>
    </row>
    <row r="5112" spans="1:35">
      <c r="A5112" s="49"/>
      <c r="B5112" s="42"/>
      <c r="C5112" s="49"/>
      <c r="E5112" s="49"/>
      <c r="G5112" s="43"/>
      <c r="H5112" s="44"/>
      <c r="L5112" s="42"/>
      <c r="M5112" s="42"/>
      <c r="N5112" s="25"/>
      <c r="O5112" s="54"/>
      <c r="P5112"/>
      <c r="Q5112" s="25"/>
      <c r="R5112" s="54"/>
      <c r="W5112" s="23"/>
      <c r="X5112" s="23"/>
      <c r="Y5112" s="23"/>
      <c r="Z5112" s="43"/>
      <c r="AA5112" s="23"/>
      <c r="AB5112" s="23"/>
      <c r="AC5112" s="23"/>
      <c r="AD5112" s="23"/>
      <c r="AE5112" s="23"/>
      <c r="AF5112" s="23"/>
      <c r="AG5112" s="23"/>
      <c r="AH5112" s="23"/>
      <c r="AI5112" s="49"/>
    </row>
    <row r="5113" spans="1:35">
      <c r="A5113" s="49"/>
      <c r="B5113" s="42"/>
      <c r="C5113" s="49"/>
      <c r="E5113" s="49"/>
      <c r="G5113" s="43"/>
      <c r="H5113" s="44"/>
      <c r="L5113" s="42"/>
      <c r="M5113" s="42"/>
      <c r="N5113" s="25"/>
      <c r="O5113" s="54"/>
      <c r="P5113"/>
      <c r="Q5113" s="25"/>
      <c r="R5113" s="54"/>
      <c r="W5113" s="23"/>
      <c r="X5113" s="23"/>
      <c r="Y5113" s="23"/>
      <c r="Z5113" s="43"/>
      <c r="AA5113" s="23"/>
      <c r="AB5113" s="23"/>
      <c r="AC5113" s="23"/>
      <c r="AD5113" s="23"/>
      <c r="AE5113" s="23"/>
      <c r="AF5113" s="23"/>
      <c r="AG5113" s="23"/>
      <c r="AH5113" s="23"/>
      <c r="AI5113" s="49"/>
    </row>
    <row r="5114" spans="1:35">
      <c r="A5114" s="49"/>
      <c r="B5114" s="42"/>
      <c r="C5114" s="49"/>
      <c r="E5114" s="49"/>
      <c r="G5114" s="43"/>
      <c r="H5114" s="44"/>
      <c r="L5114" s="42"/>
      <c r="M5114" s="42"/>
      <c r="N5114" s="25"/>
      <c r="O5114" s="54"/>
      <c r="P5114"/>
      <c r="Q5114" s="25"/>
      <c r="R5114" s="54"/>
      <c r="W5114" s="23"/>
      <c r="X5114" s="23"/>
      <c r="Y5114" s="23"/>
      <c r="Z5114" s="43"/>
      <c r="AA5114" s="23"/>
      <c r="AB5114" s="23"/>
      <c r="AC5114" s="23"/>
      <c r="AD5114" s="23"/>
      <c r="AE5114" s="23"/>
      <c r="AF5114" s="23"/>
      <c r="AG5114" s="23"/>
      <c r="AH5114" s="23"/>
      <c r="AI5114" s="49"/>
    </row>
    <row r="5115" spans="1:35">
      <c r="A5115" s="49"/>
      <c r="B5115" s="42"/>
      <c r="C5115" s="49"/>
      <c r="E5115" s="49"/>
      <c r="G5115" s="43"/>
      <c r="H5115" s="44"/>
      <c r="L5115" s="42"/>
      <c r="M5115" s="42"/>
      <c r="N5115" s="25"/>
      <c r="O5115" s="54"/>
      <c r="P5115"/>
      <c r="Q5115" s="25"/>
      <c r="R5115" s="54"/>
      <c r="W5115" s="23"/>
      <c r="X5115" s="23"/>
      <c r="Y5115" s="23"/>
      <c r="Z5115" s="43"/>
      <c r="AA5115" s="23"/>
      <c r="AB5115" s="23"/>
      <c r="AC5115" s="23"/>
      <c r="AD5115" s="23"/>
      <c r="AE5115" s="23"/>
      <c r="AF5115" s="23"/>
      <c r="AG5115" s="23"/>
      <c r="AH5115" s="23"/>
      <c r="AI5115" s="49"/>
    </row>
    <row r="5116" spans="1:35">
      <c r="A5116" s="49"/>
      <c r="B5116" s="42"/>
      <c r="C5116" s="49"/>
      <c r="E5116" s="49"/>
      <c r="G5116" s="43"/>
      <c r="H5116" s="44"/>
      <c r="L5116" s="42"/>
      <c r="M5116" s="42"/>
      <c r="N5116" s="25"/>
      <c r="O5116" s="54"/>
      <c r="P5116"/>
      <c r="Q5116" s="25"/>
      <c r="R5116" s="54"/>
      <c r="W5116" s="23"/>
      <c r="X5116" s="23"/>
      <c r="Y5116" s="23"/>
      <c r="Z5116" s="43"/>
      <c r="AA5116" s="23"/>
      <c r="AB5116" s="23"/>
      <c r="AC5116" s="23"/>
      <c r="AD5116" s="23"/>
      <c r="AE5116" s="23"/>
      <c r="AF5116" s="23"/>
      <c r="AG5116" s="23"/>
      <c r="AH5116" s="23"/>
      <c r="AI5116" s="49"/>
    </row>
    <row r="5117" spans="1:35">
      <c r="A5117" s="23"/>
      <c r="B5117" s="42"/>
      <c r="G5117" s="43"/>
      <c r="H5117" s="44"/>
      <c r="L5117" s="42"/>
      <c r="M5117" s="42"/>
      <c r="N5117" s="25"/>
      <c r="O5117" s="54"/>
      <c r="P5117"/>
      <c r="Q5117" s="25"/>
      <c r="R5117" s="54"/>
      <c r="W5117" s="23"/>
      <c r="X5117" s="23"/>
      <c r="Y5117" s="23"/>
      <c r="Z5117" s="43"/>
      <c r="AA5117" s="23"/>
      <c r="AB5117" s="23"/>
      <c r="AC5117" s="23"/>
      <c r="AD5117" s="23"/>
      <c r="AE5117" s="23"/>
      <c r="AF5117" s="23"/>
      <c r="AG5117" s="23"/>
      <c r="AH5117" s="23"/>
    </row>
    <row r="5118" spans="1:35">
      <c r="A5118" s="23"/>
      <c r="B5118" s="42"/>
      <c r="G5118" s="43"/>
      <c r="H5118" s="44"/>
      <c r="L5118" s="42"/>
      <c r="M5118" s="42"/>
      <c r="N5118" s="25"/>
      <c r="O5118" s="54"/>
      <c r="P5118"/>
      <c r="Q5118" s="25"/>
      <c r="R5118" s="54"/>
      <c r="W5118" s="23"/>
      <c r="X5118" s="23"/>
      <c r="Y5118" s="23"/>
      <c r="Z5118" s="43"/>
      <c r="AA5118" s="23"/>
      <c r="AB5118" s="23"/>
      <c r="AC5118" s="23"/>
      <c r="AD5118" s="23"/>
      <c r="AE5118" s="23"/>
      <c r="AF5118" s="23"/>
      <c r="AG5118" s="23"/>
      <c r="AH5118" s="23"/>
    </row>
    <row r="5119" spans="1:35">
      <c r="A5119" s="49"/>
      <c r="B5119" s="42"/>
      <c r="C5119" s="49"/>
      <c r="E5119" s="49"/>
      <c r="G5119" s="43"/>
      <c r="H5119" s="44"/>
      <c r="L5119" s="42"/>
      <c r="M5119" s="42"/>
      <c r="N5119" s="25"/>
      <c r="O5119" s="54"/>
      <c r="P5119"/>
      <c r="Q5119" s="25"/>
      <c r="R5119" s="54"/>
      <c r="W5119" s="23"/>
      <c r="X5119" s="23"/>
      <c r="Y5119" s="23"/>
      <c r="Z5119" s="43"/>
      <c r="AA5119" s="23"/>
      <c r="AB5119" s="23"/>
      <c r="AC5119" s="23"/>
      <c r="AD5119" s="23"/>
      <c r="AE5119" s="23"/>
      <c r="AF5119" s="23"/>
      <c r="AG5119" s="23"/>
      <c r="AH5119" s="23"/>
      <c r="AI5119" s="49"/>
    </row>
    <row r="5120" spans="1:35">
      <c r="A5120" s="49"/>
      <c r="B5120" s="42"/>
      <c r="C5120" s="49"/>
      <c r="E5120" s="49"/>
      <c r="G5120" s="43"/>
      <c r="H5120" s="44"/>
      <c r="L5120" s="42"/>
      <c r="M5120" s="42"/>
      <c r="N5120" s="25"/>
      <c r="O5120" s="54"/>
      <c r="P5120"/>
      <c r="Q5120" s="25"/>
      <c r="R5120" s="54"/>
      <c r="W5120" s="23"/>
      <c r="X5120" s="23"/>
      <c r="Y5120" s="23"/>
      <c r="Z5120" s="43"/>
      <c r="AA5120" s="23"/>
      <c r="AB5120" s="23"/>
      <c r="AC5120" s="23"/>
      <c r="AD5120" s="23"/>
      <c r="AE5120" s="23"/>
      <c r="AF5120" s="23"/>
      <c r="AG5120" s="23"/>
      <c r="AH5120" s="23"/>
      <c r="AI5120" s="49"/>
    </row>
    <row r="5121" spans="1:35">
      <c r="A5121" s="23"/>
      <c r="B5121" s="42"/>
      <c r="G5121" s="43"/>
      <c r="H5121" s="44"/>
      <c r="L5121" s="42"/>
      <c r="M5121" s="42"/>
      <c r="N5121" s="25"/>
      <c r="O5121" s="54"/>
      <c r="P5121"/>
      <c r="Q5121" s="25"/>
      <c r="R5121" s="54"/>
      <c r="W5121" s="23"/>
      <c r="X5121" s="23"/>
      <c r="Y5121" s="23"/>
      <c r="Z5121" s="43"/>
      <c r="AA5121" s="23"/>
      <c r="AB5121" s="23"/>
      <c r="AC5121" s="23"/>
      <c r="AD5121" s="23"/>
      <c r="AE5121" s="23"/>
      <c r="AF5121" s="23"/>
      <c r="AG5121" s="23"/>
      <c r="AH5121" s="23"/>
    </row>
    <row r="5122" spans="1:35">
      <c r="A5122" s="49"/>
      <c r="B5122" s="42"/>
      <c r="C5122" s="49"/>
      <c r="E5122" s="49"/>
      <c r="G5122" s="43"/>
      <c r="H5122" s="44"/>
      <c r="L5122" s="42"/>
      <c r="M5122" s="42"/>
      <c r="N5122" s="25"/>
      <c r="O5122" s="54"/>
      <c r="P5122"/>
      <c r="Q5122" s="25"/>
      <c r="R5122" s="54"/>
      <c r="W5122" s="23"/>
      <c r="X5122" s="23"/>
      <c r="Y5122" s="23"/>
      <c r="Z5122" s="43"/>
      <c r="AA5122" s="23"/>
      <c r="AB5122" s="23"/>
      <c r="AC5122" s="23"/>
      <c r="AD5122" s="23"/>
      <c r="AE5122" s="23"/>
      <c r="AF5122" s="23"/>
      <c r="AG5122" s="23"/>
      <c r="AH5122" s="23"/>
      <c r="AI5122" s="49"/>
    </row>
    <row r="5123" spans="1:35">
      <c r="A5123" s="23"/>
      <c r="B5123" s="42"/>
      <c r="G5123" s="43"/>
      <c r="H5123" s="44"/>
      <c r="L5123" s="42"/>
      <c r="M5123" s="42"/>
      <c r="N5123" s="25"/>
      <c r="O5123" s="54"/>
      <c r="P5123"/>
      <c r="Q5123" s="25"/>
      <c r="R5123" s="54"/>
      <c r="W5123" s="23"/>
      <c r="X5123" s="23"/>
      <c r="Y5123" s="23"/>
      <c r="Z5123" s="43"/>
      <c r="AA5123" s="23"/>
      <c r="AB5123" s="23"/>
      <c r="AC5123" s="23"/>
      <c r="AD5123" s="23"/>
      <c r="AE5123" s="23"/>
      <c r="AF5123" s="23"/>
      <c r="AG5123" s="23"/>
      <c r="AH5123" s="23"/>
    </row>
    <row r="5124" spans="1:35">
      <c r="A5124" s="49"/>
      <c r="B5124" s="42"/>
      <c r="C5124" s="49"/>
      <c r="E5124" s="49"/>
      <c r="G5124" s="43"/>
      <c r="H5124" s="44"/>
      <c r="L5124" s="42"/>
      <c r="M5124" s="42"/>
      <c r="N5124" s="25"/>
      <c r="O5124" s="54"/>
      <c r="P5124"/>
      <c r="Q5124" s="25"/>
      <c r="R5124" s="54"/>
      <c r="W5124" s="23"/>
      <c r="X5124" s="23"/>
      <c r="Y5124" s="23"/>
      <c r="Z5124" s="43"/>
      <c r="AA5124" s="23"/>
      <c r="AB5124" s="23"/>
      <c r="AC5124" s="23"/>
      <c r="AD5124" s="23"/>
      <c r="AE5124" s="23"/>
      <c r="AF5124" s="23"/>
      <c r="AG5124" s="23"/>
      <c r="AH5124" s="23"/>
      <c r="AI5124" s="49"/>
    </row>
    <row r="5125" spans="1:35">
      <c r="A5125" s="49"/>
      <c r="B5125" s="42"/>
      <c r="C5125" s="49"/>
      <c r="E5125" s="49"/>
      <c r="G5125" s="43"/>
      <c r="H5125" s="44"/>
      <c r="L5125" s="42"/>
      <c r="M5125" s="42"/>
      <c r="N5125" s="25"/>
      <c r="O5125" s="54"/>
      <c r="P5125"/>
      <c r="Q5125" s="25"/>
      <c r="R5125" s="54"/>
      <c r="W5125" s="23"/>
      <c r="X5125" s="23"/>
      <c r="Y5125" s="23"/>
      <c r="Z5125" s="43"/>
      <c r="AA5125" s="23"/>
      <c r="AB5125" s="23"/>
      <c r="AC5125" s="23"/>
      <c r="AD5125" s="23"/>
      <c r="AE5125" s="23"/>
      <c r="AF5125" s="23"/>
      <c r="AG5125" s="23"/>
      <c r="AH5125" s="23"/>
      <c r="AI5125" s="49"/>
    </row>
    <row r="5126" spans="1:35">
      <c r="A5126" s="49"/>
      <c r="B5126" s="42"/>
      <c r="C5126" s="49"/>
      <c r="E5126" s="49"/>
      <c r="G5126" s="43"/>
      <c r="H5126" s="44"/>
      <c r="L5126" s="42"/>
      <c r="M5126" s="42"/>
      <c r="N5126" s="25"/>
      <c r="O5126" s="54"/>
      <c r="P5126"/>
      <c r="Q5126" s="25"/>
      <c r="R5126" s="54"/>
      <c r="W5126" s="23"/>
      <c r="X5126" s="23"/>
      <c r="Y5126" s="23"/>
      <c r="Z5126" s="43"/>
      <c r="AA5126" s="23"/>
      <c r="AB5126" s="23"/>
      <c r="AC5126" s="23"/>
      <c r="AD5126" s="23"/>
      <c r="AE5126" s="23"/>
      <c r="AF5126" s="23"/>
      <c r="AG5126" s="23"/>
      <c r="AH5126" s="23"/>
      <c r="AI5126" s="49"/>
    </row>
    <row r="5127" spans="1:35">
      <c r="A5127" s="49"/>
      <c r="B5127" s="42"/>
      <c r="C5127" s="49"/>
      <c r="E5127" s="49"/>
      <c r="G5127" s="43"/>
      <c r="H5127" s="44"/>
      <c r="L5127" s="42"/>
      <c r="M5127" s="42"/>
      <c r="N5127" s="25"/>
      <c r="O5127" s="54"/>
      <c r="P5127"/>
      <c r="Q5127" s="25"/>
      <c r="R5127" s="54"/>
      <c r="W5127" s="23"/>
      <c r="X5127" s="23"/>
      <c r="Y5127" s="23"/>
      <c r="Z5127" s="43"/>
      <c r="AA5127" s="23"/>
      <c r="AB5127" s="23"/>
      <c r="AC5127" s="23"/>
      <c r="AD5127" s="23"/>
      <c r="AE5127" s="23"/>
      <c r="AF5127" s="23"/>
      <c r="AG5127" s="23"/>
      <c r="AH5127" s="23"/>
      <c r="AI5127" s="49"/>
    </row>
    <row r="5128" spans="1:35">
      <c r="A5128" s="49"/>
      <c r="B5128" s="42"/>
      <c r="C5128" s="49"/>
      <c r="E5128" s="49"/>
      <c r="G5128" s="43"/>
      <c r="H5128" s="44"/>
      <c r="L5128" s="42"/>
      <c r="M5128" s="42"/>
      <c r="N5128" s="25"/>
      <c r="O5128" s="54"/>
      <c r="P5128"/>
      <c r="Q5128" s="25"/>
      <c r="R5128" s="54"/>
      <c r="W5128" s="23"/>
      <c r="X5128" s="23"/>
      <c r="Y5128" s="23"/>
      <c r="Z5128" s="43"/>
      <c r="AA5128" s="23"/>
      <c r="AB5128" s="23"/>
      <c r="AC5128" s="23"/>
      <c r="AD5128" s="23"/>
      <c r="AE5128" s="23"/>
      <c r="AF5128" s="23"/>
      <c r="AG5128" s="23"/>
      <c r="AH5128" s="23"/>
      <c r="AI5128" s="49"/>
    </row>
    <row r="5129" spans="1:35">
      <c r="A5129" s="49"/>
      <c r="B5129" s="42"/>
      <c r="C5129" s="49"/>
      <c r="E5129" s="49"/>
      <c r="G5129" s="43"/>
      <c r="H5129" s="44"/>
      <c r="L5129" s="42"/>
      <c r="M5129" s="42"/>
      <c r="N5129" s="25"/>
      <c r="O5129" s="54"/>
      <c r="P5129"/>
      <c r="Q5129" s="25"/>
      <c r="R5129" s="54"/>
      <c r="W5129" s="23"/>
      <c r="X5129" s="23"/>
      <c r="Y5129" s="23"/>
      <c r="Z5129" s="43"/>
      <c r="AA5129" s="23"/>
      <c r="AB5129" s="23"/>
      <c r="AC5129" s="23"/>
      <c r="AD5129" s="23"/>
      <c r="AE5129" s="23"/>
      <c r="AF5129" s="23"/>
      <c r="AG5129" s="23"/>
      <c r="AH5129" s="23"/>
      <c r="AI5129" s="49"/>
    </row>
    <row r="5130" spans="1:35">
      <c r="A5130" s="49"/>
      <c r="B5130" s="42"/>
      <c r="C5130" s="49"/>
      <c r="E5130" s="49"/>
      <c r="G5130" s="43"/>
      <c r="H5130" s="44"/>
      <c r="L5130" s="42"/>
      <c r="M5130" s="42"/>
      <c r="N5130" s="25"/>
      <c r="O5130" s="54"/>
      <c r="P5130"/>
      <c r="Q5130" s="25"/>
      <c r="R5130" s="54"/>
      <c r="W5130" s="23"/>
      <c r="X5130" s="23"/>
      <c r="Y5130" s="23"/>
      <c r="Z5130" s="43"/>
      <c r="AA5130" s="23"/>
      <c r="AB5130" s="23"/>
      <c r="AC5130" s="23"/>
      <c r="AD5130" s="23"/>
      <c r="AE5130" s="23"/>
      <c r="AF5130" s="23"/>
      <c r="AG5130" s="23"/>
      <c r="AH5130" s="23"/>
      <c r="AI5130" s="49"/>
    </row>
    <row r="5131" spans="1:35">
      <c r="A5131" s="49"/>
      <c r="B5131" s="42"/>
      <c r="C5131" s="49"/>
      <c r="E5131" s="49"/>
      <c r="G5131" s="43"/>
      <c r="H5131" s="44"/>
      <c r="L5131" s="42"/>
      <c r="M5131" s="42"/>
      <c r="N5131" s="25"/>
      <c r="O5131" s="54"/>
      <c r="P5131"/>
      <c r="Q5131" s="25"/>
      <c r="R5131" s="54"/>
      <c r="W5131" s="23"/>
      <c r="X5131" s="23"/>
      <c r="Y5131" s="23"/>
      <c r="Z5131" s="43"/>
      <c r="AA5131" s="23"/>
      <c r="AB5131" s="23"/>
      <c r="AC5131" s="23"/>
      <c r="AD5131" s="23"/>
      <c r="AE5131" s="23"/>
      <c r="AF5131" s="23"/>
      <c r="AG5131" s="23"/>
      <c r="AH5131" s="23"/>
      <c r="AI5131" s="49"/>
    </row>
    <row r="5132" spans="1:35">
      <c r="A5132" s="49"/>
      <c r="B5132" s="42"/>
      <c r="C5132" s="49"/>
      <c r="E5132" s="49"/>
      <c r="G5132" s="43"/>
      <c r="H5132" s="44"/>
      <c r="L5132" s="42"/>
      <c r="M5132" s="42"/>
      <c r="N5132" s="25"/>
      <c r="O5132" s="54"/>
      <c r="P5132"/>
      <c r="Q5132" s="25"/>
      <c r="R5132" s="54"/>
      <c r="W5132" s="23"/>
      <c r="X5132" s="23"/>
      <c r="Y5132" s="23"/>
      <c r="Z5132" s="43"/>
      <c r="AA5132" s="23"/>
      <c r="AB5132" s="23"/>
      <c r="AC5132" s="23"/>
      <c r="AD5132" s="23"/>
      <c r="AE5132" s="23"/>
      <c r="AF5132" s="23"/>
      <c r="AG5132" s="23"/>
      <c r="AH5132" s="23"/>
      <c r="AI5132" s="49"/>
    </row>
    <row r="5133" spans="1:35">
      <c r="A5133" s="49"/>
      <c r="B5133" s="42"/>
      <c r="C5133" s="49"/>
      <c r="E5133" s="49"/>
      <c r="G5133" s="43"/>
      <c r="H5133" s="44"/>
      <c r="L5133" s="42"/>
      <c r="M5133" s="42"/>
      <c r="N5133" s="25"/>
      <c r="O5133" s="54"/>
      <c r="P5133"/>
      <c r="Q5133" s="25"/>
      <c r="R5133" s="54"/>
      <c r="W5133" s="23"/>
      <c r="X5133" s="23"/>
      <c r="Y5133" s="23"/>
      <c r="Z5133" s="43"/>
      <c r="AA5133" s="23"/>
      <c r="AB5133" s="23"/>
      <c r="AC5133" s="23"/>
      <c r="AD5133" s="23"/>
      <c r="AE5133" s="23"/>
      <c r="AF5133" s="23"/>
      <c r="AG5133" s="23"/>
      <c r="AH5133" s="23"/>
      <c r="AI5133" s="49"/>
    </row>
    <row r="5134" spans="1:35">
      <c r="A5134" s="49"/>
      <c r="B5134" s="42"/>
      <c r="C5134" s="49"/>
      <c r="E5134" s="49"/>
      <c r="G5134" s="43"/>
      <c r="H5134" s="44"/>
      <c r="L5134" s="42"/>
      <c r="M5134" s="42"/>
      <c r="N5134" s="25"/>
      <c r="O5134" s="54"/>
      <c r="P5134"/>
      <c r="Q5134" s="25"/>
      <c r="R5134" s="54"/>
      <c r="W5134" s="23"/>
      <c r="X5134" s="23"/>
      <c r="Y5134" s="23"/>
      <c r="Z5134" s="43"/>
      <c r="AA5134" s="23"/>
      <c r="AB5134" s="23"/>
      <c r="AC5134" s="23"/>
      <c r="AD5134" s="23"/>
      <c r="AE5134" s="23"/>
      <c r="AF5134" s="23"/>
      <c r="AG5134" s="23"/>
      <c r="AH5134" s="23"/>
      <c r="AI5134" s="49"/>
    </row>
    <row r="5135" spans="1:35">
      <c r="A5135" s="23"/>
      <c r="B5135" s="42"/>
      <c r="G5135" s="43"/>
      <c r="H5135" s="44"/>
      <c r="L5135" s="42"/>
      <c r="M5135" s="42"/>
      <c r="N5135" s="25"/>
      <c r="O5135" s="54"/>
      <c r="P5135"/>
      <c r="Q5135" s="25"/>
      <c r="R5135" s="54"/>
      <c r="W5135" s="23"/>
      <c r="X5135" s="23"/>
      <c r="Y5135" s="23"/>
      <c r="Z5135" s="43"/>
      <c r="AA5135" s="23"/>
      <c r="AB5135" s="23"/>
      <c r="AC5135" s="23"/>
      <c r="AD5135" s="23"/>
      <c r="AE5135" s="23"/>
      <c r="AF5135" s="23"/>
      <c r="AG5135" s="23"/>
      <c r="AH5135" s="23"/>
    </row>
    <row r="5136" spans="1:35">
      <c r="A5136" s="49"/>
      <c r="B5136" s="42"/>
      <c r="C5136" s="49"/>
      <c r="E5136" s="49"/>
      <c r="G5136" s="43"/>
      <c r="H5136" s="44"/>
      <c r="L5136" s="42"/>
      <c r="M5136" s="42"/>
      <c r="N5136" s="25"/>
      <c r="O5136" s="54"/>
      <c r="P5136"/>
      <c r="Q5136" s="25"/>
      <c r="R5136" s="54"/>
      <c r="W5136" s="23"/>
      <c r="X5136" s="23"/>
      <c r="Y5136" s="23"/>
      <c r="Z5136" s="43"/>
      <c r="AA5136" s="23"/>
      <c r="AB5136" s="23"/>
      <c r="AC5136" s="23"/>
      <c r="AD5136" s="23"/>
      <c r="AE5136" s="23"/>
      <c r="AF5136" s="23"/>
      <c r="AG5136" s="23"/>
      <c r="AH5136" s="23"/>
      <c r="AI5136" s="49"/>
    </row>
    <row r="5137" spans="1:35">
      <c r="A5137" s="49"/>
      <c r="B5137" s="42"/>
      <c r="C5137" s="49"/>
      <c r="E5137" s="49"/>
      <c r="G5137" s="43"/>
      <c r="H5137" s="44"/>
      <c r="L5137" s="42"/>
      <c r="M5137" s="42"/>
      <c r="N5137" s="25"/>
      <c r="O5137" s="54"/>
      <c r="P5137"/>
      <c r="Q5137" s="25"/>
      <c r="R5137" s="54"/>
      <c r="W5137" s="23"/>
      <c r="X5137" s="23"/>
      <c r="Y5137" s="23"/>
      <c r="Z5137" s="43"/>
      <c r="AA5137" s="23"/>
      <c r="AB5137" s="23"/>
      <c r="AC5137" s="23"/>
      <c r="AD5137" s="23"/>
      <c r="AE5137" s="23"/>
      <c r="AF5137" s="23"/>
      <c r="AG5137" s="23"/>
      <c r="AH5137" s="23"/>
      <c r="AI5137" s="49"/>
    </row>
    <row r="5138" spans="1:35">
      <c r="A5138" s="50"/>
      <c r="B5138" s="42"/>
      <c r="G5138" s="43"/>
      <c r="H5138" s="44"/>
      <c r="L5138" s="42"/>
      <c r="M5138" s="42"/>
      <c r="N5138" s="25"/>
      <c r="O5138" s="54"/>
      <c r="P5138"/>
      <c r="Q5138" s="25"/>
      <c r="R5138" s="54"/>
      <c r="W5138" s="23"/>
      <c r="X5138" s="23"/>
      <c r="Y5138" s="23"/>
      <c r="Z5138" s="43"/>
      <c r="AA5138" s="23"/>
      <c r="AB5138" s="23"/>
      <c r="AC5138" s="23"/>
      <c r="AD5138" s="23"/>
      <c r="AE5138" s="23"/>
      <c r="AF5138" s="23"/>
      <c r="AG5138" s="23"/>
      <c r="AH5138" s="23"/>
    </row>
    <row r="5139" spans="1:35">
      <c r="A5139" s="50"/>
      <c r="B5139" s="42"/>
      <c r="G5139" s="43"/>
      <c r="H5139" s="44"/>
      <c r="L5139" s="42"/>
      <c r="M5139" s="42"/>
      <c r="N5139" s="25"/>
      <c r="O5139" s="54"/>
      <c r="P5139"/>
      <c r="Q5139" s="25"/>
      <c r="R5139" s="54"/>
      <c r="W5139" s="23"/>
      <c r="X5139" s="23"/>
      <c r="Y5139" s="23"/>
      <c r="Z5139" s="43"/>
      <c r="AA5139" s="23"/>
      <c r="AB5139" s="23"/>
      <c r="AC5139" s="23"/>
      <c r="AD5139" s="23"/>
      <c r="AE5139" s="23"/>
      <c r="AF5139" s="23"/>
      <c r="AG5139" s="23"/>
      <c r="AH5139" s="23"/>
    </row>
    <row r="5140" spans="1:35">
      <c r="A5140" s="50"/>
      <c r="B5140" s="42"/>
      <c r="G5140" s="43"/>
      <c r="H5140" s="44"/>
      <c r="L5140" s="42"/>
      <c r="M5140" s="42"/>
      <c r="N5140" s="25"/>
      <c r="O5140" s="54"/>
      <c r="P5140"/>
      <c r="Q5140" s="25"/>
      <c r="R5140" s="54"/>
      <c r="W5140" s="23"/>
      <c r="X5140" s="23"/>
      <c r="Y5140" s="23"/>
      <c r="Z5140" s="43"/>
      <c r="AA5140" s="23"/>
      <c r="AB5140" s="23"/>
      <c r="AC5140" s="23"/>
      <c r="AD5140" s="23"/>
      <c r="AE5140" s="23"/>
      <c r="AF5140" s="23"/>
      <c r="AG5140" s="23"/>
      <c r="AH5140" s="23"/>
    </row>
    <row r="5141" spans="1:35">
      <c r="A5141" s="50"/>
      <c r="B5141" s="42"/>
      <c r="G5141" s="43"/>
      <c r="H5141" s="44"/>
      <c r="L5141" s="42"/>
      <c r="M5141" s="42"/>
      <c r="N5141" s="25"/>
      <c r="O5141" s="54"/>
      <c r="P5141"/>
      <c r="Q5141" s="25"/>
      <c r="R5141" s="54"/>
      <c r="W5141" s="23"/>
      <c r="X5141" s="23"/>
      <c r="Y5141" s="23"/>
      <c r="Z5141" s="43"/>
      <c r="AA5141" s="23"/>
      <c r="AB5141" s="23"/>
      <c r="AC5141" s="23"/>
      <c r="AD5141" s="23"/>
      <c r="AE5141" s="23"/>
      <c r="AF5141" s="23"/>
      <c r="AG5141" s="23"/>
      <c r="AH5141" s="23"/>
    </row>
    <row r="5142" spans="1:35">
      <c r="A5142" s="23"/>
      <c r="B5142" s="42"/>
      <c r="G5142" s="43"/>
      <c r="H5142" s="44"/>
      <c r="L5142" s="42"/>
      <c r="M5142" s="42"/>
      <c r="N5142" s="25"/>
      <c r="O5142" s="54"/>
      <c r="P5142"/>
      <c r="Q5142" s="25"/>
      <c r="R5142" s="54"/>
      <c r="W5142" s="23"/>
      <c r="X5142" s="23"/>
      <c r="Y5142" s="23"/>
      <c r="Z5142" s="43"/>
      <c r="AA5142" s="23"/>
      <c r="AB5142" s="23"/>
      <c r="AC5142" s="23"/>
      <c r="AD5142" s="23"/>
      <c r="AE5142" s="23"/>
      <c r="AF5142" s="23"/>
      <c r="AG5142" s="23"/>
      <c r="AH5142" s="23"/>
    </row>
    <row r="5143" spans="1:35">
      <c r="A5143" s="50"/>
      <c r="B5143" s="42"/>
      <c r="G5143" s="43"/>
      <c r="H5143" s="44"/>
      <c r="L5143" s="42"/>
      <c r="M5143" s="42"/>
      <c r="N5143" s="25"/>
      <c r="O5143" s="54"/>
      <c r="P5143"/>
      <c r="Q5143" s="25"/>
      <c r="R5143" s="54"/>
      <c r="W5143" s="23"/>
      <c r="X5143" s="23"/>
      <c r="Y5143" s="23"/>
      <c r="Z5143" s="43"/>
      <c r="AA5143" s="23"/>
      <c r="AB5143" s="23"/>
      <c r="AC5143" s="23"/>
      <c r="AD5143" s="23"/>
      <c r="AE5143" s="23"/>
      <c r="AF5143" s="23"/>
      <c r="AG5143" s="23"/>
      <c r="AH5143" s="23"/>
    </row>
    <row r="5144" spans="1:35">
      <c r="A5144" s="50"/>
      <c r="B5144" s="42"/>
      <c r="G5144" s="43"/>
      <c r="H5144" s="44"/>
      <c r="L5144" s="42"/>
      <c r="M5144" s="42"/>
      <c r="N5144" s="25"/>
      <c r="O5144" s="54"/>
      <c r="P5144"/>
      <c r="Q5144" s="25"/>
      <c r="R5144" s="54"/>
      <c r="W5144" s="23"/>
      <c r="X5144" s="23"/>
      <c r="Y5144" s="23"/>
      <c r="Z5144" s="43"/>
      <c r="AA5144" s="23"/>
      <c r="AB5144" s="23"/>
      <c r="AC5144" s="23"/>
      <c r="AD5144" s="23"/>
      <c r="AE5144" s="23"/>
      <c r="AF5144" s="23"/>
      <c r="AG5144" s="23"/>
      <c r="AH5144" s="23"/>
    </row>
    <row r="5145" spans="1:35">
      <c r="A5145" s="50"/>
      <c r="B5145" s="42"/>
      <c r="G5145" s="43"/>
      <c r="H5145" s="44"/>
      <c r="L5145" s="42"/>
      <c r="M5145" s="42"/>
      <c r="N5145" s="25"/>
      <c r="O5145" s="54"/>
      <c r="P5145"/>
      <c r="Q5145" s="25"/>
      <c r="R5145" s="54"/>
      <c r="W5145" s="23"/>
      <c r="X5145" s="23"/>
      <c r="Y5145" s="23"/>
      <c r="Z5145" s="43"/>
      <c r="AA5145" s="23"/>
      <c r="AB5145" s="23"/>
      <c r="AC5145" s="23"/>
      <c r="AD5145" s="23"/>
      <c r="AE5145" s="23"/>
      <c r="AF5145" s="23"/>
      <c r="AG5145" s="23"/>
      <c r="AH5145" s="23"/>
    </row>
    <row r="5146" spans="1:35">
      <c r="A5146" s="50"/>
      <c r="B5146" s="42"/>
      <c r="G5146" s="43"/>
      <c r="H5146" s="44"/>
      <c r="L5146" s="42"/>
      <c r="M5146" s="42"/>
      <c r="N5146" s="25"/>
      <c r="O5146" s="54"/>
      <c r="P5146"/>
      <c r="Q5146" s="25"/>
      <c r="R5146" s="54"/>
      <c r="W5146" s="23"/>
      <c r="X5146" s="23"/>
      <c r="Y5146" s="23"/>
      <c r="Z5146" s="43"/>
      <c r="AA5146" s="23"/>
      <c r="AB5146" s="23"/>
      <c r="AC5146" s="23"/>
      <c r="AD5146" s="23"/>
      <c r="AE5146" s="23"/>
      <c r="AF5146" s="23"/>
      <c r="AG5146" s="23"/>
      <c r="AH5146" s="23"/>
    </row>
    <row r="5147" spans="1:35">
      <c r="A5147" s="50"/>
      <c r="B5147" s="42"/>
      <c r="G5147" s="43"/>
      <c r="H5147" s="44"/>
      <c r="L5147" s="42"/>
      <c r="M5147" s="42"/>
      <c r="N5147" s="25"/>
      <c r="O5147" s="54"/>
      <c r="P5147"/>
      <c r="Q5147" s="25"/>
      <c r="R5147" s="54"/>
      <c r="W5147" s="23"/>
      <c r="X5147" s="23"/>
      <c r="Y5147" s="23"/>
      <c r="Z5147" s="43"/>
      <c r="AA5147" s="23"/>
      <c r="AB5147" s="23"/>
      <c r="AC5147" s="23"/>
      <c r="AD5147" s="23"/>
      <c r="AE5147" s="23"/>
      <c r="AF5147" s="23"/>
      <c r="AG5147" s="23"/>
      <c r="AH5147" s="23"/>
    </row>
    <row r="5148" spans="1:35">
      <c r="A5148" s="23"/>
      <c r="B5148" s="42"/>
      <c r="G5148" s="43"/>
      <c r="H5148" s="44"/>
      <c r="L5148" s="42"/>
      <c r="M5148" s="42"/>
      <c r="N5148" s="25"/>
      <c r="O5148" s="54"/>
      <c r="P5148"/>
      <c r="Q5148" s="25"/>
      <c r="R5148" s="54"/>
      <c r="W5148" s="23"/>
      <c r="X5148" s="23"/>
      <c r="Y5148" s="23"/>
      <c r="Z5148" s="43"/>
      <c r="AA5148" s="23"/>
      <c r="AB5148" s="23"/>
      <c r="AC5148" s="23"/>
      <c r="AD5148" s="23"/>
      <c r="AE5148" s="23"/>
      <c r="AF5148" s="23"/>
      <c r="AG5148" s="23"/>
      <c r="AH5148" s="23"/>
    </row>
    <row r="5149" spans="1:35">
      <c r="A5149" s="50"/>
      <c r="B5149" s="42"/>
      <c r="G5149" s="43"/>
      <c r="H5149" s="44"/>
      <c r="L5149" s="42"/>
      <c r="M5149" s="42"/>
      <c r="N5149" s="25"/>
      <c r="O5149" s="54"/>
      <c r="P5149"/>
      <c r="Q5149" s="25"/>
      <c r="R5149" s="54"/>
      <c r="W5149" s="23"/>
      <c r="X5149" s="23"/>
      <c r="Y5149" s="23"/>
      <c r="Z5149" s="43"/>
      <c r="AA5149" s="23"/>
      <c r="AB5149" s="23"/>
      <c r="AC5149" s="23"/>
      <c r="AD5149" s="23"/>
      <c r="AE5149" s="23"/>
      <c r="AF5149" s="23"/>
      <c r="AG5149" s="23"/>
      <c r="AH5149" s="23"/>
    </row>
    <row r="5150" spans="1:35">
      <c r="A5150" s="50"/>
      <c r="B5150" s="42"/>
      <c r="G5150" s="43"/>
      <c r="H5150" s="44"/>
      <c r="L5150" s="42"/>
      <c r="M5150" s="42"/>
      <c r="N5150" s="25"/>
      <c r="O5150" s="54"/>
      <c r="P5150"/>
      <c r="Q5150" s="25"/>
      <c r="R5150" s="54"/>
      <c r="W5150" s="23"/>
      <c r="X5150" s="23"/>
      <c r="Y5150" s="23"/>
      <c r="Z5150" s="43"/>
      <c r="AA5150" s="23"/>
      <c r="AB5150" s="23"/>
      <c r="AC5150" s="23"/>
      <c r="AD5150" s="23"/>
      <c r="AE5150" s="23"/>
      <c r="AF5150" s="23"/>
      <c r="AG5150" s="23"/>
      <c r="AH5150" s="23"/>
    </row>
    <row r="5151" spans="1:35">
      <c r="A5151" s="50"/>
      <c r="B5151" s="42"/>
      <c r="G5151" s="43"/>
      <c r="H5151" s="44"/>
      <c r="L5151" s="42"/>
      <c r="M5151" s="42"/>
      <c r="N5151" s="25"/>
      <c r="O5151" s="54"/>
      <c r="P5151"/>
      <c r="Q5151" s="25"/>
      <c r="R5151" s="54"/>
      <c r="W5151" s="23"/>
      <c r="X5151" s="23"/>
      <c r="Y5151" s="23"/>
      <c r="Z5151" s="43"/>
      <c r="AA5151" s="23"/>
      <c r="AB5151" s="23"/>
      <c r="AC5151" s="23"/>
      <c r="AD5151" s="23"/>
      <c r="AE5151" s="23"/>
      <c r="AF5151" s="23"/>
      <c r="AG5151" s="23"/>
      <c r="AH5151" s="23"/>
    </row>
    <row r="5152" spans="1:35">
      <c r="A5152" s="50"/>
      <c r="B5152" s="42"/>
      <c r="G5152" s="43"/>
      <c r="H5152" s="44"/>
      <c r="L5152" s="42"/>
      <c r="M5152" s="42"/>
      <c r="N5152" s="25"/>
      <c r="O5152" s="54"/>
      <c r="P5152"/>
      <c r="Q5152" s="25"/>
      <c r="R5152" s="54"/>
      <c r="W5152" s="23"/>
      <c r="X5152" s="23"/>
      <c r="Y5152" s="23"/>
      <c r="Z5152" s="43"/>
      <c r="AA5152" s="23"/>
      <c r="AB5152" s="23"/>
      <c r="AC5152" s="23"/>
      <c r="AD5152" s="23"/>
      <c r="AE5152" s="23"/>
      <c r="AF5152" s="23"/>
      <c r="AG5152" s="23"/>
      <c r="AH5152" s="23"/>
    </row>
    <row r="5153" spans="1:34">
      <c r="A5153" s="50"/>
      <c r="B5153" s="42"/>
      <c r="G5153" s="43"/>
      <c r="H5153" s="44"/>
      <c r="L5153" s="42"/>
      <c r="M5153" s="42"/>
      <c r="N5153" s="25"/>
      <c r="O5153" s="54"/>
      <c r="P5153"/>
      <c r="Q5153" s="25"/>
      <c r="R5153" s="54"/>
      <c r="W5153" s="23"/>
      <c r="X5153" s="23"/>
      <c r="Y5153" s="23"/>
      <c r="Z5153" s="43"/>
      <c r="AA5153" s="23"/>
      <c r="AB5153" s="23"/>
      <c r="AC5153" s="23"/>
      <c r="AD5153" s="23"/>
      <c r="AE5153" s="23"/>
      <c r="AF5153" s="23"/>
      <c r="AG5153" s="23"/>
      <c r="AH5153" s="23"/>
    </row>
    <row r="5154" spans="1:34">
      <c r="A5154" s="50"/>
      <c r="B5154" s="42"/>
      <c r="G5154" s="43"/>
      <c r="H5154" s="44"/>
      <c r="L5154" s="42"/>
      <c r="M5154" s="42"/>
      <c r="N5154" s="25"/>
      <c r="O5154" s="54"/>
      <c r="P5154"/>
      <c r="Q5154" s="25"/>
      <c r="R5154" s="54"/>
      <c r="W5154" s="23"/>
      <c r="X5154" s="23"/>
      <c r="Y5154" s="23"/>
      <c r="Z5154" s="43"/>
      <c r="AA5154" s="23"/>
      <c r="AB5154" s="23"/>
      <c r="AC5154" s="23"/>
      <c r="AD5154" s="23"/>
      <c r="AE5154" s="23"/>
      <c r="AF5154" s="23"/>
      <c r="AG5154" s="23"/>
      <c r="AH5154" s="23"/>
    </row>
    <row r="5155" spans="1:34">
      <c r="A5155" s="50"/>
      <c r="B5155" s="42"/>
      <c r="G5155" s="43"/>
      <c r="H5155" s="44"/>
      <c r="L5155" s="42"/>
      <c r="M5155" s="42"/>
      <c r="N5155" s="25"/>
      <c r="O5155" s="54"/>
      <c r="P5155"/>
      <c r="Q5155" s="25"/>
      <c r="R5155" s="54"/>
      <c r="W5155" s="23"/>
      <c r="X5155" s="23"/>
      <c r="Y5155" s="23"/>
      <c r="Z5155" s="43"/>
      <c r="AA5155" s="23"/>
      <c r="AB5155" s="23"/>
      <c r="AC5155" s="23"/>
      <c r="AD5155" s="23"/>
      <c r="AE5155" s="23"/>
      <c r="AF5155" s="23"/>
      <c r="AG5155" s="23"/>
      <c r="AH5155" s="23"/>
    </row>
    <row r="5156" spans="1:34">
      <c r="A5156" s="50"/>
      <c r="B5156" s="42"/>
      <c r="G5156" s="43"/>
      <c r="H5156" s="44"/>
      <c r="L5156" s="42"/>
      <c r="M5156" s="42"/>
      <c r="N5156" s="25"/>
      <c r="O5156" s="54"/>
      <c r="P5156"/>
      <c r="Q5156" s="25"/>
      <c r="R5156" s="54"/>
      <c r="W5156" s="23"/>
      <c r="X5156" s="23"/>
      <c r="Y5156" s="23"/>
      <c r="Z5156" s="43"/>
      <c r="AA5156" s="23"/>
      <c r="AB5156" s="23"/>
      <c r="AC5156" s="23"/>
      <c r="AD5156" s="23"/>
      <c r="AE5156" s="23"/>
      <c r="AF5156" s="23"/>
      <c r="AG5156" s="23"/>
      <c r="AH5156" s="23"/>
    </row>
    <row r="5157" spans="1:34">
      <c r="A5157" s="50"/>
      <c r="B5157" s="42"/>
      <c r="G5157" s="43"/>
      <c r="H5157" s="44"/>
      <c r="L5157" s="42"/>
      <c r="M5157" s="42"/>
      <c r="N5157" s="25"/>
      <c r="O5157" s="54"/>
      <c r="P5157"/>
      <c r="Q5157" s="25"/>
      <c r="R5157" s="54"/>
      <c r="W5157" s="23"/>
      <c r="X5157" s="23"/>
      <c r="Y5157" s="23"/>
      <c r="Z5157" s="43"/>
      <c r="AA5157" s="23"/>
      <c r="AB5157" s="23"/>
      <c r="AC5157" s="23"/>
      <c r="AD5157" s="23"/>
      <c r="AE5157" s="23"/>
      <c r="AF5157" s="23"/>
      <c r="AG5157" s="23"/>
      <c r="AH5157" s="23"/>
    </row>
    <row r="5158" spans="1:34">
      <c r="A5158" s="23"/>
      <c r="B5158" s="42"/>
      <c r="G5158" s="43"/>
      <c r="H5158" s="44"/>
      <c r="L5158" s="42"/>
      <c r="M5158" s="42"/>
      <c r="N5158" s="25"/>
      <c r="O5158" s="54"/>
      <c r="P5158"/>
      <c r="Q5158" s="25"/>
      <c r="R5158" s="54"/>
      <c r="W5158" s="23"/>
      <c r="X5158" s="23"/>
      <c r="Y5158" s="23"/>
      <c r="Z5158" s="43"/>
      <c r="AA5158" s="23"/>
      <c r="AB5158" s="23"/>
      <c r="AC5158" s="23"/>
      <c r="AD5158" s="23"/>
      <c r="AE5158" s="23"/>
      <c r="AF5158" s="23"/>
      <c r="AG5158" s="23"/>
      <c r="AH5158" s="23"/>
    </row>
    <row r="5159" spans="1:34">
      <c r="A5159" s="50"/>
      <c r="B5159" s="42"/>
      <c r="G5159" s="43"/>
      <c r="H5159" s="44"/>
      <c r="L5159" s="42"/>
      <c r="M5159" s="42"/>
      <c r="N5159" s="25"/>
      <c r="O5159" s="54"/>
      <c r="P5159"/>
      <c r="Q5159" s="25"/>
      <c r="R5159" s="54"/>
      <c r="W5159" s="23"/>
      <c r="X5159" s="23"/>
      <c r="Y5159" s="23"/>
      <c r="Z5159" s="43"/>
      <c r="AA5159" s="23"/>
      <c r="AB5159" s="23"/>
      <c r="AC5159" s="23"/>
      <c r="AD5159" s="23"/>
      <c r="AE5159" s="23"/>
      <c r="AF5159" s="23"/>
      <c r="AG5159" s="23"/>
      <c r="AH5159" s="23"/>
    </row>
    <row r="5160" spans="1:34">
      <c r="A5160" s="50"/>
      <c r="B5160" s="42"/>
      <c r="G5160" s="43"/>
      <c r="H5160" s="44"/>
      <c r="L5160" s="42"/>
      <c r="M5160" s="42"/>
      <c r="N5160" s="25"/>
      <c r="O5160" s="54"/>
      <c r="P5160"/>
      <c r="Q5160" s="25"/>
      <c r="R5160" s="54"/>
      <c r="W5160" s="23"/>
      <c r="X5160" s="23"/>
      <c r="Y5160" s="23"/>
      <c r="Z5160" s="43"/>
      <c r="AA5160" s="23"/>
      <c r="AB5160" s="23"/>
      <c r="AC5160" s="23"/>
      <c r="AD5160" s="23"/>
      <c r="AE5160" s="23"/>
      <c r="AF5160" s="23"/>
      <c r="AG5160" s="23"/>
      <c r="AH5160" s="23"/>
    </row>
    <row r="5161" spans="1:34">
      <c r="A5161" s="50"/>
      <c r="B5161" s="42"/>
      <c r="G5161" s="43"/>
      <c r="H5161" s="44"/>
      <c r="L5161" s="42"/>
      <c r="M5161" s="42"/>
      <c r="N5161" s="25"/>
      <c r="O5161" s="54"/>
      <c r="P5161"/>
      <c r="Q5161" s="25"/>
      <c r="R5161" s="54"/>
      <c r="W5161" s="23"/>
      <c r="X5161" s="23"/>
      <c r="Y5161" s="23"/>
      <c r="Z5161" s="43"/>
      <c r="AA5161" s="23"/>
      <c r="AB5161" s="23"/>
      <c r="AC5161" s="23"/>
      <c r="AD5161" s="23"/>
      <c r="AE5161" s="23"/>
      <c r="AF5161" s="23"/>
      <c r="AG5161" s="23"/>
      <c r="AH5161" s="23"/>
    </row>
    <row r="5162" spans="1:34">
      <c r="A5162" s="50"/>
      <c r="B5162" s="42"/>
      <c r="G5162" s="43"/>
      <c r="H5162" s="44"/>
      <c r="L5162" s="42"/>
      <c r="M5162" s="42"/>
      <c r="N5162" s="25"/>
      <c r="O5162" s="54"/>
      <c r="P5162"/>
      <c r="Q5162" s="25"/>
      <c r="R5162" s="54"/>
      <c r="W5162" s="23"/>
      <c r="X5162" s="23"/>
      <c r="Y5162" s="23"/>
      <c r="Z5162" s="43"/>
      <c r="AA5162" s="23"/>
      <c r="AB5162" s="23"/>
      <c r="AC5162" s="23"/>
      <c r="AD5162" s="23"/>
      <c r="AE5162" s="23"/>
      <c r="AF5162" s="23"/>
      <c r="AG5162" s="23"/>
      <c r="AH5162" s="23"/>
    </row>
    <row r="5163" spans="1:34">
      <c r="A5163" s="50"/>
      <c r="B5163" s="42"/>
      <c r="G5163" s="43"/>
      <c r="H5163" s="44"/>
      <c r="L5163" s="42"/>
      <c r="M5163" s="42"/>
      <c r="N5163" s="25"/>
      <c r="O5163" s="54"/>
      <c r="P5163"/>
      <c r="Q5163" s="25"/>
      <c r="R5163" s="54"/>
      <c r="W5163" s="23"/>
      <c r="X5163" s="23"/>
      <c r="Y5163" s="23"/>
      <c r="Z5163" s="43"/>
      <c r="AA5163" s="23"/>
      <c r="AB5163" s="23"/>
      <c r="AC5163" s="23"/>
      <c r="AD5163" s="23"/>
      <c r="AE5163" s="23"/>
      <c r="AF5163" s="23"/>
      <c r="AG5163" s="23"/>
      <c r="AH5163" s="23"/>
    </row>
    <row r="5164" spans="1:34">
      <c r="A5164" s="23"/>
      <c r="B5164" s="42"/>
      <c r="G5164" s="43"/>
      <c r="H5164" s="44"/>
      <c r="L5164" s="42"/>
      <c r="M5164" s="42"/>
      <c r="N5164" s="25"/>
      <c r="O5164" s="54"/>
      <c r="P5164"/>
      <c r="Q5164" s="25"/>
      <c r="R5164" s="54"/>
      <c r="W5164" s="23"/>
      <c r="X5164" s="23"/>
      <c r="Y5164" s="23"/>
      <c r="Z5164" s="43"/>
      <c r="AA5164" s="23"/>
      <c r="AB5164" s="23"/>
      <c r="AC5164" s="23"/>
      <c r="AD5164" s="23"/>
      <c r="AE5164" s="23"/>
      <c r="AF5164" s="23"/>
      <c r="AG5164" s="23"/>
      <c r="AH5164" s="23"/>
    </row>
    <row r="5165" spans="1:34">
      <c r="A5165" s="49"/>
      <c r="B5165" s="42"/>
      <c r="G5165" s="43"/>
      <c r="H5165" s="44"/>
      <c r="L5165" s="42"/>
      <c r="M5165" s="42"/>
      <c r="N5165" s="25"/>
      <c r="O5165" s="54"/>
      <c r="P5165"/>
      <c r="Q5165" s="25"/>
      <c r="R5165" s="54"/>
      <c r="W5165" s="23"/>
      <c r="X5165" s="23"/>
      <c r="Y5165" s="23"/>
      <c r="Z5165" s="43"/>
      <c r="AA5165" s="23"/>
      <c r="AB5165" s="23"/>
      <c r="AC5165" s="23"/>
      <c r="AD5165" s="23"/>
      <c r="AE5165" s="23"/>
      <c r="AF5165" s="23"/>
      <c r="AG5165" s="23"/>
      <c r="AH5165" s="23"/>
    </row>
    <row r="5166" spans="1:34">
      <c r="A5166" s="49"/>
      <c r="B5166" s="42"/>
      <c r="G5166" s="43"/>
      <c r="H5166" s="44"/>
      <c r="L5166" s="42"/>
      <c r="M5166" s="42"/>
      <c r="N5166" s="25"/>
      <c r="O5166" s="54"/>
      <c r="P5166"/>
      <c r="Q5166" s="25"/>
      <c r="R5166" s="54"/>
      <c r="W5166" s="23"/>
      <c r="X5166" s="23"/>
      <c r="Y5166" s="23"/>
      <c r="Z5166" s="43"/>
      <c r="AA5166" s="23"/>
      <c r="AB5166" s="23"/>
      <c r="AC5166" s="23"/>
      <c r="AD5166" s="23"/>
      <c r="AE5166" s="23"/>
      <c r="AF5166" s="23"/>
      <c r="AG5166" s="23"/>
      <c r="AH5166" s="23"/>
    </row>
    <row r="5167" spans="1:34">
      <c r="A5167" s="49"/>
      <c r="B5167" s="42"/>
      <c r="G5167" s="43"/>
      <c r="H5167" s="44"/>
      <c r="L5167" s="42"/>
      <c r="M5167" s="42"/>
      <c r="N5167" s="25"/>
      <c r="O5167" s="54"/>
      <c r="P5167"/>
      <c r="Q5167" s="25"/>
      <c r="R5167" s="54"/>
      <c r="W5167" s="23"/>
      <c r="X5167" s="23"/>
      <c r="Y5167" s="23"/>
      <c r="Z5167" s="43"/>
      <c r="AA5167" s="23"/>
      <c r="AB5167" s="23"/>
      <c r="AC5167" s="23"/>
      <c r="AD5167" s="23"/>
      <c r="AE5167" s="23"/>
      <c r="AF5167" s="23"/>
      <c r="AG5167" s="23"/>
      <c r="AH5167" s="23"/>
    </row>
    <row r="5168" spans="1:34">
      <c r="A5168" s="49"/>
      <c r="B5168" s="42"/>
      <c r="G5168" s="43"/>
      <c r="H5168" s="44"/>
      <c r="L5168" s="42"/>
      <c r="M5168" s="42"/>
      <c r="N5168" s="25"/>
      <c r="O5168" s="54"/>
      <c r="P5168"/>
      <c r="Q5168" s="25"/>
      <c r="R5168" s="54"/>
      <c r="W5168" s="23"/>
      <c r="X5168" s="23"/>
      <c r="Y5168" s="23"/>
      <c r="Z5168" s="43"/>
      <c r="AA5168" s="23"/>
      <c r="AB5168" s="23"/>
      <c r="AC5168" s="23"/>
      <c r="AD5168" s="23"/>
      <c r="AE5168" s="23"/>
      <c r="AF5168" s="23"/>
      <c r="AG5168" s="23"/>
      <c r="AH5168" s="23"/>
    </row>
    <row r="5169" spans="1:34">
      <c r="A5169" s="49"/>
      <c r="B5169" s="42"/>
      <c r="G5169" s="43"/>
      <c r="H5169" s="44"/>
      <c r="L5169" s="42"/>
      <c r="M5169" s="42"/>
      <c r="N5169" s="25"/>
      <c r="O5169" s="54"/>
      <c r="P5169"/>
      <c r="Q5169" s="25"/>
      <c r="R5169" s="54"/>
      <c r="W5169" s="23"/>
      <c r="X5169" s="23"/>
      <c r="Y5169" s="23"/>
      <c r="Z5169" s="43"/>
      <c r="AA5169" s="23"/>
      <c r="AB5169" s="23"/>
      <c r="AC5169" s="23"/>
      <c r="AD5169" s="23"/>
      <c r="AE5169" s="23"/>
      <c r="AF5169" s="23"/>
      <c r="AG5169" s="23"/>
      <c r="AH5169" s="23"/>
    </row>
    <row r="5170" spans="1:34">
      <c r="A5170" s="49"/>
      <c r="B5170" s="42"/>
      <c r="G5170" s="43"/>
      <c r="H5170" s="44"/>
      <c r="L5170" s="42"/>
      <c r="M5170" s="42"/>
      <c r="N5170" s="25"/>
      <c r="O5170" s="54"/>
      <c r="P5170"/>
      <c r="Q5170" s="25"/>
      <c r="R5170" s="54"/>
      <c r="W5170" s="23"/>
      <c r="X5170" s="23"/>
      <c r="Y5170" s="23"/>
      <c r="Z5170" s="43"/>
      <c r="AA5170" s="23"/>
      <c r="AB5170" s="23"/>
      <c r="AC5170" s="23"/>
      <c r="AD5170" s="23"/>
      <c r="AE5170" s="23"/>
      <c r="AF5170" s="23"/>
      <c r="AG5170" s="23"/>
      <c r="AH5170" s="23"/>
    </row>
    <row r="5171" spans="1:34">
      <c r="A5171" s="49"/>
      <c r="B5171" s="42"/>
      <c r="G5171" s="43"/>
      <c r="H5171" s="44"/>
      <c r="L5171" s="42"/>
      <c r="M5171" s="42"/>
      <c r="N5171" s="25"/>
      <c r="O5171" s="54"/>
      <c r="P5171"/>
      <c r="Q5171" s="25"/>
      <c r="R5171" s="54"/>
      <c r="W5171" s="23"/>
      <c r="X5171" s="23"/>
      <c r="Y5171" s="23"/>
      <c r="Z5171" s="43"/>
      <c r="AA5171" s="23"/>
      <c r="AB5171" s="23"/>
      <c r="AC5171" s="23"/>
      <c r="AD5171" s="23"/>
      <c r="AE5171" s="23"/>
      <c r="AF5171" s="23"/>
      <c r="AG5171" s="23"/>
      <c r="AH5171" s="23"/>
    </row>
    <row r="5172" spans="1:34">
      <c r="A5172" s="49"/>
      <c r="B5172" s="42"/>
      <c r="G5172" s="43"/>
      <c r="H5172" s="44"/>
      <c r="L5172" s="42"/>
      <c r="M5172" s="42"/>
      <c r="N5172" s="25"/>
      <c r="O5172" s="54"/>
      <c r="P5172"/>
      <c r="Q5172" s="25"/>
      <c r="R5172" s="54"/>
      <c r="W5172" s="23"/>
      <c r="X5172" s="23"/>
      <c r="Y5172" s="23"/>
      <c r="Z5172" s="43"/>
      <c r="AA5172" s="23"/>
      <c r="AB5172" s="23"/>
      <c r="AC5172" s="23"/>
      <c r="AD5172" s="23"/>
      <c r="AE5172" s="23"/>
      <c r="AF5172" s="23"/>
      <c r="AG5172" s="23"/>
      <c r="AH5172" s="23"/>
    </row>
    <row r="5173" spans="1:34">
      <c r="A5173" s="49"/>
      <c r="B5173" s="42"/>
      <c r="G5173" s="43"/>
      <c r="H5173" s="44"/>
      <c r="L5173" s="42"/>
      <c r="M5173" s="42"/>
      <c r="N5173" s="25"/>
      <c r="O5173" s="54"/>
      <c r="P5173"/>
      <c r="Q5173" s="25"/>
      <c r="R5173" s="54"/>
      <c r="W5173" s="23"/>
      <c r="X5173" s="23"/>
      <c r="Y5173" s="23"/>
      <c r="Z5173" s="43"/>
      <c r="AA5173" s="23"/>
      <c r="AB5173" s="23"/>
      <c r="AC5173" s="23"/>
      <c r="AD5173" s="23"/>
      <c r="AE5173" s="23"/>
      <c r="AF5173" s="23"/>
      <c r="AG5173" s="23"/>
      <c r="AH5173" s="23"/>
    </row>
    <row r="5174" spans="1:34">
      <c r="A5174" s="49"/>
      <c r="B5174" s="42"/>
      <c r="G5174" s="43"/>
      <c r="H5174" s="44"/>
      <c r="L5174" s="42"/>
      <c r="M5174" s="42"/>
      <c r="N5174" s="25"/>
      <c r="O5174" s="54"/>
      <c r="P5174"/>
      <c r="Q5174" s="25"/>
      <c r="R5174" s="54"/>
      <c r="W5174" s="23"/>
      <c r="X5174" s="23"/>
      <c r="Y5174" s="23"/>
      <c r="Z5174" s="43"/>
      <c r="AA5174" s="23"/>
      <c r="AB5174" s="23"/>
      <c r="AC5174" s="23"/>
      <c r="AD5174" s="23"/>
      <c r="AE5174" s="23"/>
      <c r="AF5174" s="23"/>
      <c r="AG5174" s="23"/>
      <c r="AH5174" s="23"/>
    </row>
    <row r="5175" spans="1:34">
      <c r="A5175" s="49"/>
      <c r="B5175" s="42"/>
      <c r="G5175" s="43"/>
      <c r="H5175" s="44"/>
      <c r="L5175" s="42"/>
      <c r="M5175" s="42"/>
      <c r="N5175" s="25"/>
      <c r="O5175" s="54"/>
      <c r="P5175"/>
      <c r="Q5175" s="25"/>
      <c r="R5175" s="54"/>
      <c r="W5175" s="23"/>
      <c r="X5175" s="23"/>
      <c r="Y5175" s="23"/>
      <c r="Z5175" s="43"/>
      <c r="AA5175" s="23"/>
      <c r="AB5175" s="23"/>
      <c r="AC5175" s="23"/>
      <c r="AD5175" s="23"/>
      <c r="AE5175" s="23"/>
      <c r="AF5175" s="23"/>
      <c r="AG5175" s="23"/>
      <c r="AH5175" s="23"/>
    </row>
    <row r="5176" spans="1:34">
      <c r="A5176" s="49"/>
      <c r="B5176" s="42"/>
      <c r="G5176" s="43"/>
      <c r="H5176" s="44"/>
      <c r="L5176" s="42"/>
      <c r="M5176" s="42"/>
      <c r="N5176" s="25"/>
      <c r="O5176" s="54"/>
      <c r="P5176"/>
      <c r="Q5176" s="25"/>
      <c r="R5176" s="54"/>
      <c r="W5176" s="23"/>
      <c r="X5176" s="23"/>
      <c r="Y5176" s="23"/>
      <c r="Z5176" s="43"/>
      <c r="AA5176" s="23"/>
      <c r="AB5176" s="23"/>
      <c r="AC5176" s="23"/>
      <c r="AD5176" s="23"/>
      <c r="AE5176" s="23"/>
      <c r="AF5176" s="23"/>
      <c r="AG5176" s="23"/>
      <c r="AH5176" s="23"/>
    </row>
    <row r="5177" spans="1:34">
      <c r="A5177" s="49"/>
      <c r="B5177" s="42"/>
      <c r="G5177" s="43"/>
      <c r="H5177" s="44"/>
      <c r="L5177" s="42"/>
      <c r="M5177" s="42"/>
      <c r="N5177" s="25"/>
      <c r="O5177" s="54"/>
      <c r="P5177"/>
      <c r="Q5177" s="25"/>
      <c r="R5177" s="54"/>
      <c r="W5177" s="23"/>
      <c r="X5177" s="23"/>
      <c r="Y5177" s="23"/>
      <c r="Z5177" s="43"/>
      <c r="AA5177" s="23"/>
      <c r="AB5177" s="23"/>
      <c r="AC5177" s="23"/>
      <c r="AD5177" s="23"/>
      <c r="AE5177" s="23"/>
      <c r="AF5177" s="23"/>
      <c r="AG5177" s="23"/>
      <c r="AH5177" s="23"/>
    </row>
    <row r="5178" spans="1:34">
      <c r="A5178" s="49"/>
      <c r="B5178" s="42"/>
      <c r="G5178" s="43"/>
      <c r="H5178" s="44"/>
      <c r="L5178" s="42"/>
      <c r="M5178" s="42"/>
      <c r="N5178" s="25"/>
      <c r="O5178" s="54"/>
      <c r="P5178"/>
      <c r="Q5178" s="25"/>
      <c r="R5178" s="54"/>
      <c r="W5178" s="23"/>
      <c r="X5178" s="23"/>
      <c r="Y5178" s="23"/>
      <c r="Z5178" s="43"/>
      <c r="AA5178" s="23"/>
      <c r="AB5178" s="23"/>
      <c r="AC5178" s="23"/>
      <c r="AD5178" s="23"/>
      <c r="AE5178" s="23"/>
      <c r="AF5178" s="23"/>
      <c r="AG5178" s="23"/>
      <c r="AH5178" s="23"/>
    </row>
    <row r="5179" spans="1:34">
      <c r="A5179" s="49"/>
      <c r="B5179" s="42"/>
      <c r="G5179" s="43"/>
      <c r="H5179" s="44"/>
      <c r="L5179" s="42"/>
      <c r="M5179" s="42"/>
      <c r="N5179" s="25"/>
      <c r="O5179" s="54"/>
      <c r="P5179"/>
      <c r="Q5179" s="25"/>
      <c r="R5179" s="54"/>
      <c r="W5179" s="23"/>
      <c r="X5179" s="23"/>
      <c r="Y5179" s="23"/>
      <c r="Z5179" s="43"/>
      <c r="AA5179" s="23"/>
      <c r="AB5179" s="23"/>
      <c r="AC5179" s="23"/>
      <c r="AD5179" s="23"/>
      <c r="AE5179" s="23"/>
      <c r="AF5179" s="23"/>
      <c r="AG5179" s="23"/>
      <c r="AH5179" s="23"/>
    </row>
    <row r="5180" spans="1:34">
      <c r="A5180" s="49"/>
      <c r="B5180" s="42"/>
      <c r="G5180" s="43"/>
      <c r="H5180" s="44"/>
      <c r="L5180" s="42"/>
      <c r="M5180" s="42"/>
      <c r="N5180" s="25"/>
      <c r="O5180" s="54"/>
      <c r="P5180"/>
      <c r="Q5180" s="25"/>
      <c r="R5180" s="54"/>
      <c r="W5180" s="23"/>
      <c r="X5180" s="23"/>
      <c r="Y5180" s="23"/>
      <c r="Z5180" s="43"/>
      <c r="AA5180" s="23"/>
      <c r="AB5180" s="23"/>
      <c r="AC5180" s="23"/>
      <c r="AD5180" s="23"/>
      <c r="AE5180" s="23"/>
      <c r="AF5180" s="23"/>
      <c r="AG5180" s="23"/>
      <c r="AH5180" s="23"/>
    </row>
    <row r="5181" spans="1:34">
      <c r="A5181" s="49"/>
      <c r="B5181" s="42"/>
      <c r="G5181" s="43"/>
      <c r="H5181" s="44"/>
      <c r="L5181" s="42"/>
      <c r="M5181" s="42"/>
      <c r="N5181" s="25"/>
      <c r="O5181" s="54"/>
      <c r="P5181"/>
      <c r="Q5181" s="25"/>
      <c r="R5181" s="54"/>
      <c r="W5181" s="23"/>
      <c r="X5181" s="23"/>
      <c r="Y5181" s="23"/>
      <c r="Z5181" s="43"/>
      <c r="AA5181" s="23"/>
      <c r="AB5181" s="23"/>
      <c r="AC5181" s="23"/>
      <c r="AD5181" s="23"/>
      <c r="AE5181" s="23"/>
      <c r="AF5181" s="23"/>
      <c r="AG5181" s="23"/>
      <c r="AH5181" s="23"/>
    </row>
    <row r="5182" spans="1:34">
      <c r="A5182" s="49"/>
      <c r="B5182" s="42"/>
      <c r="G5182" s="43"/>
      <c r="H5182" s="44"/>
      <c r="L5182" s="42"/>
      <c r="M5182" s="42"/>
      <c r="N5182" s="25"/>
      <c r="O5182" s="54"/>
      <c r="P5182"/>
      <c r="Q5182" s="25"/>
      <c r="R5182" s="54"/>
      <c r="W5182" s="23"/>
      <c r="X5182" s="23"/>
      <c r="Y5182" s="23"/>
      <c r="Z5182" s="43"/>
      <c r="AA5182" s="23"/>
      <c r="AB5182" s="23"/>
      <c r="AC5182" s="23"/>
      <c r="AD5182" s="23"/>
      <c r="AE5182" s="23"/>
      <c r="AF5182" s="23"/>
      <c r="AG5182" s="23"/>
      <c r="AH5182" s="23"/>
    </row>
    <row r="5183" spans="1:34">
      <c r="A5183" s="49"/>
      <c r="B5183" s="42"/>
      <c r="G5183" s="43"/>
      <c r="H5183" s="44"/>
      <c r="L5183" s="42"/>
      <c r="M5183" s="42"/>
      <c r="N5183" s="25"/>
      <c r="O5183" s="54"/>
      <c r="P5183"/>
      <c r="Q5183" s="25"/>
      <c r="R5183" s="54"/>
      <c r="W5183" s="23"/>
      <c r="X5183" s="23"/>
      <c r="Y5183" s="23"/>
      <c r="Z5183" s="43"/>
      <c r="AA5183" s="23"/>
      <c r="AB5183" s="23"/>
      <c r="AC5183" s="23"/>
      <c r="AD5183" s="23"/>
      <c r="AE5183" s="23"/>
      <c r="AF5183" s="23"/>
      <c r="AG5183" s="23"/>
      <c r="AH5183" s="23"/>
    </row>
    <row r="5184" spans="1:34">
      <c r="A5184" s="49"/>
      <c r="B5184" s="42"/>
      <c r="G5184" s="43"/>
      <c r="H5184" s="44"/>
      <c r="L5184" s="42"/>
      <c r="M5184" s="42"/>
      <c r="N5184" s="25"/>
      <c r="O5184" s="54"/>
      <c r="P5184"/>
      <c r="Q5184" s="25"/>
      <c r="R5184" s="54"/>
      <c r="W5184" s="23"/>
      <c r="X5184" s="23"/>
      <c r="Y5184" s="23"/>
      <c r="Z5184" s="43"/>
      <c r="AA5184" s="23"/>
      <c r="AB5184" s="23"/>
      <c r="AC5184" s="23"/>
      <c r="AD5184" s="23"/>
      <c r="AE5184" s="23"/>
      <c r="AF5184" s="23"/>
      <c r="AG5184" s="23"/>
      <c r="AH5184" s="23"/>
    </row>
    <row r="5185" spans="1:34">
      <c r="A5185" s="49"/>
      <c r="B5185" s="42"/>
      <c r="G5185" s="43"/>
      <c r="H5185" s="44"/>
      <c r="L5185" s="42"/>
      <c r="M5185" s="42"/>
      <c r="N5185" s="25"/>
      <c r="O5185" s="54"/>
      <c r="P5185"/>
      <c r="Q5185" s="25"/>
      <c r="R5185" s="54"/>
      <c r="W5185" s="23"/>
      <c r="X5185" s="23"/>
      <c r="Y5185" s="23"/>
      <c r="Z5185" s="43"/>
      <c r="AA5185" s="23"/>
      <c r="AB5185" s="23"/>
      <c r="AC5185" s="23"/>
      <c r="AD5185" s="23"/>
      <c r="AE5185" s="23"/>
      <c r="AF5185" s="23"/>
      <c r="AG5185" s="23"/>
      <c r="AH5185" s="23"/>
    </row>
    <row r="5186" spans="1:34">
      <c r="A5186" s="49"/>
      <c r="B5186" s="42"/>
      <c r="G5186" s="43"/>
      <c r="H5186" s="44"/>
      <c r="L5186" s="42"/>
      <c r="M5186" s="42"/>
      <c r="N5186" s="25"/>
      <c r="O5186" s="54"/>
      <c r="P5186"/>
      <c r="Q5186" s="25"/>
      <c r="R5186" s="54"/>
      <c r="W5186" s="23"/>
      <c r="X5186" s="23"/>
      <c r="Y5186" s="23"/>
      <c r="Z5186" s="43"/>
      <c r="AA5186" s="23"/>
      <c r="AB5186" s="23"/>
      <c r="AC5186" s="23"/>
      <c r="AD5186" s="23"/>
      <c r="AE5186" s="23"/>
      <c r="AF5186" s="23"/>
      <c r="AG5186" s="23"/>
      <c r="AH5186" s="23"/>
    </row>
    <row r="5187" spans="1:34">
      <c r="A5187" s="49"/>
      <c r="B5187" s="42"/>
      <c r="G5187" s="43"/>
      <c r="H5187" s="44"/>
      <c r="L5187" s="42"/>
      <c r="M5187" s="42"/>
      <c r="N5187" s="25"/>
      <c r="O5187" s="54"/>
      <c r="P5187"/>
      <c r="Q5187" s="25"/>
      <c r="R5187" s="54"/>
      <c r="W5187" s="23"/>
      <c r="X5187" s="23"/>
      <c r="Y5187" s="23"/>
      <c r="Z5187" s="43"/>
      <c r="AA5187" s="23"/>
      <c r="AB5187" s="23"/>
      <c r="AC5187" s="23"/>
      <c r="AD5187" s="23"/>
      <c r="AE5187" s="23"/>
      <c r="AF5187" s="23"/>
      <c r="AG5187" s="23"/>
      <c r="AH5187" s="23"/>
    </row>
    <row r="5188" spans="1:34">
      <c r="A5188" s="49"/>
      <c r="B5188" s="42"/>
      <c r="G5188" s="43"/>
      <c r="H5188" s="44"/>
      <c r="L5188" s="42"/>
      <c r="M5188" s="42"/>
      <c r="N5188" s="25"/>
      <c r="O5188" s="54"/>
      <c r="P5188"/>
      <c r="Q5188" s="25"/>
      <c r="R5188" s="54"/>
      <c r="W5188" s="23"/>
      <c r="X5188" s="23"/>
      <c r="Y5188" s="23"/>
      <c r="Z5188" s="43"/>
      <c r="AA5188" s="23"/>
      <c r="AB5188" s="23"/>
      <c r="AC5188" s="23"/>
      <c r="AD5188" s="23"/>
      <c r="AE5188" s="23"/>
      <c r="AF5188" s="23"/>
      <c r="AG5188" s="23"/>
      <c r="AH5188" s="23"/>
    </row>
    <row r="5189" spans="1:34">
      <c r="A5189" s="23"/>
      <c r="B5189" s="42"/>
      <c r="G5189" s="43"/>
      <c r="H5189" s="44"/>
      <c r="L5189" s="42"/>
      <c r="M5189" s="42"/>
      <c r="N5189" s="25"/>
      <c r="O5189" s="54"/>
      <c r="P5189"/>
      <c r="Q5189" s="25"/>
      <c r="R5189" s="54"/>
      <c r="W5189" s="23"/>
      <c r="X5189" s="23"/>
      <c r="Y5189" s="23"/>
      <c r="Z5189" s="43"/>
      <c r="AA5189" s="23"/>
      <c r="AB5189" s="23"/>
      <c r="AC5189" s="23"/>
      <c r="AD5189" s="23"/>
      <c r="AE5189" s="23"/>
      <c r="AF5189" s="23"/>
      <c r="AG5189" s="23"/>
      <c r="AH5189" s="23"/>
    </row>
    <row r="5190" spans="1:34">
      <c r="A5190" s="23"/>
      <c r="B5190" s="42"/>
      <c r="G5190" s="43"/>
      <c r="H5190" s="44"/>
      <c r="L5190" s="42"/>
      <c r="M5190" s="42"/>
      <c r="N5190" s="25"/>
      <c r="O5190" s="54"/>
      <c r="P5190"/>
      <c r="Q5190" s="25"/>
      <c r="R5190" s="54"/>
      <c r="W5190" s="23"/>
      <c r="X5190" s="23"/>
      <c r="Y5190" s="23"/>
      <c r="Z5190" s="43"/>
      <c r="AA5190" s="23"/>
      <c r="AB5190" s="23"/>
      <c r="AC5190" s="23"/>
      <c r="AD5190" s="23"/>
      <c r="AE5190" s="23"/>
      <c r="AF5190" s="23"/>
      <c r="AG5190" s="23"/>
      <c r="AH5190" s="23"/>
    </row>
    <row r="5191" spans="1:34">
      <c r="A5191" s="23"/>
      <c r="B5191" s="42"/>
      <c r="G5191" s="43"/>
      <c r="H5191" s="44"/>
      <c r="L5191" s="42"/>
      <c r="M5191" s="42"/>
      <c r="N5191" s="25"/>
      <c r="O5191" s="54"/>
      <c r="P5191"/>
      <c r="Q5191" s="25"/>
      <c r="R5191" s="54"/>
      <c r="W5191" s="23"/>
      <c r="X5191" s="23"/>
      <c r="Y5191" s="23"/>
      <c r="Z5191" s="43"/>
      <c r="AA5191" s="23"/>
      <c r="AB5191" s="23"/>
      <c r="AC5191" s="23"/>
      <c r="AD5191" s="23"/>
      <c r="AE5191" s="23"/>
      <c r="AF5191" s="23"/>
      <c r="AG5191" s="23"/>
      <c r="AH5191" s="23"/>
    </row>
    <row r="5192" spans="1:34">
      <c r="A5192" s="49"/>
      <c r="B5192" s="42"/>
      <c r="G5192" s="43"/>
      <c r="H5192" s="44"/>
      <c r="L5192" s="42"/>
      <c r="M5192" s="42"/>
      <c r="N5192" s="25"/>
      <c r="O5192" s="54"/>
      <c r="P5192"/>
      <c r="Q5192" s="25"/>
      <c r="R5192" s="54"/>
      <c r="W5192" s="23"/>
      <c r="X5192" s="23"/>
      <c r="Y5192" s="23"/>
      <c r="Z5192" s="43"/>
      <c r="AA5192" s="23"/>
      <c r="AB5192" s="23"/>
      <c r="AC5192" s="23"/>
      <c r="AD5192" s="23"/>
      <c r="AE5192" s="23"/>
      <c r="AF5192" s="23"/>
      <c r="AG5192" s="23"/>
      <c r="AH5192" s="23"/>
    </row>
    <row r="5193" spans="1:34">
      <c r="A5193" s="49"/>
      <c r="B5193" s="42"/>
      <c r="G5193" s="43"/>
      <c r="H5193" s="44"/>
      <c r="L5193" s="42"/>
      <c r="M5193" s="42"/>
      <c r="N5193" s="25"/>
      <c r="O5193" s="54"/>
      <c r="P5193"/>
      <c r="Q5193" s="25"/>
      <c r="R5193" s="54"/>
      <c r="W5193" s="23"/>
      <c r="X5193" s="23"/>
      <c r="Y5193" s="23"/>
      <c r="Z5193" s="43"/>
      <c r="AA5193" s="23"/>
      <c r="AB5193" s="23"/>
      <c r="AC5193" s="23"/>
      <c r="AD5193" s="23"/>
      <c r="AE5193" s="23"/>
      <c r="AF5193" s="23"/>
      <c r="AG5193" s="23"/>
      <c r="AH5193" s="23"/>
    </row>
    <row r="5194" spans="1:34">
      <c r="A5194" s="49"/>
      <c r="B5194" s="42"/>
      <c r="G5194" s="43"/>
      <c r="H5194" s="44"/>
      <c r="L5194" s="42"/>
      <c r="M5194" s="42"/>
      <c r="N5194" s="25"/>
      <c r="O5194" s="54"/>
      <c r="P5194"/>
      <c r="Q5194" s="25"/>
      <c r="R5194" s="54"/>
      <c r="W5194" s="23"/>
      <c r="X5194" s="23"/>
      <c r="Y5194" s="23"/>
      <c r="Z5194" s="43"/>
      <c r="AA5194" s="23"/>
      <c r="AB5194" s="23"/>
      <c r="AC5194" s="23"/>
      <c r="AD5194" s="23"/>
      <c r="AE5194" s="23"/>
      <c r="AF5194" s="23"/>
      <c r="AG5194" s="23"/>
      <c r="AH5194" s="23"/>
    </row>
    <row r="5195" spans="1:34">
      <c r="A5195" s="23"/>
      <c r="B5195" s="42"/>
      <c r="G5195" s="43"/>
      <c r="H5195" s="44"/>
      <c r="L5195" s="42"/>
      <c r="M5195" s="42"/>
      <c r="N5195" s="25"/>
      <c r="O5195" s="54"/>
      <c r="P5195"/>
      <c r="Q5195" s="25"/>
      <c r="R5195" s="54"/>
      <c r="W5195" s="23"/>
      <c r="X5195" s="23"/>
      <c r="Y5195" s="23"/>
      <c r="Z5195" s="43"/>
      <c r="AA5195" s="23"/>
      <c r="AB5195" s="23"/>
      <c r="AC5195" s="23"/>
      <c r="AD5195" s="23"/>
      <c r="AE5195" s="23"/>
      <c r="AF5195" s="23"/>
      <c r="AG5195" s="23"/>
      <c r="AH5195" s="23"/>
    </row>
    <row r="5196" spans="1:34">
      <c r="A5196" s="23"/>
      <c r="B5196" s="42"/>
      <c r="G5196" s="43"/>
      <c r="H5196" s="44"/>
      <c r="L5196" s="42"/>
      <c r="M5196" s="42"/>
      <c r="N5196" s="25"/>
      <c r="O5196" s="54"/>
      <c r="P5196"/>
      <c r="Q5196" s="25"/>
      <c r="R5196" s="54"/>
      <c r="W5196" s="23"/>
      <c r="X5196" s="23"/>
      <c r="Y5196" s="23"/>
      <c r="Z5196" s="43"/>
      <c r="AA5196" s="23"/>
      <c r="AB5196" s="23"/>
      <c r="AC5196" s="23"/>
      <c r="AD5196" s="23"/>
      <c r="AE5196" s="23"/>
      <c r="AF5196" s="23"/>
      <c r="AG5196" s="23"/>
      <c r="AH5196" s="23"/>
    </row>
    <row r="5197" spans="1:34">
      <c r="A5197" s="23"/>
      <c r="B5197" s="42"/>
      <c r="G5197" s="43"/>
      <c r="H5197" s="44"/>
      <c r="L5197" s="42"/>
      <c r="M5197" s="42"/>
      <c r="N5197" s="25"/>
      <c r="O5197" s="54"/>
      <c r="P5197"/>
      <c r="Q5197" s="25"/>
      <c r="R5197" s="54"/>
      <c r="W5197" s="23"/>
      <c r="X5197" s="23"/>
      <c r="Y5197" s="23"/>
      <c r="Z5197" s="43"/>
      <c r="AA5197" s="23"/>
      <c r="AB5197" s="23"/>
      <c r="AC5197" s="23"/>
      <c r="AD5197" s="23"/>
      <c r="AE5197" s="23"/>
      <c r="AF5197" s="23"/>
      <c r="AG5197" s="23"/>
      <c r="AH5197" s="23"/>
    </row>
    <row r="5198" spans="1:34">
      <c r="A5198" s="49"/>
      <c r="B5198" s="42"/>
      <c r="G5198" s="43"/>
      <c r="H5198" s="44"/>
      <c r="L5198" s="42"/>
      <c r="M5198" s="42"/>
      <c r="N5198" s="25"/>
      <c r="O5198" s="54"/>
      <c r="P5198"/>
      <c r="Q5198" s="25"/>
      <c r="R5198" s="54"/>
      <c r="W5198" s="23"/>
      <c r="X5198" s="23"/>
      <c r="Y5198" s="23"/>
      <c r="Z5198" s="43"/>
      <c r="AA5198" s="23"/>
      <c r="AB5198" s="23"/>
      <c r="AC5198" s="23"/>
      <c r="AD5198" s="23"/>
      <c r="AE5198" s="23"/>
      <c r="AF5198" s="23"/>
      <c r="AG5198" s="23"/>
      <c r="AH5198" s="23"/>
    </row>
    <row r="5199" spans="1:34">
      <c r="A5199" s="49"/>
      <c r="B5199" s="42"/>
      <c r="G5199" s="43"/>
      <c r="H5199" s="44"/>
      <c r="L5199" s="42"/>
      <c r="M5199" s="42"/>
      <c r="N5199" s="25"/>
      <c r="O5199" s="54"/>
      <c r="P5199"/>
      <c r="Q5199" s="25"/>
      <c r="R5199" s="54"/>
      <c r="W5199" s="23"/>
      <c r="X5199" s="23"/>
      <c r="Y5199" s="23"/>
      <c r="Z5199" s="43"/>
      <c r="AA5199" s="23"/>
      <c r="AB5199" s="23"/>
      <c r="AC5199" s="23"/>
      <c r="AD5199" s="23"/>
      <c r="AE5199" s="23"/>
      <c r="AF5199" s="23"/>
      <c r="AG5199" s="23"/>
      <c r="AH5199" s="23"/>
    </row>
    <row r="5200" spans="1:34">
      <c r="A5200" s="49"/>
      <c r="B5200" s="42"/>
      <c r="G5200" s="43"/>
      <c r="H5200" s="44"/>
      <c r="L5200" s="42"/>
      <c r="M5200" s="42"/>
      <c r="N5200" s="25"/>
      <c r="O5200" s="54"/>
      <c r="P5200"/>
      <c r="Q5200" s="25"/>
      <c r="R5200" s="54"/>
      <c r="W5200" s="23"/>
      <c r="X5200" s="23"/>
      <c r="Y5200" s="23"/>
      <c r="Z5200" s="43"/>
      <c r="AA5200" s="23"/>
      <c r="AB5200" s="23"/>
      <c r="AC5200" s="23"/>
      <c r="AD5200" s="23"/>
      <c r="AE5200" s="23"/>
      <c r="AF5200" s="23"/>
      <c r="AG5200" s="23"/>
      <c r="AH5200" s="23"/>
    </row>
    <row r="5201" spans="1:34">
      <c r="A5201" s="49"/>
      <c r="B5201" s="42"/>
      <c r="G5201" s="43"/>
      <c r="H5201" s="44"/>
      <c r="L5201" s="42"/>
      <c r="M5201" s="42"/>
      <c r="N5201" s="25"/>
      <c r="O5201" s="54"/>
      <c r="P5201"/>
      <c r="Q5201" s="25"/>
      <c r="R5201" s="54"/>
      <c r="W5201" s="23"/>
      <c r="X5201" s="23"/>
      <c r="Y5201" s="23"/>
      <c r="Z5201" s="43"/>
      <c r="AA5201" s="23"/>
      <c r="AB5201" s="23"/>
      <c r="AC5201" s="23"/>
      <c r="AD5201" s="23"/>
      <c r="AE5201" s="23"/>
      <c r="AF5201" s="23"/>
      <c r="AG5201" s="23"/>
      <c r="AH5201" s="23"/>
    </row>
    <row r="5202" spans="1:34">
      <c r="A5202" s="49"/>
      <c r="B5202" s="42"/>
      <c r="G5202" s="43"/>
      <c r="H5202" s="44"/>
      <c r="L5202" s="42"/>
      <c r="M5202" s="42"/>
      <c r="N5202" s="25"/>
      <c r="O5202" s="54"/>
      <c r="P5202"/>
      <c r="Q5202" s="25"/>
      <c r="R5202" s="54"/>
      <c r="W5202" s="23"/>
      <c r="X5202" s="23"/>
      <c r="Y5202" s="23"/>
      <c r="Z5202" s="43"/>
      <c r="AA5202" s="23"/>
      <c r="AB5202" s="23"/>
      <c r="AC5202" s="23"/>
      <c r="AD5202" s="23"/>
      <c r="AE5202" s="23"/>
      <c r="AF5202" s="23"/>
      <c r="AG5202" s="23"/>
      <c r="AH5202" s="23"/>
    </row>
    <row r="5203" spans="1:34">
      <c r="A5203" s="49"/>
      <c r="B5203" s="42"/>
      <c r="G5203" s="43"/>
      <c r="H5203" s="44"/>
      <c r="L5203" s="42"/>
      <c r="M5203" s="42"/>
      <c r="N5203" s="25"/>
      <c r="O5203" s="54"/>
      <c r="P5203"/>
      <c r="Q5203" s="25"/>
      <c r="R5203" s="54"/>
      <c r="W5203" s="23"/>
      <c r="X5203" s="23"/>
      <c r="Y5203" s="23"/>
      <c r="Z5203" s="43"/>
      <c r="AA5203" s="23"/>
      <c r="AB5203" s="23"/>
      <c r="AC5203" s="23"/>
      <c r="AD5203" s="23"/>
      <c r="AE5203" s="23"/>
      <c r="AF5203" s="23"/>
      <c r="AG5203" s="23"/>
      <c r="AH5203" s="23"/>
    </row>
    <row r="5204" spans="1:34">
      <c r="A5204" s="49"/>
      <c r="B5204" s="42"/>
      <c r="G5204" s="43"/>
      <c r="H5204" s="44"/>
      <c r="L5204" s="42"/>
      <c r="M5204" s="42"/>
      <c r="N5204" s="25"/>
      <c r="O5204" s="54"/>
      <c r="P5204"/>
      <c r="Q5204" s="25"/>
      <c r="R5204" s="54"/>
      <c r="W5204" s="23"/>
      <c r="X5204" s="23"/>
      <c r="Y5204" s="23"/>
      <c r="Z5204" s="43"/>
      <c r="AA5204" s="23"/>
      <c r="AB5204" s="23"/>
      <c r="AC5204" s="23"/>
      <c r="AD5204" s="23"/>
      <c r="AE5204" s="23"/>
      <c r="AF5204" s="23"/>
      <c r="AG5204" s="23"/>
      <c r="AH5204" s="23"/>
    </row>
    <row r="5205" spans="1:34">
      <c r="A5205" s="49"/>
      <c r="B5205" s="42"/>
      <c r="G5205" s="43"/>
      <c r="H5205" s="44"/>
      <c r="L5205" s="42"/>
      <c r="M5205" s="42"/>
      <c r="N5205" s="25"/>
      <c r="O5205" s="54"/>
      <c r="P5205"/>
      <c r="Q5205" s="25"/>
      <c r="R5205" s="54"/>
      <c r="W5205" s="23"/>
      <c r="X5205" s="23"/>
      <c r="Y5205" s="23"/>
      <c r="Z5205" s="43"/>
      <c r="AA5205" s="23"/>
      <c r="AB5205" s="23"/>
      <c r="AC5205" s="23"/>
      <c r="AD5205" s="23"/>
      <c r="AE5205" s="23"/>
      <c r="AF5205" s="23"/>
      <c r="AG5205" s="23"/>
      <c r="AH5205" s="23"/>
    </row>
    <row r="5206" spans="1:34">
      <c r="A5206" s="49"/>
      <c r="B5206" s="42"/>
      <c r="G5206" s="43"/>
      <c r="H5206" s="44"/>
      <c r="L5206" s="42"/>
      <c r="M5206" s="42"/>
      <c r="N5206" s="25"/>
      <c r="O5206" s="54"/>
      <c r="P5206"/>
      <c r="Q5206" s="25"/>
      <c r="R5206" s="54"/>
      <c r="W5206" s="23"/>
      <c r="X5206" s="23"/>
      <c r="Y5206" s="23"/>
      <c r="Z5206" s="43"/>
      <c r="AA5206" s="23"/>
      <c r="AB5206" s="23"/>
      <c r="AC5206" s="23"/>
      <c r="AD5206" s="23"/>
      <c r="AE5206" s="23"/>
      <c r="AF5206" s="23"/>
      <c r="AG5206" s="23"/>
      <c r="AH5206" s="23"/>
    </row>
    <row r="5207" spans="1:34">
      <c r="A5207" s="49"/>
      <c r="B5207" s="42"/>
      <c r="G5207" s="43"/>
      <c r="H5207" s="44"/>
      <c r="L5207" s="42"/>
      <c r="M5207" s="42"/>
      <c r="N5207" s="25"/>
      <c r="O5207" s="54"/>
      <c r="P5207"/>
      <c r="Q5207" s="25"/>
      <c r="R5207" s="54"/>
      <c r="W5207" s="23"/>
      <c r="X5207" s="23"/>
      <c r="Y5207" s="23"/>
      <c r="Z5207" s="43"/>
      <c r="AA5207" s="23"/>
      <c r="AB5207" s="23"/>
      <c r="AC5207" s="23"/>
      <c r="AD5207" s="23"/>
      <c r="AE5207" s="23"/>
      <c r="AF5207" s="23"/>
      <c r="AG5207" s="23"/>
      <c r="AH5207" s="23"/>
    </row>
    <row r="5208" spans="1:34">
      <c r="A5208" s="23"/>
      <c r="B5208" s="42"/>
      <c r="G5208" s="43"/>
      <c r="H5208" s="44"/>
      <c r="L5208" s="42"/>
      <c r="M5208" s="42"/>
      <c r="N5208" s="25"/>
      <c r="O5208" s="54"/>
      <c r="P5208"/>
      <c r="Q5208" s="25"/>
      <c r="R5208" s="54"/>
      <c r="W5208" s="23"/>
      <c r="X5208" s="23"/>
      <c r="Y5208" s="23"/>
      <c r="Z5208" s="43"/>
      <c r="AA5208" s="23"/>
      <c r="AB5208" s="23"/>
      <c r="AC5208" s="23"/>
      <c r="AD5208" s="23"/>
      <c r="AE5208" s="23"/>
      <c r="AF5208" s="23"/>
      <c r="AG5208" s="23"/>
      <c r="AH5208" s="23"/>
    </row>
    <row r="5209" spans="1:34">
      <c r="A5209" s="23"/>
      <c r="B5209" s="42"/>
      <c r="G5209" s="43"/>
      <c r="H5209" s="44"/>
      <c r="L5209" s="42"/>
      <c r="M5209" s="42"/>
      <c r="N5209" s="25"/>
      <c r="O5209" s="54"/>
      <c r="P5209"/>
      <c r="Q5209" s="25"/>
      <c r="R5209" s="54"/>
      <c r="W5209" s="23"/>
      <c r="X5209" s="23"/>
      <c r="Y5209" s="23"/>
      <c r="Z5209" s="43"/>
      <c r="AA5209" s="23"/>
      <c r="AB5209" s="23"/>
      <c r="AC5209" s="23"/>
      <c r="AD5209" s="23"/>
      <c r="AE5209" s="23"/>
      <c r="AF5209" s="23"/>
      <c r="AG5209" s="23"/>
      <c r="AH5209" s="23"/>
    </row>
    <row r="5210" spans="1:34">
      <c r="A5210" s="23"/>
      <c r="B5210" s="42"/>
      <c r="G5210" s="43"/>
      <c r="H5210" s="44"/>
      <c r="L5210" s="42"/>
      <c r="M5210" s="42"/>
      <c r="N5210" s="25"/>
      <c r="O5210" s="54"/>
      <c r="P5210"/>
      <c r="Q5210" s="25"/>
      <c r="R5210" s="54"/>
      <c r="W5210" s="23"/>
      <c r="X5210" s="23"/>
      <c r="Y5210" s="23"/>
      <c r="Z5210" s="43"/>
      <c r="AA5210" s="23"/>
      <c r="AB5210" s="23"/>
      <c r="AC5210" s="23"/>
      <c r="AD5210" s="23"/>
      <c r="AE5210" s="23"/>
      <c r="AF5210" s="23"/>
      <c r="AG5210" s="23"/>
      <c r="AH5210" s="23"/>
    </row>
    <row r="5211" spans="1:34">
      <c r="A5211" s="23"/>
      <c r="B5211" s="42"/>
      <c r="G5211" s="43"/>
      <c r="H5211" s="44"/>
      <c r="L5211" s="42"/>
      <c r="M5211" s="42"/>
      <c r="N5211" s="25"/>
      <c r="O5211" s="54"/>
      <c r="P5211"/>
      <c r="Q5211" s="25"/>
      <c r="R5211" s="54"/>
      <c r="W5211" s="23"/>
      <c r="X5211" s="23"/>
      <c r="Y5211" s="23"/>
      <c r="Z5211" s="43"/>
      <c r="AA5211" s="23"/>
      <c r="AB5211" s="23"/>
      <c r="AC5211" s="23"/>
      <c r="AD5211" s="23"/>
      <c r="AE5211" s="23"/>
      <c r="AF5211" s="23"/>
      <c r="AG5211" s="23"/>
      <c r="AH5211" s="23"/>
    </row>
    <row r="5212" spans="1:34">
      <c r="A5212" s="23"/>
      <c r="B5212" s="42"/>
      <c r="G5212" s="43"/>
      <c r="H5212" s="44"/>
      <c r="L5212" s="42"/>
      <c r="M5212" s="42"/>
      <c r="N5212" s="25"/>
      <c r="O5212" s="54"/>
      <c r="P5212"/>
      <c r="Q5212" s="25"/>
      <c r="R5212" s="54"/>
      <c r="W5212" s="23"/>
      <c r="X5212" s="23"/>
      <c r="Y5212" s="23"/>
      <c r="Z5212" s="43"/>
      <c r="AA5212" s="23"/>
      <c r="AB5212" s="23"/>
      <c r="AC5212" s="23"/>
      <c r="AD5212" s="23"/>
      <c r="AE5212" s="23"/>
      <c r="AF5212" s="23"/>
      <c r="AG5212" s="23"/>
      <c r="AH5212" s="23"/>
    </row>
    <row r="5213" spans="1:34">
      <c r="A5213" s="23"/>
      <c r="B5213" s="42"/>
      <c r="G5213" s="43"/>
      <c r="H5213" s="44"/>
      <c r="L5213" s="42"/>
      <c r="M5213" s="42"/>
      <c r="N5213" s="25"/>
      <c r="O5213" s="54"/>
      <c r="P5213"/>
      <c r="Q5213" s="25"/>
      <c r="R5213" s="54"/>
      <c r="W5213" s="23"/>
      <c r="X5213" s="23"/>
      <c r="Y5213" s="23"/>
      <c r="Z5213" s="43"/>
      <c r="AA5213" s="23"/>
      <c r="AB5213" s="23"/>
      <c r="AC5213" s="23"/>
      <c r="AD5213" s="23"/>
      <c r="AE5213" s="23"/>
      <c r="AF5213" s="23"/>
      <c r="AG5213" s="23"/>
      <c r="AH5213" s="23"/>
    </row>
    <row r="5214" spans="1:34">
      <c r="A5214" s="23"/>
      <c r="B5214" s="42"/>
      <c r="G5214" s="43"/>
      <c r="H5214" s="44"/>
      <c r="L5214" s="42"/>
      <c r="M5214" s="42"/>
      <c r="N5214" s="25"/>
      <c r="O5214" s="54"/>
      <c r="P5214"/>
      <c r="Q5214" s="25"/>
      <c r="R5214" s="54"/>
      <c r="W5214" s="23"/>
      <c r="X5214" s="23"/>
      <c r="Y5214" s="23"/>
      <c r="Z5214" s="43"/>
      <c r="AA5214" s="23"/>
      <c r="AB5214" s="23"/>
      <c r="AC5214" s="23"/>
      <c r="AD5214" s="23"/>
      <c r="AE5214" s="23"/>
      <c r="AF5214" s="23"/>
      <c r="AG5214" s="23"/>
      <c r="AH5214" s="23"/>
    </row>
    <row r="5215" spans="1:34">
      <c r="A5215" s="23"/>
      <c r="B5215" s="42"/>
      <c r="G5215" s="43"/>
      <c r="H5215" s="44"/>
      <c r="L5215" s="42"/>
      <c r="M5215" s="42"/>
      <c r="N5215" s="25"/>
      <c r="O5215" s="54"/>
      <c r="P5215"/>
      <c r="Q5215" s="25"/>
      <c r="R5215" s="54"/>
      <c r="W5215" s="23"/>
      <c r="X5215" s="23"/>
      <c r="Y5215" s="23"/>
      <c r="Z5215" s="43"/>
      <c r="AA5215" s="23"/>
      <c r="AB5215" s="23"/>
      <c r="AC5215" s="23"/>
      <c r="AD5215" s="23"/>
      <c r="AE5215" s="23"/>
      <c r="AF5215" s="23"/>
      <c r="AG5215" s="23"/>
      <c r="AH5215" s="23"/>
    </row>
    <row r="5216" spans="1:34">
      <c r="A5216" s="23"/>
      <c r="B5216" s="42"/>
      <c r="G5216" s="43"/>
      <c r="H5216" s="44"/>
      <c r="L5216" s="42"/>
      <c r="M5216" s="42"/>
      <c r="N5216" s="25"/>
      <c r="O5216" s="54"/>
      <c r="P5216"/>
      <c r="Q5216" s="25"/>
      <c r="R5216" s="54"/>
      <c r="W5216" s="23"/>
      <c r="X5216" s="23"/>
      <c r="Y5216" s="23"/>
      <c r="Z5216" s="43"/>
      <c r="AA5216" s="23"/>
      <c r="AB5216" s="23"/>
      <c r="AC5216" s="23"/>
      <c r="AD5216" s="23"/>
      <c r="AE5216" s="23"/>
      <c r="AF5216" s="23"/>
      <c r="AG5216" s="23"/>
      <c r="AH5216" s="23"/>
    </row>
    <row r="5217" spans="1:34">
      <c r="A5217" s="23"/>
      <c r="B5217" s="42"/>
      <c r="G5217" s="43"/>
      <c r="H5217" s="44"/>
      <c r="L5217" s="42"/>
      <c r="M5217" s="42"/>
      <c r="N5217" s="25"/>
      <c r="O5217" s="54"/>
      <c r="P5217"/>
      <c r="Q5217" s="25"/>
      <c r="R5217" s="54"/>
      <c r="W5217" s="23"/>
      <c r="X5217" s="23"/>
      <c r="Y5217" s="23"/>
      <c r="Z5217" s="43"/>
      <c r="AA5217" s="23"/>
      <c r="AB5217" s="23"/>
      <c r="AC5217" s="23"/>
      <c r="AD5217" s="23"/>
      <c r="AE5217" s="23"/>
      <c r="AF5217" s="23"/>
      <c r="AG5217" s="23"/>
      <c r="AH5217" s="23"/>
    </row>
    <row r="5218" spans="1:34">
      <c r="A5218" s="23"/>
      <c r="B5218" s="42"/>
      <c r="G5218" s="43"/>
      <c r="H5218" s="44"/>
      <c r="L5218" s="42"/>
      <c r="M5218" s="42"/>
      <c r="N5218" s="25"/>
      <c r="O5218" s="54"/>
      <c r="P5218"/>
      <c r="Q5218" s="25"/>
      <c r="R5218" s="54"/>
      <c r="W5218" s="23"/>
      <c r="X5218" s="23"/>
      <c r="Y5218" s="23"/>
      <c r="Z5218" s="43"/>
      <c r="AA5218" s="23"/>
      <c r="AB5218" s="23"/>
      <c r="AC5218" s="23"/>
      <c r="AD5218" s="23"/>
      <c r="AE5218" s="23"/>
      <c r="AF5218" s="23"/>
      <c r="AG5218" s="23"/>
      <c r="AH5218" s="23"/>
    </row>
    <row r="5219" spans="1:34">
      <c r="A5219" s="50"/>
      <c r="B5219" s="42"/>
      <c r="G5219" s="43"/>
      <c r="H5219" s="44"/>
      <c r="L5219" s="42"/>
      <c r="M5219" s="42"/>
      <c r="N5219" s="25"/>
      <c r="O5219" s="54"/>
      <c r="P5219"/>
      <c r="Q5219" s="25"/>
      <c r="R5219" s="54"/>
      <c r="W5219" s="23"/>
      <c r="X5219" s="23"/>
      <c r="Y5219" s="23"/>
      <c r="Z5219" s="43"/>
      <c r="AA5219" s="23"/>
      <c r="AB5219" s="23"/>
      <c r="AC5219" s="23"/>
      <c r="AD5219" s="23"/>
      <c r="AE5219" s="23"/>
      <c r="AF5219" s="23"/>
      <c r="AG5219" s="23"/>
      <c r="AH5219" s="23"/>
    </row>
    <row r="5220" spans="1:34">
      <c r="A5220" s="23"/>
      <c r="B5220" s="42"/>
      <c r="G5220" s="43"/>
      <c r="H5220" s="44"/>
      <c r="L5220" s="42"/>
      <c r="M5220" s="42"/>
      <c r="N5220" s="25"/>
      <c r="O5220" s="54"/>
      <c r="P5220"/>
      <c r="Q5220" s="25"/>
      <c r="R5220" s="54"/>
      <c r="W5220" s="23"/>
      <c r="X5220" s="23"/>
      <c r="Y5220" s="23"/>
      <c r="Z5220" s="43"/>
      <c r="AA5220" s="23"/>
      <c r="AB5220" s="23"/>
      <c r="AC5220" s="23"/>
      <c r="AD5220" s="23"/>
      <c r="AE5220" s="23"/>
      <c r="AF5220" s="23"/>
      <c r="AG5220" s="23"/>
      <c r="AH5220" s="23"/>
    </row>
    <row r="5221" spans="1:34">
      <c r="A5221" s="23"/>
      <c r="B5221" s="42"/>
      <c r="G5221" s="43"/>
      <c r="H5221" s="44"/>
      <c r="L5221" s="42"/>
      <c r="M5221" s="42"/>
      <c r="N5221" s="25"/>
      <c r="O5221" s="54"/>
      <c r="P5221"/>
      <c r="Q5221" s="25"/>
      <c r="R5221" s="54"/>
      <c r="W5221" s="23"/>
      <c r="X5221" s="23"/>
      <c r="Y5221" s="23"/>
      <c r="Z5221" s="43"/>
      <c r="AA5221" s="23"/>
      <c r="AB5221" s="23"/>
      <c r="AC5221" s="23"/>
      <c r="AD5221" s="23"/>
      <c r="AE5221" s="23"/>
      <c r="AF5221" s="23"/>
      <c r="AG5221" s="23"/>
      <c r="AH5221" s="23"/>
    </row>
    <row r="5222" spans="1:34">
      <c r="A5222" s="50"/>
      <c r="B5222" s="42"/>
      <c r="G5222" s="43"/>
      <c r="H5222" s="44"/>
      <c r="L5222" s="42"/>
      <c r="M5222" s="42"/>
      <c r="N5222" s="25"/>
      <c r="O5222" s="54"/>
      <c r="P5222"/>
      <c r="Q5222" s="25"/>
      <c r="R5222" s="54"/>
      <c r="W5222" s="23"/>
      <c r="X5222" s="23"/>
      <c r="Y5222" s="23"/>
      <c r="Z5222" s="43"/>
      <c r="AA5222" s="23"/>
      <c r="AB5222" s="23"/>
      <c r="AC5222" s="23"/>
      <c r="AD5222" s="23"/>
      <c r="AE5222" s="23"/>
      <c r="AF5222" s="23"/>
      <c r="AG5222" s="23"/>
      <c r="AH5222" s="23"/>
    </row>
    <row r="5223" spans="1:34">
      <c r="A5223" s="23"/>
      <c r="B5223" s="42"/>
      <c r="G5223" s="43"/>
      <c r="H5223" s="44"/>
      <c r="L5223" s="42"/>
      <c r="M5223" s="42"/>
      <c r="N5223" s="25"/>
      <c r="O5223" s="54"/>
      <c r="P5223"/>
      <c r="Q5223" s="25"/>
      <c r="R5223" s="54"/>
      <c r="W5223" s="23"/>
      <c r="X5223" s="23"/>
      <c r="Y5223" s="23"/>
      <c r="Z5223" s="43"/>
      <c r="AA5223" s="23"/>
      <c r="AB5223" s="23"/>
      <c r="AC5223" s="23"/>
      <c r="AD5223" s="23"/>
      <c r="AE5223" s="23"/>
      <c r="AF5223" s="23"/>
      <c r="AG5223" s="23"/>
      <c r="AH5223" s="23"/>
    </row>
    <row r="5224" spans="1:34">
      <c r="A5224" s="23"/>
      <c r="B5224" s="42"/>
      <c r="G5224" s="43"/>
      <c r="H5224" s="44"/>
      <c r="L5224" s="42"/>
      <c r="M5224" s="42"/>
      <c r="N5224" s="25"/>
      <c r="O5224" s="54"/>
      <c r="P5224"/>
      <c r="Q5224" s="25"/>
      <c r="R5224" s="54"/>
      <c r="W5224" s="23"/>
      <c r="X5224" s="23"/>
      <c r="Y5224" s="23"/>
      <c r="Z5224" s="43"/>
      <c r="AA5224" s="23"/>
      <c r="AB5224" s="23"/>
      <c r="AC5224" s="23"/>
      <c r="AD5224" s="23"/>
      <c r="AE5224" s="23"/>
      <c r="AF5224" s="23"/>
      <c r="AG5224" s="23"/>
      <c r="AH5224" s="23"/>
    </row>
    <row r="5225" spans="1:34">
      <c r="A5225" s="23"/>
      <c r="B5225" s="42"/>
      <c r="G5225" s="43"/>
      <c r="H5225" s="44"/>
      <c r="L5225" s="42"/>
      <c r="M5225" s="42"/>
      <c r="N5225" s="25"/>
      <c r="O5225" s="54"/>
      <c r="P5225"/>
      <c r="Q5225" s="25"/>
      <c r="R5225" s="54"/>
      <c r="W5225" s="23"/>
      <c r="X5225" s="23"/>
      <c r="Y5225" s="23"/>
      <c r="Z5225" s="43"/>
      <c r="AA5225" s="23"/>
      <c r="AB5225" s="23"/>
      <c r="AC5225" s="23"/>
      <c r="AD5225" s="23"/>
      <c r="AE5225" s="23"/>
      <c r="AF5225" s="23"/>
      <c r="AG5225" s="23"/>
      <c r="AH5225" s="23"/>
    </row>
    <row r="5226" spans="1:34">
      <c r="A5226" s="50"/>
      <c r="B5226" s="42"/>
      <c r="G5226" s="43"/>
      <c r="H5226" s="44"/>
      <c r="L5226" s="42"/>
      <c r="M5226" s="42"/>
      <c r="N5226" s="25"/>
      <c r="O5226" s="54"/>
      <c r="P5226"/>
      <c r="Q5226" s="25"/>
      <c r="R5226" s="54"/>
      <c r="W5226" s="23"/>
      <c r="X5226" s="23"/>
      <c r="Y5226" s="23"/>
      <c r="Z5226" s="43"/>
      <c r="AA5226" s="23"/>
      <c r="AB5226" s="23"/>
      <c r="AC5226" s="23"/>
      <c r="AD5226" s="23"/>
      <c r="AE5226" s="23"/>
      <c r="AF5226" s="23"/>
      <c r="AG5226" s="23"/>
      <c r="AH5226" s="23"/>
    </row>
    <row r="5227" spans="1:34">
      <c r="A5227" s="50"/>
      <c r="B5227" s="42"/>
      <c r="G5227" s="43"/>
      <c r="H5227" s="44"/>
      <c r="L5227" s="42"/>
      <c r="M5227" s="42"/>
      <c r="N5227" s="25"/>
      <c r="O5227" s="54"/>
      <c r="P5227"/>
      <c r="Q5227" s="25"/>
      <c r="R5227" s="54"/>
      <c r="W5227" s="23"/>
      <c r="X5227" s="23"/>
      <c r="Y5227" s="23"/>
      <c r="Z5227" s="43"/>
      <c r="AA5227" s="23"/>
      <c r="AB5227" s="23"/>
      <c r="AC5227" s="23"/>
      <c r="AD5227" s="23"/>
      <c r="AE5227" s="23"/>
      <c r="AF5227" s="23"/>
      <c r="AG5227" s="23"/>
      <c r="AH5227" s="23"/>
    </row>
    <row r="5228" spans="1:34">
      <c r="A5228" s="23"/>
      <c r="B5228" s="42"/>
      <c r="G5228" s="43"/>
      <c r="H5228" s="44"/>
      <c r="L5228" s="42"/>
      <c r="M5228" s="42"/>
      <c r="N5228" s="25"/>
      <c r="O5228" s="54"/>
      <c r="P5228"/>
      <c r="Q5228" s="25"/>
      <c r="R5228" s="54"/>
      <c r="W5228" s="23"/>
      <c r="X5228" s="23"/>
      <c r="Y5228" s="23"/>
      <c r="Z5228" s="43"/>
      <c r="AA5228" s="23"/>
      <c r="AB5228" s="23"/>
      <c r="AC5228" s="23"/>
      <c r="AD5228" s="23"/>
      <c r="AE5228" s="23"/>
      <c r="AF5228" s="23"/>
      <c r="AG5228" s="23"/>
      <c r="AH5228" s="23"/>
    </row>
    <row r="5229" spans="1:34">
      <c r="A5229" s="23"/>
      <c r="B5229" s="42"/>
      <c r="G5229" s="43"/>
      <c r="H5229" s="44"/>
      <c r="L5229" s="42"/>
      <c r="M5229" s="42"/>
      <c r="N5229" s="25"/>
      <c r="O5229" s="54"/>
      <c r="P5229"/>
      <c r="Q5229" s="25"/>
      <c r="R5229" s="54"/>
      <c r="W5229" s="23"/>
      <c r="X5229" s="23"/>
      <c r="Y5229" s="23"/>
      <c r="Z5229" s="43"/>
      <c r="AA5229" s="23"/>
      <c r="AB5229" s="23"/>
      <c r="AC5229" s="23"/>
      <c r="AD5229" s="23"/>
      <c r="AE5229" s="23"/>
      <c r="AF5229" s="23"/>
      <c r="AG5229" s="23"/>
      <c r="AH5229" s="23"/>
    </row>
    <row r="5230" spans="1:34">
      <c r="A5230" s="50"/>
      <c r="B5230" s="42"/>
      <c r="G5230" s="43"/>
      <c r="H5230" s="44"/>
      <c r="L5230" s="42"/>
      <c r="M5230" s="42"/>
      <c r="N5230" s="25"/>
      <c r="O5230" s="54"/>
      <c r="P5230"/>
      <c r="Q5230" s="25"/>
      <c r="R5230" s="54"/>
      <c r="W5230" s="23"/>
      <c r="X5230" s="23"/>
      <c r="Y5230" s="23"/>
      <c r="Z5230" s="43"/>
      <c r="AA5230" s="23"/>
      <c r="AB5230" s="23"/>
      <c r="AC5230" s="23"/>
      <c r="AD5230" s="23"/>
      <c r="AE5230" s="23"/>
      <c r="AF5230" s="23"/>
      <c r="AG5230" s="23"/>
      <c r="AH5230" s="23"/>
    </row>
    <row r="5231" spans="1:34">
      <c r="A5231" s="50"/>
      <c r="B5231" s="42"/>
      <c r="G5231" s="43"/>
      <c r="H5231" s="44"/>
      <c r="L5231" s="42"/>
      <c r="M5231" s="42"/>
      <c r="N5231" s="25"/>
      <c r="O5231" s="54"/>
      <c r="P5231"/>
      <c r="Q5231" s="25"/>
      <c r="R5231" s="54"/>
      <c r="W5231" s="23"/>
      <c r="X5231" s="23"/>
      <c r="Y5231" s="23"/>
      <c r="Z5231" s="43"/>
      <c r="AA5231" s="23"/>
      <c r="AB5231" s="23"/>
      <c r="AC5231" s="23"/>
      <c r="AD5231" s="23"/>
      <c r="AE5231" s="23"/>
      <c r="AF5231" s="23"/>
      <c r="AG5231" s="23"/>
      <c r="AH5231" s="23"/>
    </row>
    <row r="5232" spans="1:34">
      <c r="A5232" s="50"/>
      <c r="B5232" s="42"/>
      <c r="G5232" s="43"/>
      <c r="H5232" s="44"/>
      <c r="L5232" s="42"/>
      <c r="M5232" s="42"/>
      <c r="N5232" s="25"/>
      <c r="O5232" s="54"/>
      <c r="P5232"/>
      <c r="Q5232" s="25"/>
      <c r="R5232" s="54"/>
      <c r="W5232" s="23"/>
      <c r="X5232" s="23"/>
      <c r="Y5232" s="23"/>
      <c r="Z5232" s="43"/>
      <c r="AA5232" s="23"/>
      <c r="AB5232" s="23"/>
      <c r="AC5232" s="23"/>
      <c r="AD5232" s="23"/>
      <c r="AE5232" s="23"/>
      <c r="AF5232" s="23"/>
      <c r="AG5232" s="23"/>
      <c r="AH5232" s="23"/>
    </row>
    <row r="5233" spans="1:34">
      <c r="A5233" s="50"/>
      <c r="B5233" s="42"/>
      <c r="G5233" s="43"/>
      <c r="H5233" s="44"/>
      <c r="L5233" s="42"/>
      <c r="M5233" s="42"/>
      <c r="N5233" s="25"/>
      <c r="O5233" s="54"/>
      <c r="P5233"/>
      <c r="Q5233" s="25"/>
      <c r="R5233" s="54"/>
      <c r="W5233" s="23"/>
      <c r="X5233" s="23"/>
      <c r="Y5233" s="23"/>
      <c r="Z5233" s="43"/>
      <c r="AA5233" s="23"/>
      <c r="AB5233" s="23"/>
      <c r="AC5233" s="23"/>
      <c r="AD5233" s="23"/>
      <c r="AE5233" s="23"/>
      <c r="AF5233" s="23"/>
      <c r="AG5233" s="23"/>
      <c r="AH5233" s="23"/>
    </row>
    <row r="5234" spans="1:34">
      <c r="A5234" s="50"/>
      <c r="B5234" s="42"/>
      <c r="G5234" s="43"/>
      <c r="H5234" s="44"/>
      <c r="L5234" s="42"/>
      <c r="M5234" s="42"/>
      <c r="N5234" s="25"/>
      <c r="O5234" s="54"/>
      <c r="P5234"/>
      <c r="Q5234" s="25"/>
      <c r="R5234" s="54"/>
      <c r="W5234" s="23"/>
      <c r="X5234" s="23"/>
      <c r="Y5234" s="23"/>
      <c r="Z5234" s="43"/>
      <c r="AA5234" s="23"/>
      <c r="AB5234" s="23"/>
      <c r="AC5234" s="23"/>
      <c r="AD5234" s="23"/>
      <c r="AE5234" s="23"/>
      <c r="AF5234" s="23"/>
      <c r="AG5234" s="23"/>
      <c r="AH5234" s="23"/>
    </row>
    <row r="5235" spans="1:34">
      <c r="A5235" s="50"/>
      <c r="B5235" s="42"/>
      <c r="G5235" s="43"/>
      <c r="H5235" s="44"/>
      <c r="L5235" s="42"/>
      <c r="M5235" s="42"/>
      <c r="N5235" s="25"/>
      <c r="O5235" s="54"/>
      <c r="P5235"/>
      <c r="Q5235" s="25"/>
      <c r="R5235" s="54"/>
      <c r="W5235" s="23"/>
      <c r="X5235" s="23"/>
      <c r="Y5235" s="23"/>
      <c r="Z5235" s="43"/>
      <c r="AA5235" s="23"/>
      <c r="AB5235" s="23"/>
      <c r="AC5235" s="23"/>
      <c r="AD5235" s="23"/>
      <c r="AE5235" s="23"/>
      <c r="AF5235" s="23"/>
      <c r="AG5235" s="23"/>
      <c r="AH5235" s="23"/>
    </row>
    <row r="5236" spans="1:34">
      <c r="A5236" s="50"/>
      <c r="B5236" s="42"/>
      <c r="G5236" s="43"/>
      <c r="H5236" s="44"/>
      <c r="L5236" s="42"/>
      <c r="M5236" s="42"/>
      <c r="N5236" s="25"/>
      <c r="O5236" s="54"/>
      <c r="P5236"/>
      <c r="Q5236" s="25"/>
      <c r="R5236" s="54"/>
      <c r="W5236" s="23"/>
      <c r="X5236" s="23"/>
      <c r="Y5236" s="23"/>
      <c r="Z5236" s="43"/>
      <c r="AA5236" s="23"/>
      <c r="AB5236" s="23"/>
      <c r="AC5236" s="23"/>
      <c r="AD5236" s="23"/>
      <c r="AE5236" s="23"/>
      <c r="AF5236" s="23"/>
      <c r="AG5236" s="23"/>
      <c r="AH5236" s="23"/>
    </row>
    <row r="5237" spans="1:34">
      <c r="A5237" s="50"/>
      <c r="B5237" s="42"/>
      <c r="G5237" s="43"/>
      <c r="H5237" s="44"/>
      <c r="L5237" s="42"/>
      <c r="M5237" s="42"/>
      <c r="N5237" s="25"/>
      <c r="O5237" s="54"/>
      <c r="P5237"/>
      <c r="Q5237" s="25"/>
      <c r="R5237" s="54"/>
      <c r="W5237" s="23"/>
      <c r="X5237" s="23"/>
      <c r="Y5237" s="23"/>
      <c r="Z5237" s="43"/>
      <c r="AA5237" s="23"/>
      <c r="AB5237" s="23"/>
      <c r="AC5237" s="23"/>
      <c r="AD5237" s="23"/>
      <c r="AE5237" s="23"/>
      <c r="AF5237" s="23"/>
      <c r="AG5237" s="23"/>
      <c r="AH5237" s="23"/>
    </row>
    <row r="5238" spans="1:34">
      <c r="A5238" s="50"/>
      <c r="B5238" s="42"/>
      <c r="G5238" s="43"/>
      <c r="H5238" s="44"/>
      <c r="L5238" s="42"/>
      <c r="M5238" s="42"/>
      <c r="N5238" s="25"/>
      <c r="O5238" s="54"/>
      <c r="P5238"/>
      <c r="Q5238" s="25"/>
      <c r="R5238" s="54"/>
      <c r="W5238" s="23"/>
      <c r="X5238" s="23"/>
      <c r="Y5238" s="23"/>
      <c r="Z5238" s="43"/>
      <c r="AA5238" s="23"/>
      <c r="AB5238" s="23"/>
      <c r="AC5238" s="23"/>
      <c r="AD5238" s="23"/>
      <c r="AE5238" s="23"/>
      <c r="AF5238" s="23"/>
      <c r="AG5238" s="23"/>
      <c r="AH5238" s="23"/>
    </row>
    <row r="5239" spans="1:34">
      <c r="A5239" s="50"/>
      <c r="B5239" s="42"/>
      <c r="G5239" s="43"/>
      <c r="H5239" s="44"/>
      <c r="L5239" s="42"/>
      <c r="M5239" s="42"/>
      <c r="N5239" s="25"/>
      <c r="O5239" s="54"/>
      <c r="P5239"/>
      <c r="Q5239" s="25"/>
      <c r="R5239" s="54"/>
      <c r="W5239" s="23"/>
      <c r="X5239" s="23"/>
      <c r="Y5239" s="23"/>
      <c r="Z5239" s="43"/>
      <c r="AA5239" s="23"/>
      <c r="AB5239" s="23"/>
      <c r="AC5239" s="23"/>
      <c r="AD5239" s="23"/>
      <c r="AE5239" s="23"/>
      <c r="AF5239" s="23"/>
      <c r="AG5239" s="23"/>
      <c r="AH5239" s="23"/>
    </row>
    <row r="5240" spans="1:34">
      <c r="A5240" s="50"/>
      <c r="B5240" s="42"/>
      <c r="G5240" s="43"/>
      <c r="H5240" s="44"/>
      <c r="L5240" s="42"/>
      <c r="M5240" s="42"/>
      <c r="N5240" s="25"/>
      <c r="O5240" s="54"/>
      <c r="P5240"/>
      <c r="Q5240" s="25"/>
      <c r="R5240" s="54"/>
      <c r="W5240" s="23"/>
      <c r="X5240" s="23"/>
      <c r="Y5240" s="23"/>
      <c r="Z5240" s="43"/>
      <c r="AA5240" s="23"/>
      <c r="AB5240" s="23"/>
      <c r="AC5240" s="23"/>
      <c r="AD5240" s="23"/>
      <c r="AE5240" s="23"/>
      <c r="AF5240" s="23"/>
      <c r="AG5240" s="23"/>
      <c r="AH5240" s="23"/>
    </row>
    <row r="5241" spans="1:34">
      <c r="A5241" s="23"/>
      <c r="B5241" s="42"/>
      <c r="G5241" s="43"/>
      <c r="H5241" s="44"/>
      <c r="L5241" s="42"/>
      <c r="M5241" s="42"/>
      <c r="N5241" s="25"/>
      <c r="O5241" s="54"/>
      <c r="P5241"/>
      <c r="Q5241" s="25"/>
      <c r="R5241" s="54"/>
      <c r="W5241" s="23"/>
      <c r="X5241" s="23"/>
      <c r="Y5241" s="23"/>
      <c r="Z5241" s="43"/>
      <c r="AA5241" s="23"/>
      <c r="AB5241" s="23"/>
      <c r="AC5241" s="23"/>
      <c r="AD5241" s="23"/>
      <c r="AE5241" s="23"/>
      <c r="AF5241" s="23"/>
      <c r="AG5241" s="23"/>
      <c r="AH5241" s="23"/>
    </row>
    <row r="5242" spans="1:34">
      <c r="A5242" s="23"/>
      <c r="B5242" s="42"/>
      <c r="G5242" s="43"/>
      <c r="H5242" s="44"/>
      <c r="L5242" s="42"/>
      <c r="M5242" s="42"/>
      <c r="N5242" s="25"/>
      <c r="O5242" s="54"/>
      <c r="P5242"/>
      <c r="Q5242" s="25"/>
      <c r="R5242" s="54"/>
      <c r="W5242" s="23"/>
      <c r="X5242" s="23"/>
      <c r="Y5242" s="23"/>
      <c r="Z5242" s="43"/>
      <c r="AA5242" s="23"/>
      <c r="AB5242" s="23"/>
      <c r="AC5242" s="23"/>
      <c r="AD5242" s="23"/>
      <c r="AE5242" s="23"/>
      <c r="AF5242" s="23"/>
      <c r="AG5242" s="23"/>
      <c r="AH5242" s="23"/>
    </row>
    <row r="5243" spans="1:34">
      <c r="A5243" s="23"/>
      <c r="B5243" s="42"/>
      <c r="G5243" s="43"/>
      <c r="H5243" s="44"/>
      <c r="L5243" s="42"/>
      <c r="M5243" s="42"/>
      <c r="N5243" s="25"/>
      <c r="O5243" s="54"/>
      <c r="P5243"/>
      <c r="Q5243" s="25"/>
      <c r="R5243" s="54"/>
      <c r="W5243" s="23"/>
      <c r="X5243" s="23"/>
      <c r="Y5243" s="23"/>
      <c r="Z5243" s="43"/>
      <c r="AA5243" s="23"/>
      <c r="AB5243" s="23"/>
      <c r="AC5243" s="23"/>
      <c r="AD5243" s="23"/>
      <c r="AE5243" s="23"/>
      <c r="AF5243" s="23"/>
      <c r="AG5243" s="23"/>
      <c r="AH5243" s="23"/>
    </row>
    <row r="5244" spans="1:34">
      <c r="A5244" s="50"/>
      <c r="B5244" s="42"/>
      <c r="G5244" s="43"/>
      <c r="H5244" s="44"/>
      <c r="L5244" s="42"/>
      <c r="M5244" s="42"/>
      <c r="N5244" s="25"/>
      <c r="O5244" s="54"/>
      <c r="P5244"/>
      <c r="Q5244" s="25"/>
      <c r="R5244" s="54"/>
      <c r="W5244" s="23"/>
      <c r="X5244" s="23"/>
      <c r="Y5244" s="23"/>
      <c r="Z5244" s="43"/>
      <c r="AA5244" s="23"/>
      <c r="AB5244" s="23"/>
      <c r="AC5244" s="23"/>
      <c r="AD5244" s="23"/>
      <c r="AE5244" s="23"/>
      <c r="AF5244" s="23"/>
      <c r="AG5244" s="23"/>
      <c r="AH5244" s="23"/>
    </row>
    <row r="5245" spans="1:34">
      <c r="B5245" s="42"/>
      <c r="G5245" s="43"/>
      <c r="H5245" s="44"/>
      <c r="L5245" s="42"/>
      <c r="M5245" s="42"/>
      <c r="N5245" s="25"/>
      <c r="O5245" s="54"/>
      <c r="P5245"/>
      <c r="Q5245" s="25"/>
      <c r="R5245" s="54"/>
      <c r="W5245" s="23"/>
      <c r="X5245" s="23"/>
      <c r="Y5245" s="23"/>
      <c r="Z5245" s="43"/>
      <c r="AA5245" s="23"/>
      <c r="AB5245" s="23"/>
      <c r="AC5245" s="23"/>
      <c r="AD5245" s="23"/>
      <c r="AE5245" s="23"/>
      <c r="AF5245" s="23"/>
      <c r="AG5245" s="23"/>
      <c r="AH5245" s="23"/>
    </row>
    <row r="5246" spans="1:34">
      <c r="A5246" s="50"/>
      <c r="B5246" s="42"/>
      <c r="G5246" s="43"/>
      <c r="H5246" s="44"/>
      <c r="L5246" s="42"/>
      <c r="M5246" s="42"/>
      <c r="N5246" s="25"/>
      <c r="O5246" s="54"/>
      <c r="P5246"/>
      <c r="Q5246" s="25"/>
      <c r="R5246" s="54"/>
      <c r="W5246" s="23"/>
      <c r="X5246" s="23"/>
      <c r="Y5246" s="23"/>
      <c r="Z5246" s="43"/>
      <c r="AA5246" s="23"/>
      <c r="AB5246" s="23"/>
      <c r="AC5246" s="23"/>
      <c r="AD5246" s="23"/>
      <c r="AE5246" s="23"/>
      <c r="AF5246" s="23"/>
      <c r="AG5246" s="23"/>
      <c r="AH5246" s="23"/>
    </row>
    <row r="5247" spans="1:34">
      <c r="A5247" s="50"/>
      <c r="B5247" s="42"/>
      <c r="G5247" s="43"/>
      <c r="H5247" s="44"/>
      <c r="L5247" s="42"/>
      <c r="M5247" s="42"/>
      <c r="N5247" s="25"/>
      <c r="O5247" s="54"/>
      <c r="P5247"/>
      <c r="Q5247" s="25"/>
      <c r="R5247" s="54"/>
      <c r="W5247" s="23"/>
      <c r="X5247" s="23"/>
      <c r="Y5247" s="23"/>
      <c r="Z5247" s="43"/>
      <c r="AA5247" s="23"/>
      <c r="AB5247" s="23"/>
      <c r="AC5247" s="23"/>
      <c r="AD5247" s="23"/>
      <c r="AE5247" s="23"/>
      <c r="AF5247" s="23"/>
      <c r="AG5247" s="23"/>
      <c r="AH5247" s="23"/>
    </row>
    <row r="5248" spans="1:34">
      <c r="A5248" s="50"/>
      <c r="B5248" s="42"/>
      <c r="G5248" s="43"/>
      <c r="H5248" s="44"/>
      <c r="L5248" s="42"/>
      <c r="M5248" s="42"/>
      <c r="N5248" s="25"/>
      <c r="O5248" s="54"/>
      <c r="P5248"/>
      <c r="Q5248" s="25"/>
      <c r="R5248" s="54"/>
      <c r="W5248" s="23"/>
      <c r="X5248" s="23"/>
      <c r="Y5248" s="23"/>
      <c r="Z5248" s="43"/>
      <c r="AA5248" s="23"/>
      <c r="AB5248" s="23"/>
      <c r="AC5248" s="23"/>
      <c r="AD5248" s="23"/>
      <c r="AE5248" s="23"/>
      <c r="AF5248" s="23"/>
      <c r="AG5248" s="23"/>
      <c r="AH5248" s="23"/>
    </row>
    <row r="5249" spans="1:34">
      <c r="B5249" s="42"/>
      <c r="G5249" s="43"/>
      <c r="H5249" s="44"/>
      <c r="L5249" s="42"/>
      <c r="M5249" s="42"/>
      <c r="N5249" s="25"/>
      <c r="O5249" s="54"/>
      <c r="P5249"/>
      <c r="Q5249" s="25"/>
      <c r="R5249" s="54"/>
      <c r="W5249" s="23"/>
      <c r="X5249" s="23"/>
      <c r="Y5249" s="23"/>
      <c r="Z5249" s="43"/>
      <c r="AA5249" s="23"/>
      <c r="AB5249" s="23"/>
      <c r="AC5249" s="23"/>
      <c r="AD5249" s="23"/>
      <c r="AE5249" s="23"/>
      <c r="AF5249" s="23"/>
      <c r="AG5249" s="23"/>
      <c r="AH5249" s="23"/>
    </row>
    <row r="5250" spans="1:34">
      <c r="B5250" s="42"/>
      <c r="G5250" s="43"/>
      <c r="H5250" s="44"/>
      <c r="L5250" s="42"/>
      <c r="M5250" s="42"/>
      <c r="N5250" s="25"/>
      <c r="O5250" s="54"/>
      <c r="P5250"/>
      <c r="Q5250" s="25"/>
      <c r="R5250" s="54"/>
      <c r="W5250" s="23"/>
      <c r="X5250" s="23"/>
      <c r="Y5250" s="23"/>
      <c r="Z5250" s="43"/>
      <c r="AA5250" s="23"/>
      <c r="AB5250" s="23"/>
      <c r="AC5250" s="23"/>
      <c r="AD5250" s="23"/>
      <c r="AE5250" s="23"/>
      <c r="AF5250" s="23"/>
      <c r="AG5250" s="23"/>
      <c r="AH5250" s="23"/>
    </row>
    <row r="5251" spans="1:34">
      <c r="B5251" s="42"/>
      <c r="G5251" s="43"/>
      <c r="H5251" s="44"/>
      <c r="L5251" s="42"/>
      <c r="M5251" s="42"/>
      <c r="N5251" s="25"/>
      <c r="O5251" s="54"/>
      <c r="P5251"/>
      <c r="Q5251" s="25"/>
      <c r="R5251" s="54"/>
      <c r="W5251" s="23"/>
      <c r="X5251" s="23"/>
      <c r="Y5251" s="23"/>
      <c r="Z5251" s="43"/>
      <c r="AA5251" s="23"/>
      <c r="AB5251" s="23"/>
      <c r="AC5251" s="23"/>
      <c r="AD5251" s="23"/>
      <c r="AE5251" s="23"/>
      <c r="AF5251" s="23"/>
      <c r="AG5251" s="23"/>
      <c r="AH5251" s="23"/>
    </row>
    <row r="5252" spans="1:34">
      <c r="A5252" s="50"/>
      <c r="B5252" s="42"/>
      <c r="G5252" s="43"/>
      <c r="H5252" s="44"/>
      <c r="L5252" s="42"/>
      <c r="M5252" s="42"/>
      <c r="N5252" s="25"/>
      <c r="O5252" s="54"/>
      <c r="P5252"/>
      <c r="Q5252" s="25"/>
      <c r="R5252" s="54"/>
      <c r="W5252" s="23"/>
      <c r="X5252" s="23"/>
      <c r="Y5252" s="23"/>
      <c r="Z5252" s="43"/>
      <c r="AA5252" s="23"/>
      <c r="AB5252" s="23"/>
      <c r="AC5252" s="23"/>
      <c r="AD5252" s="23"/>
      <c r="AE5252" s="23"/>
      <c r="AF5252" s="23"/>
      <c r="AG5252" s="23"/>
      <c r="AH5252" s="23"/>
    </row>
    <row r="5253" spans="1:34">
      <c r="A5253" s="50"/>
      <c r="B5253" s="42"/>
      <c r="G5253" s="43"/>
      <c r="H5253" s="44"/>
      <c r="L5253" s="42"/>
      <c r="M5253" s="42"/>
      <c r="N5253" s="25"/>
      <c r="O5253" s="54"/>
      <c r="P5253"/>
      <c r="Q5253" s="25"/>
      <c r="R5253" s="54"/>
      <c r="W5253" s="23"/>
      <c r="X5253" s="23"/>
      <c r="Y5253" s="23"/>
      <c r="Z5253" s="43"/>
      <c r="AA5253" s="23"/>
      <c r="AB5253" s="23"/>
      <c r="AC5253" s="23"/>
      <c r="AD5253" s="23"/>
      <c r="AE5253" s="23"/>
      <c r="AF5253" s="23"/>
      <c r="AG5253" s="23"/>
      <c r="AH5253" s="23"/>
    </row>
    <row r="5254" spans="1:34">
      <c r="A5254" s="50"/>
      <c r="B5254" s="42"/>
      <c r="G5254" s="43"/>
      <c r="H5254" s="44"/>
      <c r="L5254" s="42"/>
      <c r="M5254" s="42"/>
      <c r="N5254" s="25"/>
      <c r="O5254" s="54"/>
      <c r="P5254"/>
      <c r="Q5254" s="25"/>
      <c r="R5254" s="54"/>
      <c r="W5254" s="23"/>
      <c r="X5254" s="23"/>
      <c r="Y5254" s="23"/>
      <c r="Z5254" s="43"/>
      <c r="AA5254" s="23"/>
      <c r="AB5254" s="23"/>
      <c r="AC5254" s="23"/>
      <c r="AD5254" s="23"/>
      <c r="AE5254" s="23"/>
      <c r="AF5254" s="23"/>
      <c r="AG5254" s="23"/>
      <c r="AH5254" s="23"/>
    </row>
    <row r="5255" spans="1:34">
      <c r="A5255" s="50"/>
      <c r="B5255" s="42"/>
      <c r="G5255" s="43"/>
      <c r="H5255" s="44"/>
      <c r="L5255" s="42"/>
      <c r="M5255" s="42"/>
      <c r="N5255" s="25"/>
      <c r="O5255" s="54"/>
      <c r="P5255"/>
      <c r="Q5255" s="25"/>
      <c r="R5255" s="54"/>
      <c r="W5255" s="23"/>
      <c r="X5255" s="23"/>
      <c r="Y5255" s="23"/>
      <c r="Z5255" s="43"/>
      <c r="AA5255" s="23"/>
      <c r="AB5255" s="23"/>
      <c r="AC5255" s="23"/>
      <c r="AD5255" s="23"/>
      <c r="AE5255" s="23"/>
      <c r="AF5255" s="23"/>
      <c r="AG5255" s="23"/>
      <c r="AH5255" s="23"/>
    </row>
    <row r="5256" spans="1:34">
      <c r="B5256" s="42"/>
      <c r="G5256" s="43"/>
      <c r="H5256" s="44"/>
      <c r="L5256" s="42"/>
      <c r="M5256" s="42"/>
      <c r="N5256" s="25"/>
      <c r="O5256" s="54"/>
      <c r="P5256"/>
      <c r="Q5256" s="25"/>
      <c r="R5256" s="54"/>
      <c r="W5256" s="23"/>
      <c r="X5256" s="23"/>
      <c r="Y5256" s="23"/>
      <c r="Z5256" s="43"/>
      <c r="AA5256" s="23"/>
      <c r="AB5256" s="23"/>
      <c r="AC5256" s="23"/>
      <c r="AD5256" s="23"/>
      <c r="AE5256" s="23"/>
      <c r="AF5256" s="23"/>
      <c r="AG5256" s="23"/>
      <c r="AH5256" s="23"/>
    </row>
    <row r="5257" spans="1:34">
      <c r="A5257" s="50"/>
      <c r="B5257" s="42"/>
      <c r="G5257" s="43"/>
      <c r="H5257" s="44"/>
      <c r="L5257" s="42"/>
      <c r="M5257" s="42"/>
      <c r="N5257" s="25"/>
      <c r="O5257" s="54"/>
      <c r="P5257"/>
      <c r="Q5257" s="25"/>
      <c r="R5257" s="54"/>
      <c r="W5257" s="23"/>
      <c r="X5257" s="23"/>
      <c r="Y5257" s="23"/>
      <c r="Z5257" s="43"/>
      <c r="AA5257" s="23"/>
      <c r="AB5257" s="23"/>
      <c r="AC5257" s="23"/>
      <c r="AD5257" s="23"/>
      <c r="AE5257" s="23"/>
      <c r="AF5257" s="23"/>
      <c r="AG5257" s="23"/>
      <c r="AH5257" s="23"/>
    </row>
    <row r="5258" spans="1:34">
      <c r="A5258" s="50"/>
      <c r="B5258" s="42"/>
      <c r="G5258" s="43"/>
      <c r="H5258" s="44"/>
      <c r="L5258" s="42"/>
      <c r="M5258" s="42"/>
      <c r="N5258" s="25"/>
      <c r="O5258" s="54"/>
      <c r="P5258"/>
      <c r="Q5258" s="25"/>
      <c r="R5258" s="54"/>
      <c r="W5258" s="23"/>
      <c r="X5258" s="23"/>
      <c r="Y5258" s="23"/>
      <c r="Z5258" s="43"/>
      <c r="AA5258" s="23"/>
      <c r="AB5258" s="23"/>
      <c r="AC5258" s="23"/>
      <c r="AD5258" s="23"/>
      <c r="AE5258" s="23"/>
      <c r="AF5258" s="23"/>
      <c r="AG5258" s="23"/>
      <c r="AH5258" s="23"/>
    </row>
    <row r="5259" spans="1:34">
      <c r="A5259" s="50"/>
      <c r="B5259" s="42"/>
      <c r="G5259" s="43"/>
      <c r="H5259" s="44"/>
      <c r="L5259" s="42"/>
      <c r="M5259" s="42"/>
      <c r="N5259" s="25"/>
      <c r="O5259" s="54"/>
      <c r="P5259"/>
      <c r="Q5259" s="25"/>
      <c r="R5259" s="54"/>
      <c r="W5259" s="23"/>
      <c r="X5259" s="23"/>
      <c r="Y5259" s="23"/>
      <c r="Z5259" s="43"/>
      <c r="AA5259" s="23"/>
      <c r="AB5259" s="23"/>
      <c r="AC5259" s="23"/>
      <c r="AD5259" s="23"/>
      <c r="AE5259" s="23"/>
      <c r="AF5259" s="23"/>
      <c r="AG5259" s="23"/>
      <c r="AH5259" s="23"/>
    </row>
    <row r="5260" spans="1:34">
      <c r="A5260" s="50"/>
      <c r="B5260" s="42"/>
      <c r="G5260" s="43"/>
      <c r="H5260" s="44"/>
      <c r="L5260" s="42"/>
      <c r="M5260" s="42"/>
      <c r="N5260" s="25"/>
      <c r="O5260" s="54"/>
      <c r="P5260"/>
      <c r="Q5260" s="25"/>
      <c r="R5260" s="54"/>
      <c r="W5260" s="23"/>
      <c r="X5260" s="23"/>
      <c r="Y5260" s="23"/>
      <c r="Z5260" s="43"/>
      <c r="AA5260" s="23"/>
      <c r="AB5260" s="23"/>
      <c r="AC5260" s="23"/>
      <c r="AD5260" s="23"/>
      <c r="AE5260" s="23"/>
      <c r="AF5260" s="23"/>
      <c r="AG5260" s="23"/>
      <c r="AH5260" s="23"/>
    </row>
    <row r="5261" spans="1:34">
      <c r="A5261" s="50"/>
      <c r="B5261" s="42"/>
      <c r="G5261" s="43"/>
      <c r="H5261" s="44"/>
      <c r="L5261" s="42"/>
      <c r="M5261" s="42"/>
      <c r="N5261" s="25"/>
      <c r="O5261" s="54"/>
      <c r="P5261"/>
      <c r="Q5261" s="25"/>
      <c r="R5261" s="54"/>
      <c r="W5261" s="23"/>
      <c r="X5261" s="23"/>
      <c r="Y5261" s="23"/>
      <c r="Z5261" s="43"/>
      <c r="AA5261" s="23"/>
      <c r="AB5261" s="23"/>
      <c r="AC5261" s="23"/>
      <c r="AD5261" s="23"/>
      <c r="AE5261" s="23"/>
      <c r="AF5261" s="23"/>
      <c r="AG5261" s="23"/>
      <c r="AH5261" s="23"/>
    </row>
    <row r="5262" spans="1:34">
      <c r="A5262" s="50"/>
      <c r="B5262" s="42"/>
      <c r="G5262" s="43"/>
      <c r="H5262" s="44"/>
      <c r="L5262" s="42"/>
      <c r="M5262" s="42"/>
      <c r="N5262" s="25"/>
      <c r="O5262" s="54"/>
      <c r="P5262"/>
      <c r="Q5262" s="25"/>
      <c r="R5262" s="54"/>
      <c r="W5262" s="23"/>
      <c r="X5262" s="23"/>
      <c r="Y5262" s="23"/>
      <c r="Z5262" s="43"/>
      <c r="AA5262" s="23"/>
      <c r="AB5262" s="23"/>
      <c r="AC5262" s="23"/>
      <c r="AD5262" s="23"/>
      <c r="AE5262" s="23"/>
      <c r="AF5262" s="23"/>
      <c r="AG5262" s="23"/>
      <c r="AH5262" s="23"/>
    </row>
    <row r="5263" spans="1:34">
      <c r="A5263" s="50"/>
      <c r="B5263" s="42"/>
      <c r="G5263" s="43"/>
      <c r="H5263" s="44"/>
      <c r="L5263" s="42"/>
      <c r="M5263" s="42"/>
      <c r="N5263" s="25"/>
      <c r="O5263" s="54"/>
      <c r="P5263"/>
      <c r="Q5263" s="25"/>
      <c r="R5263" s="54"/>
      <c r="W5263" s="23"/>
      <c r="X5263" s="23"/>
      <c r="Y5263" s="23"/>
      <c r="Z5263" s="43"/>
      <c r="AA5263" s="23"/>
      <c r="AB5263" s="23"/>
      <c r="AC5263" s="23"/>
      <c r="AD5263" s="23"/>
      <c r="AE5263" s="23"/>
      <c r="AF5263" s="23"/>
      <c r="AG5263" s="23"/>
      <c r="AH5263" s="23"/>
    </row>
    <row r="5264" spans="1:34">
      <c r="A5264" s="50"/>
      <c r="B5264" s="42"/>
      <c r="G5264" s="43"/>
      <c r="H5264" s="44"/>
      <c r="L5264" s="42"/>
      <c r="M5264" s="42"/>
      <c r="N5264" s="25"/>
      <c r="O5264" s="54"/>
      <c r="P5264"/>
      <c r="Q5264" s="25"/>
      <c r="R5264" s="54"/>
      <c r="W5264" s="23"/>
      <c r="X5264" s="23"/>
      <c r="Y5264" s="23"/>
      <c r="Z5264" s="43"/>
      <c r="AA5264" s="23"/>
      <c r="AB5264" s="23"/>
      <c r="AC5264" s="23"/>
      <c r="AD5264" s="23"/>
      <c r="AE5264" s="23"/>
      <c r="AF5264" s="23"/>
      <c r="AG5264" s="23"/>
      <c r="AH5264" s="23"/>
    </row>
    <row r="5265" spans="1:34">
      <c r="B5265" s="42"/>
      <c r="G5265" s="43"/>
      <c r="H5265" s="44"/>
      <c r="L5265" s="42"/>
      <c r="M5265" s="42"/>
      <c r="N5265" s="25"/>
      <c r="O5265" s="54"/>
      <c r="P5265"/>
      <c r="Q5265" s="25"/>
      <c r="R5265" s="54"/>
      <c r="W5265" s="23"/>
      <c r="X5265" s="23"/>
      <c r="Y5265" s="23"/>
      <c r="Z5265" s="43"/>
      <c r="AA5265" s="23"/>
      <c r="AB5265" s="23"/>
      <c r="AC5265" s="23"/>
      <c r="AD5265" s="23"/>
      <c r="AE5265" s="23"/>
      <c r="AF5265" s="23"/>
      <c r="AG5265" s="23"/>
      <c r="AH5265" s="23"/>
    </row>
    <row r="5266" spans="1:34">
      <c r="A5266" s="50"/>
      <c r="B5266" s="42"/>
      <c r="G5266" s="43"/>
      <c r="H5266" s="44"/>
      <c r="L5266" s="42"/>
      <c r="M5266" s="42"/>
      <c r="N5266" s="25"/>
      <c r="O5266" s="54"/>
      <c r="P5266"/>
      <c r="Q5266" s="25"/>
      <c r="R5266" s="54"/>
      <c r="W5266" s="23"/>
      <c r="X5266" s="23"/>
      <c r="Y5266" s="23"/>
      <c r="Z5266" s="43"/>
      <c r="AA5266" s="23"/>
      <c r="AB5266" s="23"/>
      <c r="AC5266" s="23"/>
      <c r="AD5266" s="23"/>
      <c r="AE5266" s="23"/>
      <c r="AF5266" s="23"/>
      <c r="AG5266" s="23"/>
      <c r="AH5266" s="23"/>
    </row>
    <row r="5267" spans="1:34">
      <c r="A5267" s="50"/>
      <c r="B5267" s="42"/>
      <c r="G5267" s="43"/>
      <c r="H5267" s="44"/>
      <c r="L5267" s="42"/>
      <c r="M5267" s="42"/>
      <c r="N5267" s="25"/>
      <c r="O5267" s="54"/>
      <c r="P5267"/>
      <c r="Q5267" s="25"/>
      <c r="R5267" s="54"/>
      <c r="W5267" s="23"/>
      <c r="X5267" s="23"/>
      <c r="Y5267" s="23"/>
      <c r="Z5267" s="43"/>
      <c r="AA5267" s="23"/>
      <c r="AB5267" s="23"/>
      <c r="AC5267" s="23"/>
      <c r="AD5267" s="23"/>
      <c r="AE5267" s="23"/>
      <c r="AF5267" s="23"/>
      <c r="AG5267" s="23"/>
      <c r="AH5267" s="23"/>
    </row>
    <row r="5268" spans="1:34">
      <c r="A5268" s="50"/>
      <c r="B5268" s="42"/>
      <c r="G5268" s="43"/>
      <c r="H5268" s="44"/>
      <c r="L5268" s="42"/>
      <c r="M5268" s="42"/>
      <c r="N5268" s="25"/>
      <c r="O5268" s="54"/>
      <c r="P5268"/>
      <c r="Q5268" s="25"/>
      <c r="R5268" s="54"/>
      <c r="W5268" s="23"/>
      <c r="X5268" s="23"/>
      <c r="Y5268" s="23"/>
      <c r="Z5268" s="43"/>
      <c r="AA5268" s="23"/>
      <c r="AB5268" s="23"/>
      <c r="AC5268" s="23"/>
      <c r="AD5268" s="23"/>
      <c r="AE5268" s="23"/>
      <c r="AF5268" s="23"/>
      <c r="AG5268" s="23"/>
      <c r="AH5268" s="23"/>
    </row>
    <row r="5269" spans="1:34">
      <c r="A5269" s="50"/>
      <c r="B5269" s="42"/>
      <c r="G5269" s="43"/>
      <c r="H5269" s="44"/>
      <c r="L5269" s="42"/>
      <c r="M5269" s="42"/>
      <c r="N5269" s="25"/>
      <c r="O5269" s="54"/>
      <c r="P5269"/>
      <c r="Q5269" s="25"/>
      <c r="R5269" s="54"/>
      <c r="W5269" s="23"/>
      <c r="X5269" s="23"/>
      <c r="Y5269" s="23"/>
      <c r="Z5269" s="43"/>
      <c r="AA5269" s="23"/>
      <c r="AB5269" s="23"/>
      <c r="AC5269" s="23"/>
      <c r="AD5269" s="23"/>
      <c r="AE5269" s="23"/>
      <c r="AF5269" s="23"/>
      <c r="AG5269" s="23"/>
      <c r="AH5269" s="23"/>
    </row>
    <row r="5270" spans="1:34">
      <c r="B5270" s="42"/>
      <c r="G5270" s="43"/>
      <c r="H5270" s="44"/>
      <c r="L5270" s="42"/>
      <c r="M5270" s="42"/>
      <c r="N5270" s="25"/>
      <c r="O5270" s="54"/>
      <c r="P5270"/>
      <c r="Q5270" s="25"/>
      <c r="R5270" s="54"/>
      <c r="W5270" s="23"/>
      <c r="X5270" s="23"/>
      <c r="Y5270" s="23"/>
      <c r="Z5270" s="43"/>
      <c r="AA5270" s="23"/>
      <c r="AB5270" s="23"/>
      <c r="AC5270" s="23"/>
      <c r="AD5270" s="23"/>
      <c r="AE5270" s="23"/>
      <c r="AF5270" s="23"/>
      <c r="AG5270" s="23"/>
      <c r="AH5270" s="23"/>
    </row>
    <row r="5271" spans="1:34">
      <c r="B5271" s="42"/>
      <c r="G5271" s="43"/>
      <c r="H5271" s="44"/>
      <c r="L5271" s="42"/>
      <c r="M5271" s="42"/>
      <c r="N5271" s="25"/>
      <c r="O5271" s="54"/>
      <c r="P5271"/>
      <c r="Q5271" s="25"/>
      <c r="R5271" s="54"/>
      <c r="W5271" s="23"/>
      <c r="X5271" s="23"/>
      <c r="Y5271" s="23"/>
      <c r="Z5271" s="43"/>
      <c r="AA5271" s="23"/>
      <c r="AB5271" s="23"/>
      <c r="AC5271" s="23"/>
      <c r="AD5271" s="23"/>
      <c r="AE5271" s="23"/>
      <c r="AF5271" s="23"/>
      <c r="AG5271" s="23"/>
      <c r="AH5271" s="23"/>
    </row>
    <row r="5272" spans="1:34">
      <c r="B5272" s="42"/>
      <c r="G5272" s="43"/>
      <c r="H5272" s="44"/>
      <c r="L5272" s="42"/>
      <c r="M5272" s="42"/>
      <c r="N5272" s="25"/>
      <c r="O5272" s="54"/>
      <c r="P5272"/>
      <c r="Q5272" s="25"/>
      <c r="R5272" s="54"/>
      <c r="W5272" s="23"/>
      <c r="X5272" s="23"/>
      <c r="Y5272" s="23"/>
      <c r="Z5272" s="43"/>
      <c r="AA5272" s="23"/>
      <c r="AB5272" s="23"/>
      <c r="AC5272" s="23"/>
      <c r="AD5272" s="23"/>
      <c r="AE5272" s="23"/>
      <c r="AF5272" s="23"/>
      <c r="AG5272" s="23"/>
      <c r="AH5272" s="23"/>
    </row>
    <row r="5273" spans="1:34">
      <c r="B5273" s="42"/>
      <c r="G5273" s="43"/>
      <c r="H5273" s="44"/>
      <c r="L5273" s="42"/>
      <c r="M5273" s="42"/>
      <c r="N5273" s="25"/>
      <c r="O5273" s="54"/>
      <c r="P5273"/>
      <c r="Q5273" s="25"/>
      <c r="R5273" s="54"/>
      <c r="W5273" s="23"/>
      <c r="X5273" s="23"/>
      <c r="Y5273" s="23"/>
      <c r="Z5273" s="43"/>
      <c r="AA5273" s="23"/>
      <c r="AB5273" s="23"/>
      <c r="AC5273" s="23"/>
      <c r="AD5273" s="23"/>
      <c r="AE5273" s="23"/>
      <c r="AF5273" s="23"/>
      <c r="AG5273" s="23"/>
      <c r="AH5273" s="23"/>
    </row>
    <row r="5274" spans="1:34">
      <c r="B5274" s="42"/>
      <c r="G5274" s="43"/>
      <c r="H5274" s="44"/>
      <c r="L5274" s="42"/>
      <c r="M5274" s="42"/>
      <c r="N5274" s="25"/>
      <c r="O5274" s="54"/>
      <c r="P5274"/>
      <c r="Q5274" s="25"/>
      <c r="R5274" s="54"/>
      <c r="W5274" s="23"/>
      <c r="X5274" s="23"/>
      <c r="Y5274" s="23"/>
      <c r="Z5274" s="43"/>
      <c r="AA5274" s="23"/>
      <c r="AB5274" s="23"/>
      <c r="AC5274" s="23"/>
      <c r="AD5274" s="23"/>
      <c r="AE5274" s="23"/>
      <c r="AF5274" s="23"/>
      <c r="AG5274" s="23"/>
      <c r="AH5274" s="23"/>
    </row>
    <row r="5275" spans="1:34">
      <c r="B5275" s="42"/>
      <c r="G5275" s="43"/>
      <c r="H5275" s="44"/>
      <c r="L5275" s="42"/>
      <c r="M5275" s="42"/>
      <c r="N5275" s="25"/>
      <c r="O5275" s="54"/>
      <c r="P5275"/>
      <c r="Q5275" s="25"/>
      <c r="R5275" s="54"/>
      <c r="W5275" s="23"/>
      <c r="X5275" s="23"/>
      <c r="Y5275" s="23"/>
      <c r="Z5275" s="43"/>
      <c r="AA5275" s="23"/>
      <c r="AB5275" s="23"/>
      <c r="AC5275" s="23"/>
      <c r="AD5275" s="23"/>
      <c r="AE5275" s="23"/>
      <c r="AF5275" s="23"/>
      <c r="AG5275" s="23"/>
      <c r="AH5275" s="23"/>
    </row>
    <row r="5276" spans="1:34">
      <c r="B5276" s="42"/>
      <c r="G5276" s="43"/>
      <c r="H5276" s="44"/>
      <c r="L5276" s="42"/>
      <c r="M5276" s="42"/>
      <c r="N5276" s="25"/>
      <c r="O5276" s="54"/>
      <c r="P5276"/>
      <c r="Q5276" s="25"/>
      <c r="R5276" s="54"/>
      <c r="W5276" s="23"/>
      <c r="X5276" s="23"/>
      <c r="Y5276" s="23"/>
      <c r="Z5276" s="43"/>
      <c r="AA5276" s="23"/>
      <c r="AB5276" s="23"/>
      <c r="AC5276" s="23"/>
      <c r="AD5276" s="23"/>
      <c r="AE5276" s="23"/>
      <c r="AF5276" s="23"/>
      <c r="AG5276" s="23"/>
      <c r="AH5276" s="23"/>
    </row>
    <row r="5277" spans="1:34">
      <c r="B5277" s="42"/>
      <c r="G5277" s="43"/>
      <c r="H5277" s="44"/>
      <c r="L5277" s="42"/>
      <c r="M5277" s="42"/>
      <c r="N5277" s="25"/>
      <c r="O5277" s="54"/>
      <c r="P5277"/>
      <c r="Q5277" s="25"/>
      <c r="R5277" s="54"/>
      <c r="W5277" s="23"/>
      <c r="X5277" s="23"/>
      <c r="Y5277" s="23"/>
      <c r="Z5277" s="43"/>
      <c r="AA5277" s="23"/>
      <c r="AB5277" s="23"/>
      <c r="AC5277" s="23"/>
      <c r="AD5277" s="23"/>
      <c r="AE5277" s="23"/>
      <c r="AF5277" s="23"/>
      <c r="AG5277" s="23"/>
      <c r="AH5277" s="23"/>
    </row>
    <row r="5278" spans="1:34">
      <c r="B5278" s="42"/>
      <c r="G5278" s="43"/>
      <c r="H5278" s="44"/>
      <c r="L5278" s="42"/>
      <c r="M5278" s="42"/>
      <c r="N5278" s="25"/>
      <c r="O5278" s="54"/>
      <c r="P5278"/>
      <c r="Q5278" s="25"/>
      <c r="R5278" s="54"/>
      <c r="W5278" s="23"/>
      <c r="X5278" s="23"/>
      <c r="Y5278" s="23"/>
      <c r="Z5278" s="43"/>
      <c r="AA5278" s="23"/>
      <c r="AB5278" s="23"/>
      <c r="AC5278" s="23"/>
      <c r="AD5278" s="23"/>
      <c r="AE5278" s="23"/>
      <c r="AF5278" s="23"/>
      <c r="AG5278" s="23"/>
      <c r="AH5278" s="23"/>
    </row>
    <row r="5279" spans="1:34">
      <c r="B5279" s="42"/>
      <c r="G5279" s="43"/>
      <c r="H5279" s="44"/>
      <c r="L5279" s="42"/>
      <c r="M5279" s="42"/>
      <c r="N5279" s="25"/>
      <c r="O5279" s="54"/>
      <c r="P5279"/>
      <c r="Q5279" s="25"/>
      <c r="R5279" s="54"/>
      <c r="W5279" s="23"/>
      <c r="X5279" s="23"/>
      <c r="Y5279" s="23"/>
      <c r="Z5279" s="43"/>
      <c r="AA5279" s="23"/>
      <c r="AB5279" s="23"/>
      <c r="AC5279" s="23"/>
      <c r="AD5279" s="23"/>
      <c r="AE5279" s="23"/>
      <c r="AF5279" s="23"/>
      <c r="AG5279" s="23"/>
      <c r="AH5279" s="23"/>
    </row>
    <row r="5280" spans="1:34">
      <c r="B5280" s="42"/>
      <c r="G5280" s="43"/>
      <c r="H5280" s="44"/>
      <c r="L5280" s="42"/>
      <c r="M5280" s="42"/>
      <c r="N5280" s="25"/>
      <c r="O5280" s="54"/>
      <c r="P5280"/>
      <c r="Q5280" s="25"/>
      <c r="R5280" s="54"/>
      <c r="W5280" s="23"/>
      <c r="X5280" s="23"/>
      <c r="Y5280" s="23"/>
      <c r="Z5280" s="43"/>
      <c r="AA5280" s="23"/>
      <c r="AB5280" s="23"/>
      <c r="AC5280" s="23"/>
      <c r="AD5280" s="23"/>
      <c r="AE5280" s="23"/>
      <c r="AF5280" s="23"/>
      <c r="AG5280" s="23"/>
      <c r="AH5280" s="23"/>
    </row>
    <row r="5281" spans="1:34">
      <c r="A5281" s="23"/>
      <c r="B5281" s="42"/>
      <c r="G5281" s="43"/>
      <c r="H5281" s="44"/>
      <c r="L5281" s="42"/>
      <c r="M5281" s="42"/>
      <c r="N5281" s="25"/>
      <c r="O5281" s="54"/>
      <c r="P5281"/>
      <c r="Q5281" s="25"/>
      <c r="R5281" s="54"/>
      <c r="W5281" s="23"/>
      <c r="X5281" s="23"/>
      <c r="Y5281" s="23"/>
      <c r="Z5281" s="43"/>
      <c r="AA5281" s="23"/>
      <c r="AB5281" s="23"/>
      <c r="AC5281" s="23"/>
      <c r="AD5281" s="23"/>
      <c r="AE5281" s="23"/>
      <c r="AF5281" s="23"/>
      <c r="AG5281" s="23"/>
      <c r="AH5281" s="23"/>
    </row>
    <row r="5282" spans="1:34">
      <c r="A5282" s="23"/>
      <c r="B5282" s="42"/>
      <c r="G5282" s="43"/>
      <c r="H5282" s="44"/>
      <c r="L5282" s="42"/>
      <c r="M5282" s="42"/>
      <c r="N5282" s="25"/>
      <c r="O5282" s="54"/>
      <c r="P5282"/>
      <c r="Q5282" s="25"/>
      <c r="R5282" s="54"/>
      <c r="W5282" s="23"/>
      <c r="X5282" s="23"/>
      <c r="Y5282" s="23"/>
      <c r="Z5282" s="43"/>
      <c r="AA5282" s="23"/>
      <c r="AB5282" s="23"/>
      <c r="AC5282" s="23"/>
      <c r="AD5282" s="23"/>
      <c r="AE5282" s="23"/>
      <c r="AF5282" s="23"/>
      <c r="AG5282" s="23"/>
      <c r="AH5282" s="23"/>
    </row>
    <row r="5283" spans="1:34">
      <c r="A5283" s="23"/>
      <c r="B5283" s="42"/>
      <c r="G5283" s="43"/>
      <c r="H5283" s="44"/>
      <c r="L5283" s="42"/>
      <c r="M5283" s="42"/>
      <c r="N5283" s="25"/>
      <c r="O5283" s="54"/>
      <c r="P5283"/>
      <c r="Q5283" s="25"/>
      <c r="R5283" s="54"/>
      <c r="W5283" s="23"/>
      <c r="X5283" s="23"/>
      <c r="Y5283" s="23"/>
      <c r="Z5283" s="43"/>
      <c r="AA5283" s="23"/>
      <c r="AB5283" s="23"/>
      <c r="AC5283" s="23"/>
      <c r="AD5283" s="23"/>
      <c r="AE5283" s="23"/>
      <c r="AF5283" s="23"/>
      <c r="AG5283" s="23"/>
      <c r="AH5283" s="23"/>
    </row>
    <row r="5284" spans="1:34">
      <c r="A5284" s="23"/>
      <c r="B5284" s="42"/>
      <c r="G5284" s="43"/>
      <c r="H5284" s="44"/>
      <c r="L5284" s="42"/>
      <c r="M5284" s="42"/>
      <c r="N5284" s="25"/>
      <c r="O5284" s="54"/>
      <c r="P5284"/>
      <c r="Q5284" s="25"/>
      <c r="R5284" s="54"/>
      <c r="W5284" s="23"/>
      <c r="X5284" s="23"/>
      <c r="Y5284" s="23"/>
      <c r="Z5284" s="43"/>
      <c r="AA5284" s="23"/>
      <c r="AB5284" s="23"/>
      <c r="AC5284" s="23"/>
      <c r="AD5284" s="23"/>
      <c r="AE5284" s="23"/>
      <c r="AF5284" s="23"/>
      <c r="AG5284" s="23"/>
      <c r="AH5284" s="23"/>
    </row>
    <row r="5285" spans="1:34">
      <c r="A5285" s="23"/>
      <c r="B5285" s="42"/>
      <c r="G5285" s="43"/>
      <c r="H5285" s="44"/>
      <c r="L5285" s="42"/>
      <c r="M5285" s="42"/>
      <c r="N5285" s="25"/>
      <c r="O5285" s="54"/>
      <c r="P5285"/>
      <c r="Q5285" s="25"/>
      <c r="R5285" s="54"/>
      <c r="W5285" s="23"/>
      <c r="X5285" s="23"/>
      <c r="Y5285" s="23"/>
      <c r="Z5285" s="43"/>
      <c r="AA5285" s="23"/>
      <c r="AB5285" s="23"/>
      <c r="AC5285" s="23"/>
      <c r="AD5285" s="23"/>
      <c r="AE5285" s="23"/>
      <c r="AF5285" s="23"/>
      <c r="AG5285" s="23"/>
      <c r="AH5285" s="23"/>
    </row>
    <row r="5286" spans="1:34">
      <c r="A5286" s="23"/>
      <c r="B5286" s="42"/>
      <c r="G5286" s="43"/>
      <c r="H5286" s="44"/>
      <c r="L5286" s="42"/>
      <c r="M5286" s="42"/>
      <c r="N5286" s="25"/>
      <c r="O5286" s="54"/>
      <c r="P5286"/>
      <c r="Q5286" s="25"/>
      <c r="R5286" s="54"/>
      <c r="W5286" s="23"/>
      <c r="X5286" s="23"/>
      <c r="Y5286" s="23"/>
      <c r="Z5286" s="43"/>
      <c r="AA5286" s="23"/>
      <c r="AB5286" s="23"/>
      <c r="AC5286" s="23"/>
      <c r="AD5286" s="23"/>
      <c r="AE5286" s="23"/>
      <c r="AF5286" s="23"/>
      <c r="AG5286" s="23"/>
      <c r="AH5286" s="23"/>
    </row>
    <row r="5287" spans="1:34">
      <c r="A5287" s="23"/>
      <c r="B5287" s="42"/>
      <c r="G5287" s="43"/>
      <c r="H5287" s="44"/>
      <c r="L5287" s="42"/>
      <c r="M5287" s="42"/>
      <c r="N5287" s="25"/>
      <c r="O5287" s="54"/>
      <c r="P5287"/>
      <c r="Q5287" s="25"/>
      <c r="R5287" s="54"/>
      <c r="W5287" s="23"/>
      <c r="X5287" s="23"/>
      <c r="Y5287" s="23"/>
      <c r="Z5287" s="43"/>
      <c r="AA5287" s="23"/>
      <c r="AB5287" s="23"/>
      <c r="AC5287" s="23"/>
      <c r="AD5287" s="23"/>
      <c r="AE5287" s="23"/>
      <c r="AF5287" s="23"/>
      <c r="AG5287" s="23"/>
      <c r="AH5287" s="23"/>
    </row>
    <row r="5288" spans="1:34">
      <c r="A5288" s="23"/>
      <c r="B5288" s="42"/>
      <c r="G5288" s="43"/>
      <c r="H5288" s="44"/>
      <c r="L5288" s="42"/>
      <c r="M5288" s="42"/>
      <c r="N5288" s="25"/>
      <c r="O5288" s="54"/>
      <c r="P5288"/>
      <c r="Q5288" s="25"/>
      <c r="R5288" s="54"/>
      <c r="W5288" s="23"/>
      <c r="X5288" s="23"/>
      <c r="Y5288" s="23"/>
      <c r="Z5288" s="43"/>
      <c r="AA5288" s="23"/>
      <c r="AB5288" s="23"/>
      <c r="AC5288" s="23"/>
      <c r="AD5288" s="23"/>
      <c r="AE5288" s="23"/>
      <c r="AF5288" s="23"/>
      <c r="AG5288" s="23"/>
      <c r="AH5288" s="23"/>
    </row>
    <row r="5289" spans="1:34">
      <c r="A5289" s="23"/>
      <c r="B5289" s="42"/>
      <c r="G5289" s="43"/>
      <c r="H5289" s="44"/>
      <c r="L5289" s="42"/>
      <c r="M5289" s="42"/>
      <c r="N5289" s="25"/>
      <c r="O5289" s="54"/>
      <c r="P5289"/>
      <c r="Q5289" s="25"/>
      <c r="R5289" s="54"/>
      <c r="W5289" s="23"/>
      <c r="X5289" s="23"/>
      <c r="Y5289" s="23"/>
      <c r="Z5289" s="43"/>
      <c r="AA5289" s="23"/>
      <c r="AB5289" s="23"/>
      <c r="AC5289" s="23"/>
      <c r="AD5289" s="23"/>
      <c r="AE5289" s="23"/>
      <c r="AF5289" s="23"/>
      <c r="AG5289" s="23"/>
      <c r="AH5289" s="23"/>
    </row>
    <row r="5290" spans="1:34">
      <c r="A5290" s="23"/>
      <c r="B5290" s="42"/>
      <c r="G5290" s="43"/>
      <c r="H5290" s="44"/>
      <c r="L5290" s="42"/>
      <c r="M5290" s="42"/>
      <c r="N5290" s="25"/>
      <c r="O5290" s="54"/>
      <c r="P5290"/>
      <c r="Q5290" s="25"/>
      <c r="R5290" s="54"/>
      <c r="W5290" s="23"/>
      <c r="X5290" s="23"/>
      <c r="Y5290" s="23"/>
      <c r="Z5290" s="43"/>
      <c r="AA5290" s="23"/>
      <c r="AB5290" s="23"/>
      <c r="AC5290" s="23"/>
      <c r="AD5290" s="23"/>
      <c r="AE5290" s="23"/>
      <c r="AF5290" s="23"/>
      <c r="AG5290" s="23"/>
      <c r="AH5290" s="23"/>
    </row>
    <row r="5291" spans="1:34">
      <c r="A5291" s="23"/>
      <c r="B5291" s="42"/>
      <c r="G5291" s="43"/>
      <c r="H5291" s="44"/>
      <c r="L5291" s="42"/>
      <c r="M5291" s="42"/>
      <c r="N5291" s="25"/>
      <c r="O5291" s="54"/>
      <c r="P5291"/>
      <c r="Q5291" s="25"/>
      <c r="R5291" s="54"/>
      <c r="W5291" s="23"/>
      <c r="X5291" s="23"/>
      <c r="Y5291" s="23"/>
      <c r="Z5291" s="43"/>
      <c r="AA5291" s="23"/>
      <c r="AB5291" s="23"/>
      <c r="AC5291" s="23"/>
      <c r="AD5291" s="23"/>
      <c r="AE5291" s="23"/>
      <c r="AF5291" s="23"/>
      <c r="AG5291" s="23"/>
      <c r="AH5291" s="23"/>
    </row>
    <row r="5292" spans="1:34">
      <c r="A5292" s="23"/>
      <c r="B5292" s="42"/>
      <c r="G5292" s="43"/>
      <c r="H5292" s="44"/>
      <c r="L5292" s="42"/>
      <c r="M5292" s="42"/>
      <c r="N5292" s="25"/>
      <c r="O5292" s="54"/>
      <c r="P5292"/>
      <c r="Q5292" s="25"/>
      <c r="R5292" s="54"/>
      <c r="W5292" s="23"/>
      <c r="X5292" s="23"/>
      <c r="Y5292" s="23"/>
      <c r="Z5292" s="43"/>
      <c r="AA5292" s="23"/>
      <c r="AB5292" s="23"/>
      <c r="AC5292" s="23"/>
      <c r="AD5292" s="23"/>
      <c r="AE5292" s="23"/>
      <c r="AF5292" s="23"/>
      <c r="AG5292" s="23"/>
      <c r="AH5292" s="23"/>
    </row>
    <row r="5293" spans="1:34">
      <c r="A5293" s="23"/>
      <c r="B5293" s="42"/>
      <c r="G5293" s="43"/>
      <c r="H5293" s="44"/>
      <c r="L5293" s="42"/>
      <c r="M5293" s="42"/>
      <c r="N5293" s="25"/>
      <c r="O5293" s="54"/>
      <c r="P5293"/>
      <c r="Q5293" s="25"/>
      <c r="R5293" s="54"/>
      <c r="W5293" s="23"/>
      <c r="X5293" s="23"/>
      <c r="Y5293" s="23"/>
      <c r="Z5293" s="43"/>
      <c r="AA5293" s="23"/>
      <c r="AB5293" s="23"/>
      <c r="AC5293" s="23"/>
      <c r="AD5293" s="23"/>
      <c r="AE5293" s="23"/>
      <c r="AF5293" s="23"/>
      <c r="AG5293" s="23"/>
      <c r="AH5293" s="23"/>
    </row>
    <row r="5294" spans="1:34">
      <c r="A5294" s="23"/>
      <c r="B5294" s="42"/>
      <c r="G5294" s="43"/>
      <c r="H5294" s="44"/>
      <c r="L5294" s="42"/>
      <c r="M5294" s="42"/>
      <c r="N5294" s="25"/>
      <c r="O5294" s="54"/>
      <c r="P5294"/>
      <c r="Q5294" s="25"/>
      <c r="R5294" s="54"/>
      <c r="W5294" s="23"/>
      <c r="X5294" s="23"/>
      <c r="Y5294" s="23"/>
      <c r="Z5294" s="43"/>
      <c r="AA5294" s="23"/>
      <c r="AB5294" s="23"/>
      <c r="AC5294" s="23"/>
      <c r="AD5294" s="23"/>
      <c r="AE5294" s="23"/>
      <c r="AF5294" s="23"/>
      <c r="AG5294" s="23"/>
      <c r="AH5294" s="23"/>
    </row>
    <row r="5295" spans="1:34">
      <c r="A5295" s="23"/>
      <c r="B5295" s="42"/>
      <c r="G5295" s="43"/>
      <c r="H5295" s="44"/>
      <c r="L5295" s="42"/>
      <c r="M5295" s="42"/>
      <c r="N5295" s="25"/>
      <c r="O5295" s="54"/>
      <c r="P5295"/>
      <c r="Q5295" s="25"/>
      <c r="R5295" s="54"/>
      <c r="W5295" s="23"/>
      <c r="X5295" s="23"/>
      <c r="Y5295" s="23"/>
      <c r="Z5295" s="43"/>
      <c r="AA5295" s="23"/>
      <c r="AB5295" s="23"/>
      <c r="AC5295" s="23"/>
      <c r="AD5295" s="23"/>
      <c r="AE5295" s="23"/>
      <c r="AF5295" s="23"/>
      <c r="AG5295" s="23"/>
      <c r="AH5295" s="23"/>
    </row>
    <row r="5296" spans="1:34">
      <c r="A5296" s="23"/>
      <c r="B5296" s="42"/>
      <c r="G5296" s="43"/>
      <c r="H5296" s="44"/>
      <c r="L5296" s="42"/>
      <c r="M5296" s="42"/>
      <c r="N5296" s="25"/>
      <c r="O5296" s="54"/>
      <c r="P5296"/>
      <c r="Q5296" s="25"/>
      <c r="R5296" s="54"/>
      <c r="W5296" s="23"/>
      <c r="X5296" s="23"/>
      <c r="Y5296" s="23"/>
      <c r="Z5296" s="43"/>
      <c r="AA5296" s="23"/>
      <c r="AB5296" s="23"/>
      <c r="AC5296" s="23"/>
      <c r="AD5296" s="23"/>
      <c r="AE5296" s="23"/>
      <c r="AF5296" s="23"/>
      <c r="AG5296" s="23"/>
      <c r="AH5296" s="23"/>
    </row>
    <row r="5297" spans="1:34">
      <c r="A5297" s="23"/>
      <c r="B5297" s="42"/>
      <c r="G5297" s="43"/>
      <c r="H5297" s="44"/>
      <c r="L5297" s="42"/>
      <c r="M5297" s="42"/>
      <c r="N5297" s="25"/>
      <c r="O5297" s="54"/>
      <c r="P5297"/>
      <c r="Q5297" s="25"/>
      <c r="R5297" s="54"/>
      <c r="W5297" s="23"/>
      <c r="X5297" s="23"/>
      <c r="Y5297" s="23"/>
      <c r="Z5297" s="43"/>
      <c r="AA5297" s="23"/>
      <c r="AB5297" s="23"/>
      <c r="AC5297" s="23"/>
      <c r="AD5297" s="23"/>
      <c r="AE5297" s="23"/>
      <c r="AF5297" s="23"/>
      <c r="AG5297" s="23"/>
      <c r="AH5297" s="23"/>
    </row>
    <row r="5298" spans="1:34">
      <c r="A5298" s="23"/>
      <c r="B5298" s="42"/>
      <c r="G5298" s="43"/>
      <c r="H5298" s="44"/>
      <c r="L5298" s="42"/>
      <c r="M5298" s="42"/>
      <c r="N5298" s="25"/>
      <c r="O5298" s="54"/>
      <c r="P5298"/>
      <c r="Q5298" s="25"/>
      <c r="R5298" s="54"/>
      <c r="W5298" s="23"/>
      <c r="X5298" s="23"/>
      <c r="Y5298" s="23"/>
      <c r="Z5298" s="43"/>
      <c r="AA5298" s="23"/>
      <c r="AB5298" s="23"/>
      <c r="AC5298" s="23"/>
      <c r="AD5298" s="23"/>
      <c r="AE5298" s="23"/>
      <c r="AF5298" s="23"/>
      <c r="AG5298" s="23"/>
      <c r="AH5298" s="23"/>
    </row>
    <row r="5299" spans="1:34">
      <c r="B5299" s="42"/>
      <c r="G5299" s="43"/>
      <c r="H5299" s="44"/>
      <c r="L5299" s="42"/>
      <c r="M5299" s="42"/>
      <c r="N5299" s="25"/>
      <c r="O5299" s="54"/>
      <c r="P5299"/>
      <c r="Q5299" s="25"/>
      <c r="R5299" s="54"/>
      <c r="W5299" s="23"/>
      <c r="X5299" s="23"/>
      <c r="Y5299" s="23"/>
      <c r="Z5299" s="43"/>
      <c r="AA5299" s="23"/>
      <c r="AB5299" s="23"/>
      <c r="AC5299" s="23"/>
      <c r="AD5299" s="23"/>
      <c r="AE5299" s="23"/>
      <c r="AF5299" s="23"/>
      <c r="AG5299" s="23"/>
      <c r="AH5299" s="23"/>
    </row>
    <row r="5300" spans="1:34">
      <c r="A5300" s="23"/>
      <c r="B5300" s="42"/>
      <c r="G5300" s="43"/>
      <c r="H5300" s="44"/>
      <c r="L5300" s="42"/>
      <c r="M5300" s="42"/>
      <c r="N5300" s="25"/>
      <c r="O5300" s="54"/>
      <c r="P5300"/>
      <c r="Q5300" s="25"/>
      <c r="R5300" s="54"/>
      <c r="W5300" s="23"/>
      <c r="X5300" s="23"/>
      <c r="Y5300" s="23"/>
      <c r="Z5300" s="43"/>
      <c r="AA5300" s="23"/>
      <c r="AB5300" s="23"/>
      <c r="AC5300" s="23"/>
      <c r="AD5300" s="23"/>
      <c r="AE5300" s="23"/>
      <c r="AF5300" s="23"/>
      <c r="AG5300" s="23"/>
      <c r="AH5300" s="23"/>
    </row>
    <row r="5301" spans="1:34">
      <c r="A5301" s="23"/>
      <c r="B5301" s="42"/>
      <c r="G5301" s="43"/>
      <c r="H5301" s="44"/>
      <c r="L5301" s="42"/>
      <c r="M5301" s="42"/>
      <c r="N5301" s="25"/>
      <c r="O5301" s="54"/>
      <c r="P5301"/>
      <c r="Q5301" s="25"/>
      <c r="R5301" s="54"/>
      <c r="W5301" s="23"/>
      <c r="X5301" s="23"/>
      <c r="Y5301" s="23"/>
      <c r="Z5301" s="43"/>
      <c r="AA5301" s="23"/>
      <c r="AB5301" s="23"/>
      <c r="AC5301" s="23"/>
      <c r="AD5301" s="23"/>
      <c r="AE5301" s="23"/>
      <c r="AF5301" s="23"/>
      <c r="AG5301" s="23"/>
      <c r="AH5301" s="23"/>
    </row>
    <row r="5302" spans="1:34">
      <c r="A5302" s="23"/>
      <c r="B5302" s="42"/>
      <c r="G5302" s="43"/>
      <c r="H5302" s="44"/>
      <c r="L5302" s="42"/>
      <c r="M5302" s="42"/>
      <c r="N5302" s="25"/>
      <c r="O5302" s="54"/>
      <c r="P5302"/>
      <c r="Q5302" s="25"/>
      <c r="R5302" s="54"/>
      <c r="W5302" s="23"/>
      <c r="X5302" s="23"/>
      <c r="Y5302" s="23"/>
      <c r="Z5302" s="43"/>
      <c r="AA5302" s="23"/>
      <c r="AB5302" s="23"/>
      <c r="AC5302" s="23"/>
      <c r="AD5302" s="23"/>
      <c r="AE5302" s="23"/>
      <c r="AF5302" s="23"/>
      <c r="AG5302" s="23"/>
      <c r="AH5302" s="23"/>
    </row>
    <row r="5303" spans="1:34">
      <c r="A5303" s="23"/>
      <c r="B5303" s="42"/>
      <c r="G5303" s="43"/>
      <c r="H5303" s="44"/>
      <c r="L5303" s="42"/>
      <c r="M5303" s="42"/>
      <c r="N5303" s="25"/>
      <c r="O5303" s="54"/>
      <c r="P5303"/>
      <c r="Q5303" s="25"/>
      <c r="R5303" s="54"/>
      <c r="W5303" s="23"/>
      <c r="X5303" s="23"/>
      <c r="Y5303" s="23"/>
      <c r="Z5303" s="43"/>
      <c r="AA5303" s="23"/>
      <c r="AB5303" s="23"/>
      <c r="AC5303" s="23"/>
      <c r="AD5303" s="23"/>
      <c r="AE5303" s="23"/>
      <c r="AF5303" s="23"/>
      <c r="AG5303" s="23"/>
      <c r="AH5303" s="23"/>
    </row>
    <row r="5304" spans="1:34">
      <c r="A5304" s="23"/>
      <c r="B5304" s="42"/>
      <c r="G5304" s="43"/>
      <c r="H5304" s="44"/>
      <c r="L5304" s="42"/>
      <c r="M5304" s="42"/>
      <c r="N5304" s="25"/>
      <c r="O5304" s="54"/>
      <c r="P5304"/>
      <c r="Q5304" s="25"/>
      <c r="R5304" s="54"/>
      <c r="W5304" s="23"/>
      <c r="X5304" s="23"/>
      <c r="Y5304" s="23"/>
      <c r="Z5304" s="43"/>
      <c r="AA5304" s="23"/>
      <c r="AB5304" s="23"/>
      <c r="AC5304" s="23"/>
      <c r="AD5304" s="23"/>
      <c r="AE5304" s="23"/>
      <c r="AF5304" s="23"/>
      <c r="AG5304" s="23"/>
      <c r="AH5304" s="23"/>
    </row>
    <row r="5305" spans="1:34">
      <c r="B5305" s="42"/>
      <c r="G5305" s="43"/>
      <c r="H5305" s="44"/>
      <c r="L5305" s="42"/>
      <c r="M5305" s="42"/>
      <c r="N5305" s="25"/>
      <c r="O5305" s="54"/>
      <c r="P5305"/>
      <c r="Q5305" s="25"/>
      <c r="R5305" s="54"/>
      <c r="W5305" s="23"/>
      <c r="X5305" s="23"/>
      <c r="Y5305" s="23"/>
      <c r="Z5305" s="43"/>
      <c r="AA5305" s="23"/>
      <c r="AB5305" s="23"/>
      <c r="AC5305" s="23"/>
      <c r="AD5305" s="23"/>
      <c r="AE5305" s="23"/>
      <c r="AF5305" s="23"/>
      <c r="AG5305" s="23"/>
      <c r="AH5305" s="23"/>
    </row>
    <row r="5306" spans="1:34">
      <c r="B5306" s="42"/>
      <c r="G5306" s="43"/>
      <c r="H5306" s="44"/>
      <c r="L5306" s="42"/>
      <c r="M5306" s="42"/>
      <c r="N5306" s="25"/>
      <c r="O5306" s="54"/>
      <c r="P5306"/>
      <c r="Q5306" s="25"/>
      <c r="R5306" s="54"/>
      <c r="W5306" s="23"/>
      <c r="X5306" s="23"/>
      <c r="Y5306" s="23"/>
      <c r="Z5306" s="43"/>
      <c r="AA5306" s="23"/>
      <c r="AB5306" s="23"/>
      <c r="AC5306" s="23"/>
      <c r="AD5306" s="23"/>
      <c r="AE5306" s="23"/>
      <c r="AF5306" s="23"/>
      <c r="AG5306" s="23"/>
      <c r="AH5306" s="23"/>
    </row>
    <row r="5307" spans="1:34">
      <c r="A5307" s="23"/>
      <c r="B5307" s="42"/>
      <c r="G5307" s="43"/>
      <c r="H5307" s="44"/>
      <c r="L5307" s="42"/>
      <c r="M5307" s="42"/>
      <c r="N5307" s="25"/>
      <c r="O5307" s="54"/>
      <c r="P5307"/>
      <c r="Q5307" s="25"/>
      <c r="R5307" s="54"/>
      <c r="W5307" s="23"/>
      <c r="X5307" s="23"/>
      <c r="Y5307" s="23"/>
      <c r="Z5307" s="43"/>
      <c r="AA5307" s="23"/>
      <c r="AB5307" s="23"/>
      <c r="AC5307" s="23"/>
      <c r="AD5307" s="23"/>
      <c r="AE5307" s="23"/>
      <c r="AF5307" s="23"/>
      <c r="AG5307" s="23"/>
      <c r="AH5307" s="23"/>
    </row>
    <row r="5308" spans="1:34">
      <c r="A5308" s="23"/>
      <c r="B5308" s="42"/>
      <c r="G5308" s="43"/>
      <c r="H5308" s="44"/>
      <c r="L5308" s="42"/>
      <c r="M5308" s="42"/>
      <c r="N5308" s="25"/>
      <c r="O5308" s="54"/>
      <c r="P5308"/>
      <c r="Q5308" s="25"/>
      <c r="R5308" s="54"/>
      <c r="W5308" s="23"/>
      <c r="X5308" s="23"/>
      <c r="Y5308" s="23"/>
      <c r="Z5308" s="43"/>
      <c r="AA5308" s="23"/>
      <c r="AB5308" s="23"/>
      <c r="AC5308" s="23"/>
      <c r="AD5308" s="23"/>
      <c r="AE5308" s="23"/>
      <c r="AF5308" s="23"/>
      <c r="AG5308" s="23"/>
      <c r="AH5308" s="23"/>
    </row>
    <row r="5309" spans="1:34">
      <c r="A5309" s="23"/>
      <c r="B5309" s="42"/>
      <c r="G5309" s="43"/>
      <c r="H5309" s="44"/>
      <c r="L5309" s="42"/>
      <c r="M5309" s="42"/>
      <c r="N5309" s="25"/>
      <c r="O5309" s="54"/>
      <c r="P5309"/>
      <c r="Q5309" s="25"/>
      <c r="R5309" s="54"/>
      <c r="W5309" s="23"/>
      <c r="X5309" s="23"/>
      <c r="Y5309" s="23"/>
      <c r="Z5309" s="43"/>
      <c r="AA5309" s="23"/>
      <c r="AB5309" s="23"/>
      <c r="AC5309" s="23"/>
      <c r="AD5309" s="23"/>
      <c r="AE5309" s="23"/>
      <c r="AF5309" s="23"/>
      <c r="AG5309" s="23"/>
      <c r="AH5309" s="23"/>
    </row>
    <row r="5310" spans="1:34">
      <c r="A5310" s="23"/>
      <c r="B5310" s="42"/>
      <c r="G5310" s="43"/>
      <c r="H5310" s="44"/>
      <c r="L5310" s="42"/>
      <c r="M5310" s="42"/>
      <c r="N5310" s="25"/>
      <c r="O5310" s="54"/>
      <c r="P5310"/>
      <c r="Q5310" s="25"/>
      <c r="R5310" s="54"/>
      <c r="W5310" s="23"/>
      <c r="X5310" s="23"/>
      <c r="Y5310" s="23"/>
      <c r="Z5310" s="43"/>
      <c r="AA5310" s="23"/>
      <c r="AB5310" s="23"/>
      <c r="AC5310" s="23"/>
      <c r="AD5310" s="23"/>
      <c r="AE5310" s="23"/>
      <c r="AF5310" s="23"/>
      <c r="AG5310" s="23"/>
      <c r="AH5310" s="23"/>
    </row>
    <row r="5311" spans="1:34">
      <c r="A5311" s="23"/>
      <c r="B5311" s="42"/>
      <c r="G5311" s="43"/>
      <c r="H5311" s="44"/>
      <c r="L5311" s="42"/>
      <c r="M5311" s="42"/>
      <c r="N5311" s="25"/>
      <c r="O5311" s="54"/>
      <c r="P5311"/>
      <c r="Q5311" s="25"/>
      <c r="R5311" s="54"/>
      <c r="W5311" s="23"/>
      <c r="X5311" s="23"/>
      <c r="Y5311" s="23"/>
      <c r="Z5311" s="43"/>
      <c r="AA5311" s="23"/>
      <c r="AB5311" s="23"/>
      <c r="AC5311" s="23"/>
      <c r="AD5311" s="23"/>
      <c r="AE5311" s="23"/>
      <c r="AF5311" s="23"/>
      <c r="AG5311" s="23"/>
      <c r="AH5311" s="23"/>
    </row>
    <row r="5312" spans="1:34">
      <c r="A5312" s="23"/>
      <c r="B5312" s="42"/>
      <c r="G5312" s="43"/>
      <c r="H5312" s="44"/>
      <c r="L5312" s="42"/>
      <c r="M5312" s="42"/>
      <c r="N5312" s="25"/>
      <c r="O5312" s="54"/>
      <c r="P5312"/>
      <c r="Q5312" s="25"/>
      <c r="R5312" s="54"/>
      <c r="W5312" s="23"/>
      <c r="X5312" s="23"/>
      <c r="Y5312" s="23"/>
      <c r="Z5312" s="43"/>
      <c r="AA5312" s="23"/>
      <c r="AB5312" s="23"/>
      <c r="AC5312" s="23"/>
      <c r="AD5312" s="23"/>
      <c r="AE5312" s="23"/>
      <c r="AF5312" s="23"/>
      <c r="AG5312" s="23"/>
      <c r="AH5312" s="23"/>
    </row>
    <row r="5313" spans="1:34">
      <c r="A5313" s="23"/>
      <c r="B5313" s="42"/>
      <c r="G5313" s="43"/>
      <c r="H5313" s="44"/>
      <c r="L5313" s="42"/>
      <c r="M5313" s="42"/>
      <c r="N5313" s="25"/>
      <c r="O5313" s="54"/>
      <c r="P5313"/>
      <c r="Q5313" s="25"/>
      <c r="R5313" s="54"/>
      <c r="W5313" s="23"/>
      <c r="X5313" s="23"/>
      <c r="Y5313" s="23"/>
      <c r="Z5313" s="43"/>
      <c r="AA5313" s="23"/>
      <c r="AB5313" s="23"/>
      <c r="AC5313" s="23"/>
      <c r="AD5313" s="23"/>
      <c r="AE5313" s="23"/>
      <c r="AF5313" s="23"/>
      <c r="AG5313" s="23"/>
      <c r="AH5313" s="23"/>
    </row>
    <row r="5314" spans="1:34">
      <c r="A5314" s="23"/>
      <c r="B5314" s="42"/>
      <c r="G5314" s="43"/>
      <c r="H5314" s="44"/>
      <c r="L5314" s="42"/>
      <c r="M5314" s="42"/>
      <c r="N5314" s="25"/>
      <c r="O5314" s="54"/>
      <c r="P5314"/>
      <c r="Q5314" s="25"/>
      <c r="R5314" s="54"/>
      <c r="W5314" s="23"/>
      <c r="X5314" s="23"/>
      <c r="Y5314" s="23"/>
      <c r="Z5314" s="43"/>
      <c r="AA5314" s="23"/>
      <c r="AB5314" s="23"/>
      <c r="AC5314" s="23"/>
      <c r="AD5314" s="23"/>
      <c r="AE5314" s="23"/>
      <c r="AF5314" s="23"/>
      <c r="AG5314" s="23"/>
      <c r="AH5314" s="23"/>
    </row>
    <row r="5315" spans="1:34">
      <c r="A5315" s="23"/>
      <c r="B5315" s="42"/>
      <c r="G5315" s="43"/>
      <c r="H5315" s="44"/>
      <c r="L5315" s="42"/>
      <c r="M5315" s="42"/>
      <c r="N5315" s="25"/>
      <c r="O5315" s="54"/>
      <c r="P5315"/>
      <c r="Q5315" s="25"/>
      <c r="R5315" s="54"/>
      <c r="W5315" s="23"/>
      <c r="X5315" s="23"/>
      <c r="Y5315" s="23"/>
      <c r="Z5315" s="43"/>
      <c r="AA5315" s="23"/>
      <c r="AB5315" s="23"/>
      <c r="AC5315" s="23"/>
      <c r="AD5315" s="23"/>
      <c r="AE5315" s="23"/>
      <c r="AF5315" s="23"/>
      <c r="AG5315" s="23"/>
      <c r="AH5315" s="23"/>
    </row>
    <row r="5316" spans="1:34">
      <c r="A5316" s="23"/>
      <c r="B5316" s="42"/>
      <c r="G5316" s="43"/>
      <c r="H5316" s="44"/>
      <c r="L5316" s="42"/>
      <c r="M5316" s="42"/>
      <c r="N5316" s="25"/>
      <c r="O5316" s="54"/>
      <c r="P5316"/>
      <c r="Q5316" s="25"/>
      <c r="R5316" s="54"/>
      <c r="W5316" s="23"/>
      <c r="X5316" s="23"/>
      <c r="Y5316" s="23"/>
      <c r="Z5316" s="43"/>
      <c r="AA5316" s="23"/>
      <c r="AB5316" s="23"/>
      <c r="AC5316" s="23"/>
      <c r="AD5316" s="23"/>
      <c r="AE5316" s="23"/>
      <c r="AF5316" s="23"/>
      <c r="AG5316" s="23"/>
      <c r="AH5316" s="23"/>
    </row>
    <row r="5317" spans="1:34">
      <c r="A5317" s="23"/>
      <c r="B5317" s="42"/>
      <c r="G5317" s="43"/>
      <c r="H5317" s="44"/>
      <c r="L5317" s="42"/>
      <c r="M5317" s="42"/>
      <c r="N5317" s="25"/>
      <c r="O5317" s="54"/>
      <c r="P5317"/>
      <c r="Q5317" s="25"/>
      <c r="R5317" s="54"/>
      <c r="W5317" s="23"/>
      <c r="X5317" s="23"/>
      <c r="Y5317" s="23"/>
      <c r="Z5317" s="43"/>
      <c r="AA5317" s="23"/>
      <c r="AB5317" s="23"/>
      <c r="AC5317" s="23"/>
      <c r="AD5317" s="23"/>
      <c r="AE5317" s="23"/>
      <c r="AF5317" s="23"/>
      <c r="AG5317" s="23"/>
      <c r="AH5317" s="23"/>
    </row>
    <row r="5318" spans="1:34">
      <c r="A5318" s="23"/>
      <c r="B5318" s="42"/>
      <c r="G5318" s="43"/>
      <c r="H5318" s="44"/>
      <c r="L5318" s="42"/>
      <c r="M5318" s="42"/>
      <c r="N5318" s="25"/>
      <c r="O5318" s="54"/>
      <c r="P5318"/>
      <c r="Q5318" s="25"/>
      <c r="R5318" s="54"/>
      <c r="W5318" s="23"/>
      <c r="X5318" s="23"/>
      <c r="Y5318" s="23"/>
      <c r="Z5318" s="43"/>
      <c r="AA5318" s="23"/>
      <c r="AB5318" s="23"/>
      <c r="AC5318" s="23"/>
      <c r="AD5318" s="23"/>
      <c r="AE5318" s="23"/>
      <c r="AF5318" s="23"/>
      <c r="AG5318" s="23"/>
      <c r="AH5318" s="23"/>
    </row>
    <row r="5319" spans="1:34">
      <c r="A5319" s="23"/>
      <c r="B5319" s="42"/>
      <c r="G5319" s="43"/>
      <c r="H5319" s="44"/>
      <c r="L5319" s="42"/>
      <c r="M5319" s="42"/>
      <c r="N5319" s="25"/>
      <c r="O5319" s="54"/>
      <c r="P5319"/>
      <c r="Q5319" s="25"/>
      <c r="R5319" s="54"/>
      <c r="W5319" s="23"/>
      <c r="X5319" s="23"/>
      <c r="Y5319" s="23"/>
      <c r="Z5319" s="43"/>
      <c r="AA5319" s="23"/>
      <c r="AB5319" s="23"/>
      <c r="AC5319" s="23"/>
      <c r="AD5319" s="23"/>
      <c r="AE5319" s="23"/>
      <c r="AF5319" s="23"/>
      <c r="AG5319" s="23"/>
      <c r="AH5319" s="23"/>
    </row>
    <row r="5320" spans="1:34">
      <c r="A5320" s="23"/>
      <c r="B5320" s="42"/>
      <c r="G5320" s="43"/>
      <c r="H5320" s="44"/>
      <c r="L5320" s="42"/>
      <c r="M5320" s="42"/>
      <c r="N5320" s="25"/>
      <c r="O5320" s="54"/>
      <c r="P5320"/>
      <c r="Q5320" s="25"/>
      <c r="R5320" s="54"/>
      <c r="W5320" s="23"/>
      <c r="X5320" s="23"/>
      <c r="Y5320" s="23"/>
      <c r="Z5320" s="43"/>
      <c r="AA5320" s="23"/>
      <c r="AB5320" s="23"/>
      <c r="AC5320" s="23"/>
      <c r="AD5320" s="23"/>
      <c r="AE5320" s="23"/>
      <c r="AF5320" s="23"/>
      <c r="AG5320" s="23"/>
      <c r="AH5320" s="23"/>
    </row>
    <row r="5321" spans="1:34">
      <c r="A5321" s="23"/>
      <c r="B5321" s="42"/>
      <c r="G5321" s="43"/>
      <c r="H5321" s="44"/>
      <c r="L5321" s="42"/>
      <c r="M5321" s="42"/>
      <c r="N5321" s="25"/>
      <c r="O5321" s="54"/>
      <c r="P5321"/>
      <c r="Q5321" s="25"/>
      <c r="R5321" s="54"/>
      <c r="W5321" s="23"/>
      <c r="X5321" s="23"/>
      <c r="Y5321" s="23"/>
      <c r="Z5321" s="43"/>
      <c r="AA5321" s="23"/>
      <c r="AB5321" s="23"/>
      <c r="AC5321" s="23"/>
      <c r="AD5321" s="23"/>
      <c r="AE5321" s="23"/>
      <c r="AF5321" s="23"/>
      <c r="AG5321" s="23"/>
      <c r="AH5321" s="23"/>
    </row>
    <row r="5322" spans="1:34">
      <c r="A5322" s="23"/>
      <c r="B5322" s="42"/>
      <c r="G5322" s="43"/>
      <c r="H5322" s="44"/>
      <c r="L5322" s="42"/>
      <c r="M5322" s="42"/>
      <c r="N5322" s="25"/>
      <c r="O5322" s="54"/>
      <c r="P5322"/>
      <c r="Q5322" s="25"/>
      <c r="R5322" s="54"/>
      <c r="W5322" s="23"/>
      <c r="X5322" s="23"/>
      <c r="Y5322" s="23"/>
      <c r="Z5322" s="43"/>
      <c r="AA5322" s="23"/>
      <c r="AB5322" s="23"/>
      <c r="AC5322" s="23"/>
      <c r="AD5322" s="23"/>
      <c r="AE5322" s="23"/>
      <c r="AF5322" s="23"/>
      <c r="AG5322" s="23"/>
      <c r="AH5322" s="23"/>
    </row>
    <row r="5323" spans="1:34">
      <c r="A5323" s="23"/>
      <c r="B5323" s="42"/>
      <c r="G5323" s="43"/>
      <c r="H5323" s="44"/>
      <c r="L5323" s="42"/>
      <c r="M5323" s="42"/>
      <c r="N5323" s="25"/>
      <c r="O5323" s="54"/>
      <c r="P5323"/>
      <c r="Q5323" s="25"/>
      <c r="R5323" s="54"/>
      <c r="W5323" s="23"/>
      <c r="X5323" s="23"/>
      <c r="Y5323" s="23"/>
      <c r="Z5323" s="43"/>
      <c r="AA5323" s="23"/>
      <c r="AB5323" s="23"/>
      <c r="AC5323" s="23"/>
      <c r="AD5323" s="23"/>
      <c r="AE5323" s="23"/>
      <c r="AF5323" s="23"/>
      <c r="AG5323" s="23"/>
      <c r="AH5323" s="23"/>
    </row>
    <row r="5324" spans="1:34">
      <c r="B5324" s="42"/>
      <c r="G5324" s="43"/>
      <c r="H5324" s="44"/>
      <c r="L5324" s="42"/>
      <c r="M5324" s="42"/>
      <c r="N5324" s="25"/>
      <c r="O5324" s="54"/>
      <c r="P5324"/>
      <c r="Q5324" s="25"/>
      <c r="R5324" s="54"/>
      <c r="W5324" s="23"/>
      <c r="X5324" s="23"/>
      <c r="Y5324" s="23"/>
      <c r="Z5324" s="43"/>
      <c r="AA5324" s="23"/>
      <c r="AB5324" s="23"/>
      <c r="AC5324" s="23"/>
      <c r="AD5324" s="23"/>
      <c r="AE5324" s="23"/>
      <c r="AF5324" s="23"/>
      <c r="AG5324" s="23"/>
      <c r="AH5324" s="23"/>
    </row>
    <row r="5325" spans="1:34">
      <c r="B5325" s="42"/>
      <c r="G5325" s="43"/>
      <c r="H5325" s="44"/>
      <c r="L5325" s="42"/>
      <c r="M5325" s="42"/>
      <c r="N5325" s="25"/>
      <c r="O5325" s="54"/>
      <c r="P5325"/>
      <c r="Q5325" s="25"/>
      <c r="R5325" s="54"/>
      <c r="W5325" s="23"/>
      <c r="X5325" s="23"/>
      <c r="Y5325" s="23"/>
      <c r="Z5325" s="43"/>
      <c r="AA5325" s="23"/>
      <c r="AB5325" s="23"/>
      <c r="AC5325" s="23"/>
      <c r="AD5325" s="23"/>
      <c r="AE5325" s="23"/>
      <c r="AF5325" s="23"/>
      <c r="AG5325" s="23"/>
      <c r="AH5325" s="23"/>
    </row>
    <row r="5326" spans="1:34">
      <c r="A5326" s="23"/>
      <c r="B5326" s="42"/>
      <c r="G5326" s="43"/>
      <c r="H5326" s="44"/>
      <c r="L5326" s="42"/>
      <c r="M5326" s="42"/>
      <c r="N5326" s="25"/>
      <c r="O5326" s="54"/>
      <c r="P5326"/>
      <c r="Q5326" s="25"/>
      <c r="R5326" s="54"/>
      <c r="W5326" s="23"/>
      <c r="X5326" s="23"/>
      <c r="Y5326" s="23"/>
      <c r="Z5326" s="43"/>
      <c r="AA5326" s="23"/>
      <c r="AB5326" s="23"/>
      <c r="AC5326" s="23"/>
      <c r="AD5326" s="23"/>
      <c r="AE5326" s="23"/>
      <c r="AF5326" s="23"/>
      <c r="AG5326" s="23"/>
      <c r="AH5326" s="23"/>
    </row>
    <row r="5327" spans="1:34">
      <c r="A5327" s="23"/>
      <c r="B5327" s="42"/>
      <c r="G5327" s="43"/>
      <c r="H5327" s="44"/>
      <c r="L5327" s="42"/>
      <c r="M5327" s="42"/>
      <c r="N5327" s="25"/>
      <c r="O5327" s="54"/>
      <c r="P5327"/>
      <c r="Q5327" s="25"/>
      <c r="R5327" s="54"/>
      <c r="W5327" s="23"/>
      <c r="X5327" s="23"/>
      <c r="Y5327" s="23"/>
      <c r="Z5327" s="43"/>
      <c r="AA5327" s="23"/>
      <c r="AB5327" s="23"/>
      <c r="AC5327" s="23"/>
      <c r="AD5327" s="23"/>
      <c r="AE5327" s="23"/>
      <c r="AF5327" s="23"/>
      <c r="AG5327" s="23"/>
      <c r="AH5327" s="23"/>
    </row>
    <row r="5328" spans="1:34">
      <c r="A5328" s="23"/>
      <c r="B5328" s="42"/>
      <c r="G5328" s="43"/>
      <c r="H5328" s="44"/>
      <c r="L5328" s="42"/>
      <c r="M5328" s="42"/>
      <c r="N5328" s="25"/>
      <c r="O5328" s="54"/>
      <c r="P5328"/>
      <c r="Q5328" s="25"/>
      <c r="R5328" s="54"/>
      <c r="W5328" s="23"/>
      <c r="X5328" s="23"/>
      <c r="Y5328" s="23"/>
      <c r="Z5328" s="43"/>
      <c r="AA5328" s="23"/>
      <c r="AB5328" s="23"/>
      <c r="AC5328" s="23"/>
      <c r="AD5328" s="23"/>
      <c r="AE5328" s="23"/>
      <c r="AF5328" s="23"/>
      <c r="AG5328" s="23"/>
      <c r="AH5328" s="23"/>
    </row>
    <row r="5329" spans="1:34">
      <c r="B5329" s="42"/>
      <c r="G5329" s="43"/>
      <c r="H5329" s="44"/>
      <c r="L5329" s="42"/>
      <c r="M5329" s="42"/>
      <c r="N5329" s="25"/>
      <c r="O5329" s="54"/>
      <c r="P5329"/>
      <c r="Q5329" s="25"/>
      <c r="R5329" s="54"/>
      <c r="W5329" s="23"/>
      <c r="X5329" s="23"/>
      <c r="Y5329" s="23"/>
      <c r="Z5329" s="43"/>
      <c r="AA5329" s="23"/>
      <c r="AB5329" s="23"/>
      <c r="AC5329" s="23"/>
      <c r="AD5329" s="23"/>
      <c r="AE5329" s="23"/>
      <c r="AF5329" s="23"/>
      <c r="AG5329" s="23"/>
      <c r="AH5329" s="23"/>
    </row>
    <row r="5330" spans="1:34">
      <c r="B5330" s="42"/>
      <c r="G5330" s="43"/>
      <c r="H5330" s="44"/>
      <c r="L5330" s="42"/>
      <c r="M5330" s="42"/>
      <c r="N5330" s="25"/>
      <c r="O5330" s="54"/>
      <c r="P5330"/>
      <c r="Q5330" s="25"/>
      <c r="R5330" s="54"/>
      <c r="W5330" s="23"/>
      <c r="X5330" s="23"/>
      <c r="Y5330" s="23"/>
      <c r="Z5330" s="43"/>
      <c r="AA5330" s="23"/>
      <c r="AB5330" s="23"/>
      <c r="AC5330" s="23"/>
      <c r="AD5330" s="23"/>
      <c r="AE5330" s="23"/>
      <c r="AF5330" s="23"/>
      <c r="AG5330" s="23"/>
      <c r="AH5330" s="23"/>
    </row>
    <row r="5331" spans="1:34">
      <c r="B5331" s="42"/>
      <c r="G5331" s="43"/>
      <c r="H5331" s="44"/>
      <c r="L5331" s="42"/>
      <c r="M5331" s="42"/>
      <c r="N5331" s="25"/>
      <c r="O5331" s="54"/>
      <c r="P5331"/>
      <c r="Q5331" s="25"/>
      <c r="R5331" s="54"/>
      <c r="W5331" s="23"/>
      <c r="X5331" s="23"/>
      <c r="Y5331" s="23"/>
      <c r="Z5331" s="43"/>
      <c r="AA5331" s="23"/>
      <c r="AB5331" s="23"/>
      <c r="AC5331" s="23"/>
      <c r="AD5331" s="23"/>
      <c r="AE5331" s="23"/>
      <c r="AF5331" s="23"/>
      <c r="AG5331" s="23"/>
      <c r="AH5331" s="23"/>
    </row>
    <row r="5332" spans="1:34">
      <c r="A5332" s="23"/>
      <c r="B5332" s="42"/>
      <c r="G5332" s="43"/>
      <c r="H5332" s="44"/>
      <c r="L5332" s="42"/>
      <c r="M5332" s="42"/>
      <c r="N5332" s="25"/>
      <c r="O5332" s="54"/>
      <c r="P5332"/>
      <c r="Q5332" s="25"/>
      <c r="R5332" s="54"/>
      <c r="W5332" s="23"/>
      <c r="X5332" s="23"/>
      <c r="Y5332" s="23"/>
      <c r="Z5332" s="43"/>
      <c r="AA5332" s="23"/>
      <c r="AB5332" s="23"/>
      <c r="AC5332" s="23"/>
      <c r="AD5332" s="23"/>
      <c r="AE5332" s="23"/>
      <c r="AF5332" s="23"/>
      <c r="AG5332" s="23"/>
      <c r="AH5332" s="23"/>
    </row>
    <row r="5333" spans="1:34">
      <c r="A5333" s="23"/>
      <c r="B5333" s="42"/>
      <c r="G5333" s="43"/>
      <c r="H5333" s="44"/>
      <c r="L5333" s="42"/>
      <c r="M5333" s="42"/>
      <c r="N5333" s="25"/>
      <c r="O5333" s="54"/>
      <c r="P5333"/>
      <c r="Q5333" s="25"/>
      <c r="R5333" s="54"/>
      <c r="W5333" s="23"/>
      <c r="X5333" s="23"/>
      <c r="Y5333" s="23"/>
      <c r="Z5333" s="43"/>
      <c r="AA5333" s="23"/>
      <c r="AB5333" s="23"/>
      <c r="AC5333" s="23"/>
      <c r="AD5333" s="23"/>
      <c r="AE5333" s="23"/>
      <c r="AF5333" s="23"/>
      <c r="AG5333" s="23"/>
      <c r="AH5333" s="23"/>
    </row>
    <row r="5334" spans="1:34">
      <c r="B5334" s="42"/>
      <c r="G5334" s="43"/>
      <c r="H5334" s="44"/>
      <c r="L5334" s="42"/>
      <c r="M5334" s="42"/>
      <c r="N5334" s="25"/>
      <c r="O5334" s="54"/>
      <c r="P5334"/>
      <c r="Q5334" s="25"/>
      <c r="R5334" s="54"/>
      <c r="W5334" s="23"/>
      <c r="X5334" s="23"/>
      <c r="Y5334" s="23"/>
      <c r="Z5334" s="43"/>
      <c r="AA5334" s="23"/>
      <c r="AB5334" s="23"/>
      <c r="AC5334" s="23"/>
      <c r="AD5334" s="23"/>
      <c r="AE5334" s="23"/>
      <c r="AF5334" s="23"/>
      <c r="AG5334" s="23"/>
      <c r="AH5334" s="23"/>
    </row>
    <row r="5335" spans="1:34">
      <c r="B5335" s="42"/>
      <c r="G5335" s="43"/>
      <c r="H5335" s="44"/>
      <c r="L5335" s="42"/>
      <c r="M5335" s="42"/>
      <c r="N5335" s="25"/>
      <c r="O5335" s="54"/>
      <c r="P5335"/>
      <c r="Q5335" s="25"/>
      <c r="R5335" s="54"/>
      <c r="W5335" s="23"/>
      <c r="X5335" s="23"/>
      <c r="Y5335" s="23"/>
      <c r="Z5335" s="43"/>
      <c r="AA5335" s="23"/>
      <c r="AB5335" s="23"/>
      <c r="AC5335" s="23"/>
      <c r="AD5335" s="23"/>
      <c r="AE5335" s="23"/>
      <c r="AF5335" s="23"/>
      <c r="AG5335" s="23"/>
      <c r="AH5335" s="23"/>
    </row>
    <row r="5336" spans="1:34">
      <c r="B5336" s="42"/>
      <c r="G5336" s="43"/>
      <c r="H5336" s="44"/>
      <c r="L5336" s="42"/>
      <c r="M5336" s="42"/>
      <c r="N5336" s="25"/>
      <c r="O5336" s="54"/>
      <c r="P5336"/>
      <c r="Q5336" s="25"/>
      <c r="R5336" s="54"/>
      <c r="W5336" s="23"/>
      <c r="X5336" s="23"/>
      <c r="Y5336" s="23"/>
      <c r="Z5336" s="43"/>
      <c r="AA5336" s="23"/>
      <c r="AB5336" s="23"/>
      <c r="AC5336" s="23"/>
      <c r="AD5336" s="23"/>
      <c r="AE5336" s="23"/>
      <c r="AF5336" s="23"/>
      <c r="AG5336" s="23"/>
      <c r="AH5336" s="23"/>
    </row>
    <row r="5337" spans="1:34">
      <c r="B5337" s="42"/>
      <c r="G5337" s="43"/>
      <c r="H5337" s="44"/>
      <c r="L5337" s="42"/>
      <c r="M5337" s="42"/>
      <c r="N5337" s="25"/>
      <c r="O5337" s="54"/>
      <c r="P5337"/>
      <c r="Q5337" s="25"/>
      <c r="R5337" s="54"/>
      <c r="W5337" s="23"/>
      <c r="X5337" s="23"/>
      <c r="Y5337" s="23"/>
      <c r="Z5337" s="43"/>
      <c r="AA5337" s="23"/>
      <c r="AB5337" s="23"/>
      <c r="AC5337" s="23"/>
      <c r="AD5337" s="23"/>
      <c r="AE5337" s="23"/>
      <c r="AF5337" s="23"/>
      <c r="AG5337" s="23"/>
      <c r="AH5337" s="23"/>
    </row>
    <row r="5338" spans="1:34">
      <c r="B5338" s="42"/>
      <c r="G5338" s="43"/>
      <c r="H5338" s="44"/>
      <c r="L5338" s="42"/>
      <c r="M5338" s="42"/>
      <c r="N5338" s="25"/>
      <c r="O5338" s="54"/>
      <c r="P5338"/>
      <c r="Q5338" s="25"/>
      <c r="R5338" s="54"/>
      <c r="W5338" s="23"/>
      <c r="X5338" s="23"/>
      <c r="Y5338" s="23"/>
      <c r="Z5338" s="43"/>
      <c r="AA5338" s="23"/>
      <c r="AB5338" s="23"/>
      <c r="AC5338" s="23"/>
      <c r="AD5338" s="23"/>
      <c r="AE5338" s="23"/>
      <c r="AF5338" s="23"/>
      <c r="AG5338" s="23"/>
      <c r="AH5338" s="23"/>
    </row>
    <row r="5339" spans="1:34">
      <c r="B5339" s="42"/>
      <c r="G5339" s="43"/>
      <c r="H5339" s="44"/>
      <c r="L5339" s="42"/>
      <c r="M5339" s="42"/>
      <c r="N5339" s="25"/>
      <c r="O5339" s="54"/>
      <c r="P5339"/>
      <c r="Q5339" s="25"/>
      <c r="R5339" s="54"/>
      <c r="W5339" s="23"/>
      <c r="X5339" s="23"/>
      <c r="Y5339" s="23"/>
      <c r="Z5339" s="43"/>
      <c r="AA5339" s="23"/>
      <c r="AB5339" s="23"/>
      <c r="AC5339" s="23"/>
      <c r="AD5339" s="23"/>
      <c r="AE5339" s="23"/>
      <c r="AF5339" s="23"/>
      <c r="AG5339" s="23"/>
      <c r="AH5339" s="23"/>
    </row>
    <row r="5340" spans="1:34">
      <c r="B5340" s="42"/>
      <c r="G5340" s="43"/>
      <c r="H5340" s="44"/>
      <c r="L5340" s="42"/>
      <c r="M5340" s="42"/>
      <c r="N5340" s="25"/>
      <c r="O5340" s="54"/>
      <c r="P5340"/>
      <c r="Q5340" s="25"/>
      <c r="R5340" s="54"/>
      <c r="W5340" s="23"/>
      <c r="X5340" s="23"/>
      <c r="Y5340" s="23"/>
      <c r="Z5340" s="43"/>
      <c r="AA5340" s="23"/>
      <c r="AB5340" s="23"/>
      <c r="AC5340" s="23"/>
      <c r="AD5340" s="23"/>
      <c r="AE5340" s="23"/>
      <c r="AF5340" s="23"/>
      <c r="AG5340" s="23"/>
      <c r="AH5340" s="23"/>
    </row>
    <row r="5341" spans="1:34">
      <c r="B5341" s="42"/>
      <c r="G5341" s="43"/>
      <c r="H5341" s="44"/>
      <c r="L5341" s="42"/>
      <c r="M5341" s="42"/>
      <c r="N5341" s="25"/>
      <c r="O5341" s="54"/>
      <c r="P5341"/>
      <c r="Q5341" s="25"/>
      <c r="R5341" s="54"/>
      <c r="W5341" s="23"/>
      <c r="X5341" s="23"/>
      <c r="Y5341" s="23"/>
      <c r="Z5341" s="43"/>
      <c r="AA5341" s="23"/>
      <c r="AB5341" s="23"/>
      <c r="AC5341" s="23"/>
      <c r="AD5341" s="23"/>
      <c r="AE5341" s="23"/>
      <c r="AF5341" s="23"/>
      <c r="AG5341" s="23"/>
      <c r="AH5341" s="23"/>
    </row>
    <row r="5342" spans="1:34">
      <c r="B5342" s="42"/>
      <c r="G5342" s="43"/>
      <c r="H5342" s="44"/>
      <c r="L5342" s="42"/>
      <c r="M5342" s="42"/>
      <c r="N5342" s="25"/>
      <c r="O5342" s="54"/>
      <c r="P5342"/>
      <c r="Q5342" s="25"/>
      <c r="R5342" s="54"/>
      <c r="W5342" s="23"/>
      <c r="X5342" s="23"/>
      <c r="Y5342" s="23"/>
      <c r="Z5342" s="43"/>
      <c r="AA5342" s="23"/>
      <c r="AB5342" s="23"/>
      <c r="AC5342" s="23"/>
      <c r="AD5342" s="23"/>
      <c r="AE5342" s="23"/>
      <c r="AF5342" s="23"/>
      <c r="AG5342" s="23"/>
      <c r="AH5342" s="23"/>
    </row>
    <row r="5343" spans="1:34">
      <c r="B5343" s="42"/>
      <c r="G5343" s="43"/>
      <c r="H5343" s="44"/>
      <c r="L5343" s="42"/>
      <c r="M5343" s="42"/>
      <c r="N5343" s="25"/>
      <c r="O5343" s="54"/>
      <c r="P5343"/>
      <c r="Q5343" s="25"/>
      <c r="R5343" s="54"/>
      <c r="W5343" s="23"/>
      <c r="X5343" s="23"/>
      <c r="Y5343" s="23"/>
      <c r="Z5343" s="43"/>
      <c r="AA5343" s="23"/>
      <c r="AB5343" s="23"/>
      <c r="AC5343" s="23"/>
      <c r="AD5343" s="23"/>
      <c r="AE5343" s="23"/>
      <c r="AF5343" s="23"/>
      <c r="AG5343" s="23"/>
      <c r="AH5343" s="23"/>
    </row>
    <row r="5344" spans="1:34">
      <c r="B5344" s="42"/>
      <c r="G5344" s="43"/>
      <c r="H5344" s="44"/>
      <c r="L5344" s="42"/>
      <c r="M5344" s="42"/>
      <c r="N5344" s="25"/>
      <c r="O5344" s="54"/>
      <c r="P5344"/>
      <c r="Q5344" s="25"/>
      <c r="R5344" s="54"/>
      <c r="W5344" s="23"/>
      <c r="X5344" s="23"/>
      <c r="Y5344" s="23"/>
      <c r="Z5344" s="43"/>
      <c r="AA5344" s="23"/>
      <c r="AB5344" s="23"/>
      <c r="AC5344" s="23"/>
      <c r="AD5344" s="23"/>
      <c r="AE5344" s="23"/>
      <c r="AF5344" s="23"/>
      <c r="AG5344" s="23"/>
      <c r="AH5344" s="23"/>
    </row>
    <row r="5345" spans="1:34">
      <c r="B5345" s="42"/>
      <c r="G5345" s="43"/>
      <c r="H5345" s="44"/>
      <c r="L5345" s="42"/>
      <c r="M5345" s="42"/>
      <c r="N5345" s="25"/>
      <c r="O5345" s="54"/>
      <c r="P5345"/>
      <c r="Q5345" s="25"/>
      <c r="R5345" s="54"/>
      <c r="W5345" s="23"/>
      <c r="X5345" s="23"/>
      <c r="Y5345" s="23"/>
      <c r="Z5345" s="43"/>
      <c r="AA5345" s="23"/>
      <c r="AB5345" s="23"/>
      <c r="AC5345" s="23"/>
      <c r="AD5345" s="23"/>
      <c r="AE5345" s="23"/>
      <c r="AF5345" s="23"/>
      <c r="AG5345" s="23"/>
      <c r="AH5345" s="23"/>
    </row>
    <row r="5346" spans="1:34">
      <c r="B5346" s="42"/>
      <c r="G5346" s="43"/>
      <c r="H5346" s="44"/>
      <c r="L5346" s="42"/>
      <c r="M5346" s="42"/>
      <c r="N5346" s="25"/>
      <c r="O5346" s="54"/>
      <c r="P5346"/>
      <c r="Q5346" s="25"/>
      <c r="R5346" s="54"/>
      <c r="W5346" s="23"/>
      <c r="X5346" s="23"/>
      <c r="Y5346" s="23"/>
      <c r="Z5346" s="43"/>
      <c r="AA5346" s="23"/>
      <c r="AB5346" s="23"/>
      <c r="AC5346" s="23"/>
      <c r="AD5346" s="23"/>
      <c r="AE5346" s="23"/>
      <c r="AF5346" s="23"/>
      <c r="AG5346" s="23"/>
      <c r="AH5346" s="23"/>
    </row>
    <row r="5347" spans="1:34">
      <c r="A5347" s="23"/>
      <c r="B5347" s="42"/>
      <c r="G5347" s="43"/>
      <c r="H5347" s="44"/>
      <c r="L5347" s="42"/>
      <c r="M5347" s="42"/>
      <c r="N5347" s="25"/>
      <c r="O5347" s="54"/>
      <c r="P5347"/>
      <c r="Q5347" s="25"/>
      <c r="R5347" s="54"/>
      <c r="W5347" s="23"/>
      <c r="X5347" s="23"/>
      <c r="Y5347" s="23"/>
      <c r="Z5347" s="43"/>
      <c r="AA5347" s="23"/>
      <c r="AB5347" s="23"/>
      <c r="AC5347" s="23"/>
      <c r="AD5347" s="23"/>
      <c r="AE5347" s="23"/>
      <c r="AF5347" s="23"/>
      <c r="AG5347" s="23"/>
      <c r="AH5347" s="23"/>
    </row>
    <row r="5348" spans="1:34">
      <c r="A5348" s="23"/>
      <c r="B5348" s="42"/>
      <c r="G5348" s="43"/>
      <c r="H5348" s="44"/>
      <c r="L5348" s="42"/>
      <c r="M5348" s="42"/>
      <c r="N5348" s="25"/>
      <c r="O5348" s="54"/>
      <c r="P5348"/>
      <c r="Q5348" s="25"/>
      <c r="R5348" s="54"/>
      <c r="W5348" s="23"/>
      <c r="X5348" s="23"/>
      <c r="Y5348" s="23"/>
      <c r="Z5348" s="43"/>
      <c r="AA5348" s="23"/>
      <c r="AB5348" s="23"/>
      <c r="AC5348" s="23"/>
      <c r="AD5348" s="23"/>
      <c r="AE5348" s="23"/>
      <c r="AF5348" s="23"/>
      <c r="AG5348" s="23"/>
      <c r="AH5348" s="23"/>
    </row>
    <row r="5349" spans="1:34">
      <c r="A5349" s="23"/>
      <c r="B5349" s="42"/>
      <c r="G5349" s="43"/>
      <c r="H5349" s="44"/>
      <c r="L5349" s="42"/>
      <c r="M5349" s="42"/>
      <c r="N5349" s="25"/>
      <c r="O5349" s="54"/>
      <c r="P5349"/>
      <c r="Q5349" s="25"/>
      <c r="R5349" s="54"/>
      <c r="W5349" s="23"/>
      <c r="X5349" s="23"/>
      <c r="Y5349" s="23"/>
      <c r="Z5349" s="43"/>
      <c r="AA5349" s="23"/>
      <c r="AB5349" s="23"/>
      <c r="AC5349" s="23"/>
      <c r="AD5349" s="23"/>
      <c r="AE5349" s="23"/>
      <c r="AF5349" s="23"/>
      <c r="AG5349" s="23"/>
      <c r="AH5349" s="23"/>
    </row>
    <row r="5350" spans="1:34">
      <c r="A5350" s="23"/>
      <c r="B5350" s="42"/>
      <c r="G5350" s="43"/>
      <c r="H5350" s="44"/>
      <c r="L5350" s="42"/>
      <c r="M5350" s="42"/>
      <c r="N5350" s="25"/>
      <c r="O5350" s="54"/>
      <c r="P5350"/>
      <c r="Q5350" s="25"/>
      <c r="R5350" s="54"/>
      <c r="W5350" s="23"/>
      <c r="X5350" s="23"/>
      <c r="Y5350" s="23"/>
      <c r="Z5350" s="43"/>
      <c r="AA5350" s="23"/>
      <c r="AB5350" s="23"/>
      <c r="AC5350" s="23"/>
      <c r="AD5350" s="23"/>
      <c r="AE5350" s="23"/>
      <c r="AF5350" s="23"/>
      <c r="AG5350" s="23"/>
      <c r="AH5350" s="23"/>
    </row>
    <row r="5351" spans="1:34">
      <c r="A5351" s="23"/>
      <c r="B5351" s="42"/>
      <c r="G5351" s="43"/>
      <c r="H5351" s="44"/>
      <c r="L5351" s="42"/>
      <c r="M5351" s="42"/>
      <c r="N5351" s="25"/>
      <c r="O5351" s="54"/>
      <c r="P5351"/>
      <c r="Q5351" s="25"/>
      <c r="R5351" s="54"/>
      <c r="W5351" s="23"/>
      <c r="X5351" s="23"/>
      <c r="Y5351" s="23"/>
      <c r="Z5351" s="43"/>
      <c r="AA5351" s="23"/>
      <c r="AB5351" s="23"/>
      <c r="AC5351" s="23"/>
      <c r="AD5351" s="23"/>
      <c r="AE5351" s="23"/>
      <c r="AF5351" s="23"/>
      <c r="AG5351" s="23"/>
      <c r="AH5351" s="23"/>
    </row>
    <row r="5352" spans="1:34">
      <c r="A5352" s="23"/>
      <c r="B5352" s="42"/>
      <c r="G5352" s="43"/>
      <c r="H5352" s="44"/>
      <c r="L5352" s="42"/>
      <c r="M5352" s="42"/>
      <c r="N5352" s="25"/>
      <c r="O5352" s="54"/>
      <c r="P5352"/>
      <c r="Q5352" s="25"/>
      <c r="R5352" s="54"/>
      <c r="W5352" s="23"/>
      <c r="X5352" s="23"/>
      <c r="Y5352" s="23"/>
      <c r="Z5352" s="43"/>
      <c r="AA5352" s="23"/>
      <c r="AB5352" s="23"/>
      <c r="AC5352" s="23"/>
      <c r="AD5352" s="23"/>
      <c r="AE5352" s="23"/>
      <c r="AF5352" s="23"/>
      <c r="AG5352" s="23"/>
      <c r="AH5352" s="23"/>
    </row>
    <row r="5353" spans="1:34">
      <c r="A5353" s="23"/>
      <c r="B5353" s="42"/>
      <c r="G5353" s="43"/>
      <c r="H5353" s="44"/>
      <c r="L5353" s="42"/>
      <c r="M5353" s="42"/>
      <c r="N5353" s="25"/>
      <c r="O5353" s="54"/>
      <c r="P5353"/>
      <c r="Q5353" s="25"/>
      <c r="R5353" s="54"/>
      <c r="W5353" s="23"/>
      <c r="X5353" s="23"/>
      <c r="Y5353" s="23"/>
      <c r="Z5353" s="43"/>
      <c r="AA5353" s="23"/>
      <c r="AB5353" s="23"/>
      <c r="AC5353" s="23"/>
      <c r="AD5353" s="23"/>
      <c r="AE5353" s="23"/>
      <c r="AF5353" s="23"/>
      <c r="AG5353" s="23"/>
      <c r="AH5353" s="23"/>
    </row>
    <row r="5354" spans="1:34">
      <c r="A5354" s="23"/>
      <c r="B5354" s="42"/>
      <c r="G5354" s="43"/>
      <c r="H5354" s="44"/>
      <c r="L5354" s="42"/>
      <c r="M5354" s="42"/>
      <c r="N5354" s="25"/>
      <c r="O5354" s="54"/>
      <c r="P5354"/>
      <c r="Q5354" s="25"/>
      <c r="R5354" s="54"/>
      <c r="W5354" s="23"/>
      <c r="X5354" s="23"/>
      <c r="Y5354" s="23"/>
      <c r="Z5354" s="43"/>
      <c r="AA5354" s="23"/>
      <c r="AB5354" s="23"/>
      <c r="AC5354" s="23"/>
      <c r="AD5354" s="23"/>
      <c r="AE5354" s="23"/>
      <c r="AF5354" s="23"/>
      <c r="AG5354" s="23"/>
      <c r="AH5354" s="23"/>
    </row>
    <row r="5355" spans="1:34">
      <c r="A5355" s="23"/>
      <c r="B5355" s="42"/>
      <c r="G5355" s="43"/>
      <c r="H5355" s="44"/>
      <c r="L5355" s="42"/>
      <c r="M5355" s="42"/>
      <c r="N5355" s="25"/>
      <c r="O5355" s="54"/>
      <c r="P5355"/>
      <c r="Q5355" s="25"/>
      <c r="R5355" s="54"/>
      <c r="W5355" s="23"/>
      <c r="X5355" s="23"/>
      <c r="Y5355" s="23"/>
      <c r="Z5355" s="43"/>
      <c r="AA5355" s="23"/>
      <c r="AB5355" s="23"/>
      <c r="AC5355" s="23"/>
      <c r="AD5355" s="23"/>
      <c r="AE5355" s="23"/>
      <c r="AF5355" s="23"/>
      <c r="AG5355" s="23"/>
      <c r="AH5355" s="23"/>
    </row>
    <row r="5356" spans="1:34">
      <c r="A5356" s="23"/>
      <c r="B5356" s="42"/>
      <c r="G5356" s="43"/>
      <c r="H5356" s="44"/>
      <c r="L5356" s="42"/>
      <c r="M5356" s="42"/>
      <c r="N5356" s="25"/>
      <c r="O5356" s="54"/>
      <c r="P5356"/>
      <c r="Q5356" s="25"/>
      <c r="R5356" s="54"/>
      <c r="W5356" s="23"/>
      <c r="X5356" s="23"/>
      <c r="Y5356" s="23"/>
      <c r="Z5356" s="43"/>
      <c r="AA5356" s="23"/>
      <c r="AB5356" s="23"/>
      <c r="AC5356" s="23"/>
      <c r="AD5356" s="23"/>
      <c r="AE5356" s="23"/>
      <c r="AF5356" s="23"/>
      <c r="AG5356" s="23"/>
      <c r="AH5356" s="23"/>
    </row>
    <row r="5357" spans="1:34">
      <c r="A5357" s="23"/>
      <c r="B5357" s="42"/>
      <c r="G5357" s="43"/>
      <c r="H5357" s="44"/>
      <c r="L5357" s="42"/>
      <c r="M5357" s="42"/>
      <c r="N5357" s="25"/>
      <c r="O5357" s="54"/>
      <c r="P5357"/>
      <c r="Q5357" s="25"/>
      <c r="R5357" s="54"/>
      <c r="W5357" s="23"/>
      <c r="X5357" s="23"/>
      <c r="Y5357" s="23"/>
      <c r="Z5357" s="43"/>
      <c r="AA5357" s="23"/>
      <c r="AB5357" s="23"/>
      <c r="AC5357" s="23"/>
      <c r="AD5357" s="23"/>
      <c r="AE5357" s="23"/>
      <c r="AF5357" s="23"/>
      <c r="AG5357" s="23"/>
      <c r="AH5357" s="23"/>
    </row>
    <row r="5358" spans="1:34">
      <c r="B5358" s="42"/>
      <c r="G5358" s="43"/>
      <c r="H5358" s="44"/>
      <c r="L5358" s="42"/>
      <c r="M5358" s="42"/>
      <c r="N5358" s="25"/>
      <c r="O5358" s="54"/>
      <c r="P5358"/>
      <c r="Q5358" s="25"/>
      <c r="R5358" s="54"/>
      <c r="W5358" s="23"/>
      <c r="X5358" s="23"/>
      <c r="Y5358" s="23"/>
      <c r="Z5358" s="43"/>
      <c r="AA5358" s="23"/>
      <c r="AB5358" s="23"/>
      <c r="AC5358" s="23"/>
      <c r="AD5358" s="23"/>
      <c r="AE5358" s="23"/>
      <c r="AF5358" s="23"/>
      <c r="AG5358" s="23"/>
      <c r="AH5358" s="23"/>
    </row>
    <row r="5359" spans="1:34">
      <c r="B5359" s="42"/>
      <c r="G5359" s="43"/>
      <c r="H5359" s="44"/>
      <c r="L5359" s="42"/>
      <c r="M5359" s="42"/>
      <c r="N5359" s="25"/>
      <c r="O5359" s="54"/>
      <c r="P5359"/>
      <c r="Q5359" s="25"/>
      <c r="R5359" s="54"/>
      <c r="W5359" s="23"/>
      <c r="X5359" s="23"/>
      <c r="Y5359" s="23"/>
      <c r="Z5359" s="43"/>
      <c r="AA5359" s="23"/>
      <c r="AB5359" s="23"/>
      <c r="AC5359" s="23"/>
      <c r="AD5359" s="23"/>
      <c r="AE5359" s="23"/>
      <c r="AF5359" s="23"/>
      <c r="AG5359" s="23"/>
      <c r="AH5359" s="23"/>
    </row>
    <row r="5360" spans="1:34">
      <c r="B5360" s="42"/>
      <c r="G5360" s="43"/>
      <c r="H5360" s="44"/>
      <c r="L5360" s="42"/>
      <c r="M5360" s="42"/>
      <c r="N5360" s="25"/>
      <c r="O5360" s="54"/>
      <c r="P5360"/>
      <c r="Q5360" s="25"/>
      <c r="R5360" s="54"/>
      <c r="W5360" s="23"/>
      <c r="X5360" s="23"/>
      <c r="Y5360" s="23"/>
      <c r="Z5360" s="43"/>
      <c r="AA5360" s="23"/>
      <c r="AB5360" s="23"/>
      <c r="AC5360" s="23"/>
      <c r="AD5360" s="23"/>
      <c r="AE5360" s="23"/>
      <c r="AF5360" s="23"/>
      <c r="AG5360" s="23"/>
      <c r="AH5360" s="23"/>
    </row>
    <row r="5361" spans="1:34">
      <c r="A5361" s="23"/>
      <c r="B5361" s="42"/>
      <c r="G5361" s="43"/>
      <c r="H5361" s="44"/>
      <c r="L5361" s="42"/>
      <c r="M5361" s="42"/>
      <c r="N5361" s="25"/>
      <c r="O5361" s="54"/>
      <c r="P5361"/>
      <c r="Q5361" s="25"/>
      <c r="R5361" s="54"/>
      <c r="W5361" s="23"/>
      <c r="X5361" s="23"/>
      <c r="Y5361" s="23"/>
      <c r="Z5361" s="43"/>
      <c r="AA5361" s="23"/>
      <c r="AB5361" s="23"/>
      <c r="AC5361" s="23"/>
      <c r="AD5361" s="23"/>
      <c r="AE5361" s="23"/>
      <c r="AF5361" s="23"/>
      <c r="AG5361" s="23"/>
      <c r="AH5361" s="23"/>
    </row>
    <row r="5362" spans="1:34">
      <c r="A5362" s="23"/>
      <c r="B5362" s="42"/>
      <c r="G5362" s="43"/>
      <c r="H5362" s="44"/>
      <c r="L5362" s="42"/>
      <c r="M5362" s="42"/>
      <c r="N5362" s="25"/>
      <c r="O5362" s="54"/>
      <c r="P5362"/>
      <c r="Q5362" s="25"/>
      <c r="R5362" s="54"/>
      <c r="W5362" s="23"/>
      <c r="X5362" s="23"/>
      <c r="Y5362" s="23"/>
      <c r="Z5362" s="43"/>
      <c r="AA5362" s="23"/>
      <c r="AB5362" s="23"/>
      <c r="AC5362" s="23"/>
      <c r="AD5362" s="23"/>
      <c r="AE5362" s="23"/>
      <c r="AF5362" s="23"/>
      <c r="AG5362" s="23"/>
      <c r="AH5362" s="23"/>
    </row>
    <row r="5363" spans="1:34">
      <c r="A5363" s="23"/>
      <c r="B5363" s="42"/>
      <c r="G5363" s="43"/>
      <c r="H5363" s="44"/>
      <c r="L5363" s="42"/>
      <c r="M5363" s="42"/>
      <c r="N5363" s="25"/>
      <c r="O5363" s="54"/>
      <c r="P5363"/>
      <c r="Q5363" s="25"/>
      <c r="R5363" s="54"/>
      <c r="W5363" s="23"/>
      <c r="X5363" s="23"/>
      <c r="Y5363" s="23"/>
      <c r="Z5363" s="43"/>
      <c r="AA5363" s="23"/>
      <c r="AB5363" s="23"/>
      <c r="AC5363" s="23"/>
      <c r="AD5363" s="23"/>
      <c r="AE5363" s="23"/>
      <c r="AF5363" s="23"/>
      <c r="AG5363" s="23"/>
      <c r="AH5363" s="23"/>
    </row>
    <row r="5364" spans="1:34">
      <c r="A5364" s="23"/>
      <c r="B5364" s="42"/>
      <c r="G5364" s="43"/>
      <c r="H5364" s="44"/>
      <c r="L5364" s="42"/>
      <c r="M5364" s="42"/>
      <c r="N5364" s="25"/>
      <c r="O5364" s="54"/>
      <c r="P5364"/>
      <c r="Q5364" s="25"/>
      <c r="R5364" s="54"/>
      <c r="W5364" s="23"/>
      <c r="X5364" s="23"/>
      <c r="Y5364" s="23"/>
      <c r="Z5364" s="43"/>
      <c r="AA5364" s="23"/>
      <c r="AB5364" s="23"/>
      <c r="AC5364" s="23"/>
      <c r="AD5364" s="23"/>
      <c r="AE5364" s="23"/>
      <c r="AF5364" s="23"/>
      <c r="AG5364" s="23"/>
      <c r="AH5364" s="23"/>
    </row>
    <row r="5365" spans="1:34">
      <c r="A5365" s="23"/>
      <c r="B5365" s="42"/>
      <c r="G5365" s="43"/>
      <c r="H5365" s="44"/>
      <c r="L5365" s="42"/>
      <c r="M5365" s="42"/>
      <c r="N5365" s="25"/>
      <c r="O5365" s="54"/>
      <c r="P5365"/>
      <c r="Q5365" s="25"/>
      <c r="R5365" s="54"/>
      <c r="W5365" s="23"/>
      <c r="X5365" s="23"/>
      <c r="Y5365" s="23"/>
      <c r="Z5365" s="43"/>
      <c r="AA5365" s="23"/>
      <c r="AB5365" s="23"/>
      <c r="AC5365" s="23"/>
      <c r="AD5365" s="23"/>
      <c r="AE5365" s="23"/>
      <c r="AF5365" s="23"/>
      <c r="AG5365" s="23"/>
      <c r="AH5365" s="23"/>
    </row>
    <row r="5366" spans="1:34">
      <c r="B5366" s="42"/>
      <c r="G5366" s="43"/>
      <c r="H5366" s="44"/>
      <c r="L5366" s="42"/>
      <c r="M5366" s="42"/>
      <c r="N5366" s="25"/>
      <c r="O5366" s="54"/>
      <c r="P5366"/>
      <c r="Q5366" s="25"/>
      <c r="R5366" s="54"/>
      <c r="W5366" s="23"/>
      <c r="X5366" s="23"/>
      <c r="Y5366" s="23"/>
      <c r="Z5366" s="43"/>
      <c r="AA5366" s="23"/>
      <c r="AB5366" s="23"/>
      <c r="AC5366" s="23"/>
      <c r="AD5366" s="23"/>
      <c r="AE5366" s="23"/>
      <c r="AF5366" s="23"/>
      <c r="AG5366" s="23"/>
      <c r="AH5366" s="23"/>
    </row>
    <row r="5367" spans="1:34">
      <c r="B5367" s="42"/>
      <c r="G5367" s="43"/>
      <c r="H5367" s="44"/>
      <c r="L5367" s="42"/>
      <c r="M5367" s="42"/>
      <c r="N5367" s="25"/>
      <c r="O5367" s="54"/>
      <c r="P5367"/>
      <c r="Q5367" s="25"/>
      <c r="R5367" s="54"/>
      <c r="W5367" s="23"/>
      <c r="X5367" s="23"/>
      <c r="Y5367" s="23"/>
      <c r="Z5367" s="43"/>
      <c r="AA5367" s="23"/>
      <c r="AB5367" s="23"/>
      <c r="AC5367" s="23"/>
      <c r="AD5367" s="23"/>
      <c r="AE5367" s="23"/>
      <c r="AF5367" s="23"/>
      <c r="AG5367" s="23"/>
      <c r="AH5367" s="23"/>
    </row>
    <row r="5368" spans="1:34">
      <c r="A5368" s="23"/>
      <c r="B5368" s="42"/>
      <c r="G5368" s="43"/>
      <c r="H5368" s="44"/>
      <c r="L5368" s="42"/>
      <c r="M5368" s="42"/>
      <c r="N5368" s="25"/>
      <c r="O5368" s="54"/>
      <c r="P5368"/>
      <c r="Q5368" s="25"/>
      <c r="R5368" s="54"/>
      <c r="W5368" s="23"/>
      <c r="X5368" s="23"/>
      <c r="Y5368" s="23"/>
      <c r="Z5368" s="43"/>
      <c r="AA5368" s="23"/>
      <c r="AB5368" s="23"/>
      <c r="AC5368" s="23"/>
      <c r="AD5368" s="23"/>
      <c r="AE5368" s="23"/>
      <c r="AF5368" s="23"/>
      <c r="AG5368" s="23"/>
      <c r="AH5368" s="23"/>
    </row>
    <row r="5369" spans="1:34">
      <c r="A5369" s="23"/>
      <c r="B5369" s="42"/>
      <c r="G5369" s="43"/>
      <c r="H5369" s="44"/>
      <c r="L5369" s="42"/>
      <c r="M5369" s="42"/>
      <c r="N5369" s="25"/>
      <c r="O5369" s="54"/>
      <c r="P5369"/>
      <c r="Q5369" s="25"/>
      <c r="R5369" s="54"/>
      <c r="W5369" s="23"/>
      <c r="X5369" s="23"/>
      <c r="Y5369" s="23"/>
      <c r="Z5369" s="43"/>
      <c r="AA5369" s="23"/>
      <c r="AB5369" s="23"/>
      <c r="AC5369" s="23"/>
      <c r="AD5369" s="23"/>
      <c r="AE5369" s="23"/>
      <c r="AF5369" s="23"/>
      <c r="AG5369" s="23"/>
      <c r="AH5369" s="23"/>
    </row>
    <row r="5370" spans="1:34">
      <c r="A5370" s="23"/>
      <c r="B5370" s="42"/>
      <c r="G5370" s="43"/>
      <c r="H5370" s="44"/>
      <c r="L5370" s="42"/>
      <c r="M5370" s="42"/>
      <c r="N5370" s="25"/>
      <c r="O5370" s="54"/>
      <c r="P5370"/>
      <c r="Q5370" s="25"/>
      <c r="R5370" s="54"/>
      <c r="W5370" s="23"/>
      <c r="X5370" s="23"/>
      <c r="Y5370" s="23"/>
      <c r="Z5370" s="43"/>
      <c r="AA5370" s="23"/>
      <c r="AB5370" s="23"/>
      <c r="AC5370" s="23"/>
      <c r="AD5370" s="23"/>
      <c r="AE5370" s="23"/>
      <c r="AF5370" s="23"/>
      <c r="AG5370" s="23"/>
      <c r="AH5370" s="23"/>
    </row>
    <row r="5371" spans="1:34">
      <c r="A5371" s="23"/>
      <c r="B5371" s="42"/>
      <c r="G5371" s="43"/>
      <c r="H5371" s="44"/>
      <c r="L5371" s="42"/>
      <c r="M5371" s="42"/>
      <c r="N5371" s="25"/>
      <c r="O5371" s="54"/>
      <c r="P5371"/>
      <c r="Q5371" s="25"/>
      <c r="R5371" s="54"/>
      <c r="W5371" s="23"/>
      <c r="X5371" s="23"/>
      <c r="Y5371" s="23"/>
      <c r="Z5371" s="43"/>
      <c r="AA5371" s="23"/>
      <c r="AB5371" s="23"/>
      <c r="AC5371" s="23"/>
      <c r="AD5371" s="23"/>
      <c r="AE5371" s="23"/>
      <c r="AF5371" s="23"/>
      <c r="AG5371" s="23"/>
      <c r="AH5371" s="23"/>
    </row>
    <row r="5372" spans="1:34">
      <c r="A5372" s="23"/>
      <c r="B5372" s="42"/>
      <c r="G5372" s="43"/>
      <c r="H5372" s="44"/>
      <c r="L5372" s="42"/>
      <c r="M5372" s="42"/>
      <c r="N5372" s="25"/>
      <c r="O5372" s="54"/>
      <c r="P5372"/>
      <c r="Q5372" s="25"/>
      <c r="R5372" s="54"/>
      <c r="W5372" s="23"/>
      <c r="X5372" s="23"/>
      <c r="Y5372" s="23"/>
      <c r="Z5372" s="43"/>
      <c r="AA5372" s="23"/>
      <c r="AB5372" s="23"/>
      <c r="AC5372" s="23"/>
      <c r="AD5372" s="23"/>
      <c r="AE5372" s="23"/>
      <c r="AF5372" s="23"/>
      <c r="AG5372" s="23"/>
      <c r="AH5372" s="23"/>
    </row>
    <row r="5373" spans="1:34">
      <c r="A5373" s="23"/>
      <c r="B5373" s="42"/>
      <c r="G5373" s="43"/>
      <c r="H5373" s="44"/>
      <c r="L5373" s="42"/>
      <c r="M5373" s="42"/>
      <c r="N5373" s="25"/>
      <c r="O5373" s="54"/>
      <c r="P5373"/>
      <c r="Q5373" s="25"/>
      <c r="R5373" s="54"/>
      <c r="W5373" s="23"/>
      <c r="X5373" s="23"/>
      <c r="Y5373" s="23"/>
      <c r="Z5373" s="43"/>
      <c r="AA5373" s="23"/>
      <c r="AB5373" s="23"/>
      <c r="AC5373" s="23"/>
      <c r="AD5373" s="23"/>
      <c r="AE5373" s="23"/>
      <c r="AF5373" s="23"/>
      <c r="AG5373" s="23"/>
      <c r="AH5373" s="23"/>
    </row>
    <row r="5374" spans="1:34">
      <c r="A5374" s="23"/>
      <c r="B5374" s="42"/>
      <c r="G5374" s="43"/>
      <c r="H5374" s="44"/>
      <c r="L5374" s="42"/>
      <c r="M5374" s="42"/>
      <c r="N5374" s="25"/>
      <c r="O5374" s="54"/>
      <c r="P5374"/>
      <c r="Q5374" s="25"/>
      <c r="R5374" s="54"/>
      <c r="W5374" s="23"/>
      <c r="X5374" s="23"/>
      <c r="Y5374" s="23"/>
      <c r="Z5374" s="43"/>
      <c r="AA5374" s="23"/>
      <c r="AB5374" s="23"/>
      <c r="AC5374" s="23"/>
      <c r="AD5374" s="23"/>
      <c r="AE5374" s="23"/>
      <c r="AF5374" s="23"/>
      <c r="AG5374" s="23"/>
      <c r="AH5374" s="23"/>
    </row>
    <row r="5375" spans="1:34">
      <c r="B5375" s="42"/>
      <c r="G5375" s="43"/>
      <c r="H5375" s="44"/>
      <c r="L5375" s="42"/>
      <c r="M5375" s="42"/>
      <c r="N5375" s="25"/>
      <c r="O5375" s="54"/>
      <c r="P5375"/>
      <c r="Q5375" s="25"/>
      <c r="R5375" s="54"/>
      <c r="W5375" s="23"/>
      <c r="X5375" s="23"/>
      <c r="Y5375" s="23"/>
      <c r="Z5375" s="43"/>
      <c r="AA5375" s="23"/>
      <c r="AB5375" s="23"/>
      <c r="AC5375" s="23"/>
      <c r="AD5375" s="23"/>
      <c r="AE5375" s="23"/>
      <c r="AF5375" s="23"/>
      <c r="AG5375" s="23"/>
      <c r="AH5375" s="23"/>
    </row>
    <row r="5376" spans="1:34">
      <c r="A5376" s="23"/>
      <c r="B5376" s="42"/>
      <c r="G5376" s="43"/>
      <c r="H5376" s="44"/>
      <c r="L5376" s="42"/>
      <c r="M5376" s="42"/>
      <c r="N5376" s="25"/>
      <c r="O5376" s="54"/>
      <c r="P5376"/>
      <c r="Q5376" s="25"/>
      <c r="R5376" s="54"/>
      <c r="W5376" s="23"/>
      <c r="X5376" s="23"/>
      <c r="Y5376" s="23"/>
      <c r="Z5376" s="43"/>
      <c r="AA5376" s="23"/>
      <c r="AB5376" s="23"/>
      <c r="AC5376" s="23"/>
      <c r="AD5376" s="23"/>
      <c r="AE5376" s="23"/>
      <c r="AF5376" s="23"/>
      <c r="AG5376" s="23"/>
      <c r="AH5376" s="23"/>
    </row>
    <row r="5377" spans="1:34">
      <c r="A5377" s="23"/>
      <c r="B5377" s="42"/>
      <c r="G5377" s="43"/>
      <c r="H5377" s="44"/>
      <c r="L5377" s="42"/>
      <c r="M5377" s="42"/>
      <c r="N5377" s="25"/>
      <c r="O5377" s="54"/>
      <c r="P5377"/>
      <c r="Q5377" s="25"/>
      <c r="R5377" s="54"/>
      <c r="W5377" s="23"/>
      <c r="X5377" s="23"/>
      <c r="Y5377" s="23"/>
      <c r="Z5377" s="43"/>
      <c r="AA5377" s="23"/>
      <c r="AB5377" s="23"/>
      <c r="AC5377" s="23"/>
      <c r="AD5377" s="23"/>
      <c r="AE5377" s="23"/>
      <c r="AF5377" s="23"/>
      <c r="AG5377" s="23"/>
      <c r="AH5377" s="23"/>
    </row>
    <row r="5378" spans="1:34">
      <c r="A5378" s="23"/>
      <c r="B5378" s="42"/>
      <c r="G5378" s="43"/>
      <c r="H5378" s="44"/>
      <c r="L5378" s="42"/>
      <c r="M5378" s="42"/>
      <c r="N5378" s="25"/>
      <c r="O5378" s="54"/>
      <c r="P5378"/>
      <c r="Q5378" s="25"/>
      <c r="R5378" s="54"/>
      <c r="W5378" s="23"/>
      <c r="X5378" s="23"/>
      <c r="Y5378" s="23"/>
      <c r="Z5378" s="43"/>
      <c r="AA5378" s="23"/>
      <c r="AB5378" s="23"/>
      <c r="AC5378" s="23"/>
      <c r="AD5378" s="23"/>
      <c r="AE5378" s="23"/>
      <c r="AF5378" s="23"/>
      <c r="AG5378" s="23"/>
      <c r="AH5378" s="23"/>
    </row>
    <row r="5379" spans="1:34">
      <c r="B5379" s="42"/>
      <c r="G5379" s="43"/>
      <c r="H5379" s="44"/>
      <c r="L5379" s="42"/>
      <c r="M5379" s="42"/>
      <c r="N5379" s="25"/>
      <c r="O5379" s="54"/>
      <c r="P5379"/>
      <c r="Q5379" s="25"/>
      <c r="R5379" s="54"/>
      <c r="W5379" s="23"/>
      <c r="X5379" s="23"/>
      <c r="Y5379" s="23"/>
      <c r="Z5379" s="43"/>
      <c r="AA5379" s="23"/>
      <c r="AB5379" s="23"/>
      <c r="AC5379" s="23"/>
      <c r="AD5379" s="23"/>
      <c r="AE5379" s="23"/>
      <c r="AF5379" s="23"/>
      <c r="AG5379" s="23"/>
      <c r="AH5379" s="23"/>
    </row>
    <row r="5380" spans="1:34">
      <c r="A5380" s="23"/>
      <c r="B5380" s="42"/>
      <c r="G5380" s="43"/>
      <c r="H5380" s="44"/>
      <c r="L5380" s="42"/>
      <c r="M5380" s="42"/>
      <c r="N5380" s="25"/>
      <c r="O5380" s="54"/>
      <c r="P5380"/>
      <c r="Q5380" s="25"/>
      <c r="R5380" s="54"/>
      <c r="W5380" s="23"/>
      <c r="X5380" s="23"/>
      <c r="Y5380" s="23"/>
      <c r="Z5380" s="43"/>
      <c r="AA5380" s="23"/>
      <c r="AB5380" s="23"/>
      <c r="AC5380" s="23"/>
      <c r="AD5380" s="23"/>
      <c r="AE5380" s="23"/>
      <c r="AF5380" s="23"/>
      <c r="AG5380" s="23"/>
      <c r="AH5380" s="23"/>
    </row>
    <row r="5381" spans="1:34">
      <c r="A5381" s="23"/>
      <c r="B5381" s="42"/>
      <c r="G5381" s="43"/>
      <c r="H5381" s="44"/>
      <c r="L5381" s="42"/>
      <c r="M5381" s="42"/>
      <c r="N5381" s="25"/>
      <c r="O5381" s="54"/>
      <c r="P5381"/>
      <c r="Q5381" s="25"/>
      <c r="R5381" s="54"/>
      <c r="W5381" s="23"/>
      <c r="X5381" s="23"/>
      <c r="Y5381" s="23"/>
      <c r="Z5381" s="43"/>
      <c r="AA5381" s="23"/>
      <c r="AB5381" s="23"/>
      <c r="AC5381" s="23"/>
      <c r="AD5381" s="23"/>
      <c r="AE5381" s="23"/>
      <c r="AF5381" s="23"/>
      <c r="AG5381" s="23"/>
      <c r="AH5381" s="23"/>
    </row>
    <row r="5382" spans="1:34">
      <c r="A5382" s="23"/>
      <c r="B5382" s="42"/>
      <c r="G5382" s="43"/>
      <c r="H5382" s="44"/>
      <c r="L5382" s="42"/>
      <c r="M5382" s="42"/>
      <c r="N5382" s="25"/>
      <c r="O5382" s="54"/>
      <c r="P5382"/>
      <c r="Q5382" s="25"/>
      <c r="R5382" s="54"/>
      <c r="W5382" s="23"/>
      <c r="X5382" s="23"/>
      <c r="Y5382" s="23"/>
      <c r="Z5382" s="43"/>
      <c r="AA5382" s="23"/>
      <c r="AB5382" s="23"/>
      <c r="AC5382" s="23"/>
      <c r="AD5382" s="23"/>
      <c r="AE5382" s="23"/>
      <c r="AF5382" s="23"/>
      <c r="AG5382" s="23"/>
      <c r="AH5382" s="23"/>
    </row>
    <row r="5383" spans="1:34">
      <c r="A5383" s="23"/>
      <c r="B5383" s="42"/>
      <c r="G5383" s="43"/>
      <c r="H5383" s="44"/>
      <c r="L5383" s="42"/>
      <c r="M5383" s="42"/>
      <c r="N5383" s="25"/>
      <c r="O5383" s="54"/>
      <c r="P5383"/>
      <c r="Q5383" s="25"/>
      <c r="R5383" s="54"/>
      <c r="W5383" s="23"/>
      <c r="X5383" s="23"/>
      <c r="Y5383" s="23"/>
      <c r="Z5383" s="43"/>
      <c r="AA5383" s="23"/>
      <c r="AB5383" s="23"/>
      <c r="AC5383" s="23"/>
      <c r="AD5383" s="23"/>
      <c r="AE5383" s="23"/>
      <c r="AF5383" s="23"/>
      <c r="AG5383" s="23"/>
      <c r="AH5383" s="23"/>
    </row>
    <row r="5384" spans="1:34">
      <c r="A5384" s="23"/>
      <c r="B5384" s="42"/>
      <c r="G5384" s="43"/>
      <c r="H5384" s="44"/>
      <c r="L5384" s="42"/>
      <c r="M5384" s="42"/>
      <c r="N5384" s="25"/>
      <c r="O5384" s="54"/>
      <c r="P5384"/>
      <c r="Q5384" s="25"/>
      <c r="R5384" s="54"/>
      <c r="W5384" s="23"/>
      <c r="X5384" s="23"/>
      <c r="Y5384" s="23"/>
      <c r="Z5384" s="43"/>
      <c r="AA5384" s="23"/>
      <c r="AB5384" s="23"/>
      <c r="AC5384" s="23"/>
      <c r="AD5384" s="23"/>
      <c r="AE5384" s="23"/>
      <c r="AF5384" s="23"/>
      <c r="AG5384" s="23"/>
      <c r="AH5384" s="23"/>
    </row>
    <row r="5385" spans="1:34">
      <c r="A5385" s="23"/>
      <c r="B5385" s="42"/>
      <c r="G5385" s="43"/>
      <c r="H5385" s="44"/>
      <c r="L5385" s="42"/>
      <c r="M5385" s="42"/>
      <c r="N5385" s="25"/>
      <c r="O5385" s="54"/>
      <c r="P5385"/>
      <c r="Q5385" s="25"/>
      <c r="R5385" s="54"/>
      <c r="W5385" s="23"/>
      <c r="X5385" s="23"/>
      <c r="Y5385" s="23"/>
      <c r="Z5385" s="43"/>
      <c r="AA5385" s="23"/>
      <c r="AB5385" s="23"/>
      <c r="AC5385" s="23"/>
      <c r="AD5385" s="23"/>
      <c r="AE5385" s="23"/>
      <c r="AF5385" s="23"/>
      <c r="AG5385" s="23"/>
      <c r="AH5385" s="23"/>
    </row>
    <row r="5386" spans="1:34">
      <c r="A5386" s="23"/>
      <c r="B5386" s="42"/>
      <c r="G5386" s="43"/>
      <c r="H5386" s="44"/>
      <c r="L5386" s="42"/>
      <c r="M5386" s="42"/>
      <c r="N5386" s="25"/>
      <c r="O5386" s="54"/>
      <c r="P5386"/>
      <c r="Q5386" s="25"/>
      <c r="R5386" s="54"/>
      <c r="W5386" s="23"/>
      <c r="X5386" s="23"/>
      <c r="Y5386" s="23"/>
      <c r="Z5386" s="43"/>
      <c r="AA5386" s="23"/>
      <c r="AB5386" s="23"/>
      <c r="AC5386" s="23"/>
      <c r="AD5386" s="23"/>
      <c r="AE5386" s="23"/>
      <c r="AF5386" s="23"/>
      <c r="AG5386" s="23"/>
      <c r="AH5386" s="23"/>
    </row>
    <row r="5387" spans="1:34">
      <c r="A5387" s="23"/>
      <c r="B5387" s="42"/>
      <c r="G5387" s="43"/>
      <c r="H5387" s="44"/>
      <c r="L5387" s="42"/>
      <c r="M5387" s="42"/>
      <c r="N5387" s="25"/>
      <c r="O5387" s="54"/>
      <c r="P5387"/>
      <c r="Q5387" s="25"/>
      <c r="R5387" s="54"/>
      <c r="W5387" s="23"/>
      <c r="X5387" s="23"/>
      <c r="Y5387" s="23"/>
      <c r="Z5387" s="43"/>
      <c r="AA5387" s="23"/>
      <c r="AB5387" s="23"/>
      <c r="AC5387" s="23"/>
      <c r="AD5387" s="23"/>
      <c r="AE5387" s="23"/>
      <c r="AF5387" s="23"/>
      <c r="AG5387" s="23"/>
      <c r="AH5387" s="23"/>
    </row>
    <row r="5388" spans="1:34">
      <c r="A5388" s="23"/>
      <c r="B5388" s="42"/>
      <c r="G5388" s="43"/>
      <c r="H5388" s="44"/>
      <c r="L5388" s="42"/>
      <c r="M5388" s="42"/>
      <c r="N5388" s="25"/>
      <c r="O5388" s="54"/>
      <c r="P5388"/>
      <c r="Q5388" s="25"/>
      <c r="R5388" s="54"/>
      <c r="W5388" s="23"/>
      <c r="X5388" s="23"/>
      <c r="Y5388" s="23"/>
      <c r="Z5388" s="43"/>
      <c r="AA5388" s="23"/>
      <c r="AB5388" s="23"/>
      <c r="AC5388" s="23"/>
      <c r="AD5388" s="23"/>
      <c r="AE5388" s="23"/>
      <c r="AF5388" s="23"/>
      <c r="AG5388" s="23"/>
      <c r="AH5388" s="23"/>
    </row>
    <row r="5389" spans="1:34">
      <c r="A5389" s="23"/>
      <c r="B5389" s="42"/>
      <c r="G5389" s="43"/>
      <c r="H5389" s="44"/>
      <c r="L5389" s="42"/>
      <c r="M5389" s="42"/>
      <c r="N5389" s="25"/>
      <c r="O5389" s="54"/>
      <c r="P5389"/>
      <c r="Q5389" s="25"/>
      <c r="R5389" s="54"/>
      <c r="W5389" s="23"/>
      <c r="X5389" s="23"/>
      <c r="Y5389" s="23"/>
      <c r="Z5389" s="43"/>
      <c r="AA5389" s="23"/>
      <c r="AB5389" s="23"/>
      <c r="AC5389" s="23"/>
      <c r="AD5389" s="23"/>
      <c r="AE5389" s="23"/>
      <c r="AF5389" s="23"/>
      <c r="AG5389" s="23"/>
      <c r="AH5389" s="23"/>
    </row>
    <row r="5390" spans="1:34">
      <c r="A5390" s="23"/>
      <c r="B5390" s="42"/>
      <c r="G5390" s="43"/>
      <c r="H5390" s="44"/>
      <c r="L5390" s="42"/>
      <c r="M5390" s="42"/>
      <c r="N5390" s="25"/>
      <c r="O5390" s="54"/>
      <c r="P5390"/>
      <c r="Q5390" s="25"/>
      <c r="R5390" s="54"/>
      <c r="W5390" s="23"/>
      <c r="X5390" s="23"/>
      <c r="Y5390" s="23"/>
      <c r="Z5390" s="43"/>
      <c r="AA5390" s="23"/>
      <c r="AB5390" s="23"/>
      <c r="AC5390" s="23"/>
      <c r="AD5390" s="23"/>
      <c r="AE5390" s="23"/>
      <c r="AF5390" s="23"/>
      <c r="AG5390" s="23"/>
      <c r="AH5390" s="23"/>
    </row>
    <row r="5391" spans="1:34">
      <c r="A5391" s="23"/>
      <c r="B5391" s="42"/>
      <c r="G5391" s="43"/>
      <c r="H5391" s="44"/>
      <c r="L5391" s="42"/>
      <c r="M5391" s="42"/>
      <c r="N5391" s="25"/>
      <c r="O5391" s="54"/>
      <c r="P5391"/>
      <c r="Q5391" s="25"/>
      <c r="R5391" s="54"/>
      <c r="W5391" s="23"/>
      <c r="X5391" s="23"/>
      <c r="Y5391" s="23"/>
      <c r="Z5391" s="43"/>
      <c r="AA5391" s="23"/>
      <c r="AB5391" s="23"/>
      <c r="AC5391" s="23"/>
      <c r="AD5391" s="23"/>
      <c r="AE5391" s="23"/>
      <c r="AF5391" s="23"/>
      <c r="AG5391" s="23"/>
      <c r="AH5391" s="23"/>
    </row>
    <row r="5392" spans="1:34">
      <c r="A5392" s="23"/>
      <c r="B5392" s="42"/>
      <c r="G5392" s="43"/>
      <c r="H5392" s="44"/>
      <c r="L5392" s="42"/>
      <c r="M5392" s="42"/>
      <c r="N5392" s="25"/>
      <c r="O5392" s="54"/>
      <c r="P5392"/>
      <c r="Q5392" s="25"/>
      <c r="R5392" s="54"/>
      <c r="W5392" s="23"/>
      <c r="X5392" s="23"/>
      <c r="Y5392" s="23"/>
      <c r="Z5392" s="43"/>
      <c r="AA5392" s="23"/>
      <c r="AB5392" s="23"/>
      <c r="AC5392" s="23"/>
      <c r="AD5392" s="23"/>
      <c r="AE5392" s="23"/>
      <c r="AF5392" s="23"/>
      <c r="AG5392" s="23"/>
      <c r="AH5392" s="23"/>
    </row>
    <row r="5393" spans="1:35">
      <c r="A5393" s="23"/>
      <c r="B5393" s="42"/>
      <c r="G5393" s="43"/>
      <c r="H5393" s="44"/>
      <c r="L5393" s="42"/>
      <c r="M5393" s="42"/>
      <c r="N5393" s="25"/>
      <c r="O5393" s="54"/>
      <c r="P5393"/>
      <c r="Q5393" s="25"/>
      <c r="R5393" s="54"/>
      <c r="W5393" s="23"/>
      <c r="X5393" s="23"/>
      <c r="Y5393" s="23"/>
      <c r="Z5393" s="43"/>
      <c r="AA5393" s="23"/>
      <c r="AB5393" s="23"/>
      <c r="AC5393" s="23"/>
      <c r="AD5393" s="23"/>
      <c r="AE5393" s="23"/>
      <c r="AF5393" s="23"/>
      <c r="AG5393" s="23"/>
      <c r="AH5393" s="23"/>
    </row>
    <row r="5394" spans="1:35">
      <c r="A5394" s="23"/>
      <c r="B5394" s="42"/>
      <c r="G5394" s="43"/>
      <c r="H5394" s="44"/>
      <c r="L5394" s="42"/>
      <c r="M5394" s="42"/>
      <c r="N5394" s="25"/>
      <c r="O5394" s="54"/>
      <c r="P5394"/>
      <c r="Q5394" s="25"/>
      <c r="R5394" s="54"/>
      <c r="W5394" s="23"/>
      <c r="X5394" s="23"/>
      <c r="Y5394" s="23"/>
      <c r="Z5394" s="43"/>
      <c r="AA5394" s="23"/>
      <c r="AB5394" s="23"/>
      <c r="AC5394" s="23"/>
      <c r="AD5394" s="23"/>
      <c r="AE5394" s="23"/>
      <c r="AF5394" s="23"/>
      <c r="AG5394" s="23"/>
      <c r="AH5394" s="23"/>
    </row>
    <row r="5395" spans="1:35">
      <c r="A5395" s="23"/>
      <c r="B5395" s="42"/>
      <c r="G5395" s="43"/>
      <c r="H5395" s="44"/>
      <c r="L5395" s="42"/>
      <c r="M5395" s="42"/>
      <c r="N5395" s="25"/>
      <c r="O5395" s="54"/>
      <c r="P5395"/>
      <c r="Q5395" s="25"/>
      <c r="R5395" s="54"/>
      <c r="W5395" s="23"/>
      <c r="X5395" s="23"/>
      <c r="Y5395" s="23"/>
      <c r="Z5395" s="43"/>
      <c r="AA5395" s="23"/>
      <c r="AB5395" s="23"/>
      <c r="AC5395" s="23"/>
      <c r="AD5395" s="23"/>
      <c r="AE5395" s="23"/>
      <c r="AF5395" s="23"/>
      <c r="AG5395" s="23"/>
      <c r="AH5395" s="23"/>
    </row>
    <row r="5396" spans="1:35">
      <c r="A5396" s="23"/>
      <c r="B5396" s="42"/>
      <c r="G5396" s="43"/>
      <c r="H5396" s="44"/>
      <c r="L5396" s="42"/>
      <c r="M5396" s="42"/>
      <c r="N5396" s="25"/>
      <c r="O5396" s="54"/>
      <c r="P5396"/>
      <c r="Q5396" s="25"/>
      <c r="R5396" s="54"/>
      <c r="W5396" s="23"/>
      <c r="X5396" s="23"/>
      <c r="Y5396" s="23"/>
      <c r="Z5396" s="43"/>
      <c r="AA5396" s="23"/>
      <c r="AB5396" s="23"/>
      <c r="AC5396" s="23"/>
      <c r="AD5396" s="23"/>
      <c r="AE5396" s="23"/>
      <c r="AF5396" s="23"/>
      <c r="AG5396" s="23"/>
      <c r="AH5396" s="23"/>
    </row>
    <row r="5397" spans="1:35">
      <c r="B5397" s="42"/>
      <c r="G5397" s="43"/>
      <c r="H5397" s="44"/>
      <c r="L5397" s="42"/>
      <c r="M5397" s="42"/>
      <c r="N5397" s="25"/>
      <c r="O5397" s="54"/>
      <c r="P5397"/>
      <c r="Q5397" s="25"/>
      <c r="R5397" s="54"/>
      <c r="W5397" s="23"/>
      <c r="X5397" s="23"/>
      <c r="Y5397" s="23"/>
      <c r="Z5397" s="43"/>
      <c r="AA5397" s="23"/>
      <c r="AB5397" s="23"/>
      <c r="AC5397" s="23"/>
      <c r="AD5397" s="23"/>
      <c r="AE5397" s="23"/>
      <c r="AF5397" s="23"/>
      <c r="AG5397" s="23"/>
      <c r="AH5397" s="23"/>
    </row>
    <row r="5398" spans="1:35">
      <c r="A5398" s="23"/>
      <c r="B5398" s="42"/>
      <c r="G5398" s="43"/>
      <c r="H5398" s="44"/>
      <c r="L5398" s="42"/>
      <c r="M5398" s="42"/>
      <c r="N5398" s="25"/>
      <c r="O5398" s="54"/>
      <c r="P5398"/>
      <c r="Q5398" s="25"/>
      <c r="R5398" s="54"/>
      <c r="W5398" s="23"/>
      <c r="X5398" s="23"/>
      <c r="Y5398" s="23"/>
      <c r="Z5398" s="43"/>
      <c r="AA5398" s="23"/>
      <c r="AB5398" s="23"/>
      <c r="AC5398" s="23"/>
      <c r="AD5398" s="23"/>
      <c r="AE5398" s="23"/>
      <c r="AF5398" s="23"/>
      <c r="AG5398" s="23"/>
      <c r="AH5398" s="23"/>
    </row>
    <row r="5399" spans="1:35">
      <c r="A5399" s="23"/>
      <c r="B5399" s="42"/>
      <c r="G5399" s="43"/>
      <c r="H5399" s="44"/>
      <c r="L5399" s="42"/>
      <c r="M5399" s="42"/>
      <c r="N5399" s="25"/>
      <c r="O5399" s="54"/>
      <c r="P5399"/>
      <c r="Q5399" s="25"/>
      <c r="R5399" s="54"/>
      <c r="W5399" s="23"/>
      <c r="X5399" s="23"/>
      <c r="Y5399" s="23"/>
      <c r="Z5399" s="43"/>
      <c r="AA5399" s="23"/>
      <c r="AB5399" s="23"/>
      <c r="AC5399" s="23"/>
      <c r="AD5399" s="23"/>
      <c r="AE5399" s="23"/>
      <c r="AF5399" s="23"/>
      <c r="AG5399" s="23"/>
      <c r="AH5399" s="23"/>
    </row>
    <row r="5400" spans="1:35">
      <c r="A5400" s="23"/>
      <c r="B5400" s="42"/>
      <c r="C5400" s="49"/>
      <c r="E5400" s="49"/>
      <c r="G5400" s="43"/>
      <c r="H5400" s="44"/>
      <c r="L5400" s="42"/>
      <c r="M5400" s="42"/>
      <c r="N5400" s="25"/>
      <c r="O5400" s="54"/>
      <c r="P5400"/>
      <c r="Q5400" s="25"/>
      <c r="R5400" s="54"/>
      <c r="W5400" s="23"/>
      <c r="X5400" s="23"/>
      <c r="Y5400" s="23"/>
      <c r="Z5400" s="43"/>
      <c r="AA5400" s="23"/>
      <c r="AB5400" s="23"/>
      <c r="AC5400" s="23"/>
      <c r="AD5400" s="23"/>
      <c r="AE5400" s="23"/>
      <c r="AF5400" s="23"/>
      <c r="AG5400" s="23"/>
      <c r="AH5400" s="23"/>
      <c r="AI5400" s="49"/>
    </row>
    <row r="5401" spans="1:35">
      <c r="A5401" s="23"/>
      <c r="B5401" s="42"/>
      <c r="G5401" s="43"/>
      <c r="H5401" s="44"/>
      <c r="L5401" s="42"/>
      <c r="M5401" s="42"/>
      <c r="N5401" s="25"/>
      <c r="O5401" s="54"/>
      <c r="P5401"/>
      <c r="Q5401" s="25"/>
      <c r="R5401" s="54"/>
      <c r="W5401" s="23"/>
      <c r="X5401" s="23"/>
      <c r="Y5401" s="23"/>
      <c r="Z5401" s="43"/>
      <c r="AA5401" s="23"/>
      <c r="AB5401" s="23"/>
      <c r="AC5401" s="23"/>
      <c r="AD5401" s="23"/>
      <c r="AE5401" s="23"/>
      <c r="AF5401" s="23"/>
      <c r="AG5401" s="23"/>
      <c r="AH5401" s="23"/>
    </row>
    <row r="5402" spans="1:35">
      <c r="A5402" s="23"/>
      <c r="B5402" s="42"/>
      <c r="G5402" s="43"/>
      <c r="H5402" s="44"/>
      <c r="L5402" s="42"/>
      <c r="M5402" s="42"/>
      <c r="N5402" s="25"/>
      <c r="O5402" s="54"/>
      <c r="P5402"/>
      <c r="Q5402" s="25"/>
      <c r="R5402" s="54"/>
      <c r="W5402" s="23"/>
      <c r="X5402" s="23"/>
      <c r="Y5402" s="23"/>
      <c r="Z5402" s="43"/>
      <c r="AA5402" s="23"/>
      <c r="AB5402" s="23"/>
      <c r="AC5402" s="23"/>
      <c r="AD5402" s="23"/>
      <c r="AE5402" s="23"/>
      <c r="AF5402" s="23"/>
      <c r="AG5402" s="23"/>
      <c r="AH5402" s="23"/>
    </row>
    <row r="5403" spans="1:35">
      <c r="A5403" s="23"/>
      <c r="B5403" s="42"/>
      <c r="G5403" s="43"/>
      <c r="H5403" s="44"/>
      <c r="L5403" s="42"/>
      <c r="M5403" s="42"/>
      <c r="N5403" s="25"/>
      <c r="O5403" s="54"/>
      <c r="P5403"/>
      <c r="Q5403" s="25"/>
      <c r="R5403" s="54"/>
      <c r="W5403" s="23"/>
      <c r="X5403" s="23"/>
      <c r="Y5403" s="23"/>
      <c r="Z5403" s="43"/>
      <c r="AA5403" s="23"/>
      <c r="AB5403" s="23"/>
      <c r="AC5403" s="23"/>
      <c r="AD5403" s="23"/>
      <c r="AE5403" s="23"/>
      <c r="AF5403" s="23"/>
      <c r="AG5403" s="23"/>
      <c r="AH5403" s="23"/>
      <c r="AI5403" s="23"/>
    </row>
    <row r="5404" spans="1:35">
      <c r="A5404" s="23"/>
      <c r="B5404" s="42"/>
      <c r="C5404" s="49"/>
      <c r="E5404" s="49"/>
      <c r="G5404" s="43"/>
      <c r="H5404" s="44"/>
      <c r="L5404" s="42"/>
      <c r="M5404" s="42"/>
      <c r="N5404" s="25"/>
      <c r="O5404" s="54"/>
      <c r="P5404"/>
      <c r="Q5404" s="25"/>
      <c r="R5404" s="54"/>
      <c r="W5404" s="23"/>
      <c r="X5404" s="23"/>
      <c r="Y5404" s="23"/>
      <c r="Z5404" s="43"/>
      <c r="AA5404" s="23"/>
      <c r="AB5404" s="23"/>
      <c r="AC5404" s="23"/>
      <c r="AD5404" s="23"/>
      <c r="AE5404" s="23"/>
      <c r="AF5404" s="23"/>
      <c r="AG5404" s="23"/>
      <c r="AH5404" s="23"/>
      <c r="AI5404" s="49"/>
    </row>
    <row r="5405" spans="1:35">
      <c r="A5405" s="23"/>
      <c r="B5405" s="42"/>
      <c r="G5405" s="43"/>
      <c r="H5405" s="44"/>
      <c r="L5405" s="42"/>
      <c r="M5405" s="42"/>
      <c r="N5405" s="25"/>
      <c r="O5405" s="54"/>
      <c r="P5405"/>
      <c r="Q5405" s="25"/>
      <c r="R5405" s="54"/>
      <c r="W5405" s="23"/>
      <c r="X5405" s="23"/>
      <c r="Y5405" s="23"/>
      <c r="Z5405" s="43"/>
      <c r="AA5405" s="23"/>
      <c r="AB5405" s="23"/>
      <c r="AC5405" s="23"/>
      <c r="AD5405" s="23"/>
      <c r="AE5405" s="23"/>
      <c r="AF5405" s="23"/>
      <c r="AG5405" s="23"/>
      <c r="AH5405" s="23"/>
    </row>
    <row r="5406" spans="1:35">
      <c r="A5406" s="23"/>
      <c r="B5406" s="42"/>
      <c r="G5406" s="43"/>
      <c r="H5406" s="44"/>
      <c r="L5406" s="42"/>
      <c r="M5406" s="42"/>
      <c r="N5406" s="25"/>
      <c r="O5406" s="54"/>
      <c r="P5406"/>
      <c r="Q5406" s="25"/>
      <c r="R5406" s="54"/>
      <c r="W5406" s="23"/>
      <c r="X5406" s="23"/>
      <c r="Y5406" s="23"/>
      <c r="Z5406" s="43"/>
      <c r="AA5406" s="23"/>
      <c r="AB5406" s="23"/>
      <c r="AC5406" s="23"/>
      <c r="AD5406" s="23"/>
      <c r="AE5406" s="23"/>
      <c r="AF5406" s="23"/>
      <c r="AG5406" s="23"/>
      <c r="AH5406" s="23"/>
    </row>
    <row r="5407" spans="1:35">
      <c r="A5407" s="23"/>
      <c r="B5407" s="42"/>
      <c r="G5407" s="43"/>
      <c r="H5407" s="44"/>
      <c r="L5407" s="42"/>
      <c r="M5407" s="42"/>
      <c r="N5407" s="25"/>
      <c r="O5407" s="54"/>
      <c r="P5407"/>
      <c r="Q5407" s="25"/>
      <c r="R5407" s="54"/>
      <c r="W5407" s="23"/>
      <c r="X5407" s="23"/>
      <c r="Y5407" s="23"/>
      <c r="Z5407" s="43"/>
      <c r="AA5407" s="23"/>
      <c r="AB5407" s="23"/>
      <c r="AC5407" s="23"/>
      <c r="AD5407" s="23"/>
      <c r="AE5407" s="23"/>
      <c r="AF5407" s="23"/>
      <c r="AG5407" s="23"/>
      <c r="AH5407" s="23"/>
    </row>
    <row r="5408" spans="1:35">
      <c r="A5408" s="23"/>
      <c r="B5408" s="42"/>
      <c r="G5408" s="43"/>
      <c r="H5408" s="44"/>
      <c r="L5408" s="42"/>
      <c r="M5408" s="42"/>
      <c r="N5408" s="25"/>
      <c r="O5408" s="54"/>
      <c r="P5408"/>
      <c r="Q5408" s="25"/>
      <c r="R5408" s="54"/>
      <c r="W5408" s="23"/>
      <c r="X5408" s="23"/>
      <c r="Y5408" s="23"/>
      <c r="Z5408" s="43"/>
      <c r="AA5408" s="23"/>
      <c r="AB5408" s="23"/>
      <c r="AC5408" s="23"/>
      <c r="AD5408" s="23"/>
      <c r="AE5408" s="23"/>
      <c r="AF5408" s="23"/>
      <c r="AG5408" s="23"/>
      <c r="AH5408" s="23"/>
    </row>
    <row r="5409" spans="1:34">
      <c r="A5409" s="23"/>
      <c r="B5409" s="42"/>
      <c r="G5409" s="43"/>
      <c r="H5409" s="44"/>
      <c r="L5409" s="42"/>
      <c r="M5409" s="42"/>
      <c r="N5409" s="25"/>
      <c r="O5409" s="54"/>
      <c r="P5409"/>
      <c r="Q5409" s="25"/>
      <c r="R5409" s="54"/>
      <c r="W5409" s="23"/>
      <c r="X5409" s="23"/>
      <c r="Y5409" s="23"/>
      <c r="Z5409" s="43"/>
      <c r="AA5409" s="23"/>
      <c r="AB5409" s="23"/>
      <c r="AC5409" s="23"/>
      <c r="AD5409" s="23"/>
      <c r="AE5409" s="23"/>
      <c r="AF5409" s="23"/>
      <c r="AG5409" s="23"/>
      <c r="AH5409" s="23"/>
    </row>
    <row r="5410" spans="1:34">
      <c r="A5410" s="23"/>
      <c r="B5410" s="42"/>
      <c r="G5410" s="43"/>
      <c r="H5410" s="44"/>
      <c r="L5410" s="42"/>
      <c r="M5410" s="42"/>
      <c r="N5410" s="25"/>
      <c r="O5410" s="54"/>
      <c r="P5410"/>
      <c r="Q5410" s="25"/>
      <c r="R5410" s="54"/>
      <c r="W5410" s="23"/>
      <c r="X5410" s="23"/>
      <c r="Y5410" s="23"/>
      <c r="Z5410" s="43"/>
      <c r="AA5410" s="23"/>
      <c r="AB5410" s="23"/>
      <c r="AC5410" s="23"/>
      <c r="AD5410" s="23"/>
      <c r="AE5410" s="23"/>
      <c r="AF5410" s="23"/>
      <c r="AG5410" s="23"/>
      <c r="AH5410" s="23"/>
    </row>
    <row r="5411" spans="1:34">
      <c r="A5411" s="23"/>
      <c r="B5411" s="42"/>
      <c r="G5411" s="43"/>
      <c r="H5411" s="44"/>
      <c r="L5411" s="42"/>
      <c r="M5411" s="42"/>
      <c r="N5411" s="25"/>
      <c r="O5411" s="54"/>
      <c r="P5411"/>
      <c r="Q5411" s="25"/>
      <c r="R5411" s="54"/>
      <c r="W5411" s="23"/>
      <c r="X5411" s="23"/>
      <c r="Y5411" s="23"/>
      <c r="Z5411" s="43"/>
      <c r="AA5411" s="23"/>
      <c r="AB5411" s="23"/>
      <c r="AC5411" s="23"/>
      <c r="AD5411" s="23"/>
      <c r="AE5411" s="23"/>
      <c r="AF5411" s="23"/>
      <c r="AG5411" s="23"/>
      <c r="AH5411" s="23"/>
    </row>
    <row r="5412" spans="1:34">
      <c r="A5412" s="23"/>
      <c r="B5412" s="42"/>
      <c r="G5412" s="43"/>
      <c r="H5412" s="44"/>
      <c r="L5412" s="42"/>
      <c r="M5412" s="42"/>
      <c r="N5412" s="25"/>
      <c r="O5412" s="54"/>
      <c r="P5412"/>
      <c r="Q5412" s="25"/>
      <c r="R5412" s="54"/>
      <c r="W5412" s="23"/>
      <c r="X5412" s="23"/>
      <c r="Y5412" s="23"/>
      <c r="Z5412" s="43"/>
      <c r="AA5412" s="23"/>
      <c r="AB5412" s="23"/>
      <c r="AC5412" s="23"/>
      <c r="AD5412" s="23"/>
      <c r="AE5412" s="23"/>
      <c r="AF5412" s="23"/>
      <c r="AG5412" s="23"/>
      <c r="AH5412" s="23"/>
    </row>
    <row r="5413" spans="1:34">
      <c r="A5413" s="23"/>
      <c r="B5413" s="42"/>
      <c r="G5413" s="43"/>
      <c r="H5413" s="44"/>
      <c r="L5413" s="42"/>
      <c r="M5413" s="42"/>
      <c r="N5413" s="25"/>
      <c r="O5413" s="54"/>
      <c r="P5413"/>
      <c r="Q5413" s="25"/>
      <c r="R5413" s="54"/>
      <c r="W5413" s="23"/>
      <c r="X5413" s="23"/>
      <c r="Y5413" s="23"/>
      <c r="Z5413" s="43"/>
      <c r="AA5413" s="23"/>
      <c r="AB5413" s="23"/>
      <c r="AC5413" s="23"/>
      <c r="AD5413" s="23"/>
      <c r="AE5413" s="23"/>
      <c r="AF5413" s="23"/>
      <c r="AG5413" s="23"/>
      <c r="AH5413" s="23"/>
    </row>
    <row r="5414" spans="1:34">
      <c r="A5414" s="23"/>
      <c r="B5414" s="42"/>
      <c r="G5414" s="43"/>
      <c r="H5414" s="44"/>
      <c r="L5414" s="42"/>
      <c r="M5414" s="42"/>
      <c r="N5414" s="25"/>
      <c r="O5414" s="54"/>
      <c r="P5414"/>
      <c r="Q5414" s="25"/>
      <c r="R5414" s="54"/>
      <c r="W5414" s="23"/>
      <c r="X5414" s="23"/>
      <c r="Y5414" s="23"/>
      <c r="Z5414" s="43"/>
      <c r="AA5414" s="23"/>
      <c r="AB5414" s="23"/>
      <c r="AC5414" s="23"/>
      <c r="AD5414" s="23"/>
      <c r="AE5414" s="23"/>
      <c r="AF5414" s="23"/>
      <c r="AG5414" s="23"/>
      <c r="AH5414" s="23"/>
    </row>
    <row r="5415" spans="1:34">
      <c r="A5415" s="23"/>
      <c r="B5415" s="42"/>
      <c r="G5415" s="43"/>
      <c r="H5415" s="44"/>
      <c r="L5415" s="42"/>
      <c r="M5415" s="42"/>
      <c r="N5415" s="25"/>
      <c r="O5415" s="54"/>
      <c r="P5415"/>
      <c r="Q5415" s="25"/>
      <c r="R5415" s="54"/>
      <c r="W5415" s="23"/>
      <c r="X5415" s="23"/>
      <c r="Y5415" s="23"/>
      <c r="Z5415" s="43"/>
      <c r="AA5415" s="23"/>
      <c r="AB5415" s="23"/>
      <c r="AC5415" s="23"/>
      <c r="AD5415" s="23"/>
      <c r="AE5415" s="23"/>
      <c r="AF5415" s="23"/>
      <c r="AG5415" s="23"/>
      <c r="AH5415" s="23"/>
    </row>
    <row r="5416" spans="1:34">
      <c r="A5416" s="23"/>
      <c r="B5416" s="42"/>
      <c r="G5416" s="43"/>
      <c r="H5416" s="44"/>
      <c r="L5416" s="42"/>
      <c r="M5416" s="42"/>
      <c r="N5416" s="25"/>
      <c r="O5416" s="54"/>
      <c r="P5416"/>
      <c r="Q5416" s="25"/>
      <c r="R5416" s="54"/>
      <c r="W5416" s="23"/>
      <c r="X5416" s="23"/>
      <c r="Y5416" s="23"/>
      <c r="Z5416" s="43"/>
      <c r="AA5416" s="23"/>
      <c r="AB5416" s="23"/>
      <c r="AC5416" s="23"/>
      <c r="AD5416" s="23"/>
      <c r="AE5416" s="23"/>
      <c r="AF5416" s="23"/>
      <c r="AG5416" s="23"/>
      <c r="AH5416" s="23"/>
    </row>
    <row r="5417" spans="1:34">
      <c r="A5417" s="23"/>
      <c r="B5417" s="42"/>
      <c r="G5417" s="43"/>
      <c r="H5417" s="44"/>
      <c r="L5417" s="42"/>
      <c r="M5417" s="42"/>
      <c r="N5417" s="25"/>
      <c r="O5417" s="54"/>
      <c r="P5417"/>
      <c r="Q5417" s="25"/>
      <c r="R5417" s="54"/>
      <c r="W5417" s="23"/>
      <c r="X5417" s="23"/>
      <c r="Y5417" s="23"/>
      <c r="Z5417" s="43"/>
      <c r="AA5417" s="23"/>
      <c r="AB5417" s="23"/>
      <c r="AC5417" s="23"/>
      <c r="AD5417" s="23"/>
      <c r="AE5417" s="23"/>
      <c r="AF5417" s="23"/>
      <c r="AG5417" s="23"/>
      <c r="AH5417" s="23"/>
    </row>
    <row r="5418" spans="1:34">
      <c r="A5418" s="23"/>
      <c r="B5418" s="42"/>
      <c r="G5418" s="43"/>
      <c r="H5418" s="44"/>
      <c r="L5418" s="42"/>
      <c r="M5418" s="42"/>
      <c r="N5418" s="25"/>
      <c r="O5418" s="54"/>
      <c r="P5418"/>
      <c r="Q5418" s="25"/>
      <c r="R5418" s="54"/>
      <c r="W5418" s="23"/>
      <c r="X5418" s="23"/>
      <c r="Y5418" s="23"/>
      <c r="Z5418" s="43"/>
      <c r="AA5418" s="23"/>
      <c r="AB5418" s="23"/>
      <c r="AC5418" s="23"/>
      <c r="AD5418" s="23"/>
      <c r="AE5418" s="23"/>
      <c r="AF5418" s="23"/>
      <c r="AG5418" s="23"/>
      <c r="AH5418" s="23"/>
    </row>
    <row r="5419" spans="1:34">
      <c r="A5419" s="23"/>
      <c r="B5419" s="42"/>
      <c r="G5419" s="43"/>
      <c r="H5419" s="44"/>
      <c r="L5419" s="42"/>
      <c r="M5419" s="42"/>
      <c r="N5419" s="25"/>
      <c r="O5419" s="54"/>
      <c r="P5419"/>
      <c r="Q5419" s="25"/>
      <c r="R5419" s="54"/>
      <c r="W5419" s="23"/>
      <c r="X5419" s="23"/>
      <c r="Y5419" s="23"/>
      <c r="Z5419" s="43"/>
      <c r="AA5419" s="23"/>
      <c r="AB5419" s="23"/>
      <c r="AC5419" s="23"/>
      <c r="AD5419" s="23"/>
      <c r="AE5419" s="23"/>
      <c r="AF5419" s="23"/>
      <c r="AG5419" s="23"/>
      <c r="AH5419" s="23"/>
    </row>
    <row r="5420" spans="1:34">
      <c r="A5420" s="23"/>
      <c r="B5420" s="42"/>
      <c r="G5420" s="43"/>
      <c r="H5420" s="44"/>
      <c r="L5420" s="42"/>
      <c r="M5420" s="42"/>
      <c r="N5420" s="25"/>
      <c r="O5420" s="54"/>
      <c r="P5420"/>
      <c r="Q5420" s="25"/>
      <c r="R5420" s="54"/>
      <c r="W5420" s="23"/>
      <c r="X5420" s="23"/>
      <c r="Y5420" s="23"/>
      <c r="Z5420" s="43"/>
      <c r="AA5420" s="23"/>
      <c r="AB5420" s="23"/>
      <c r="AC5420" s="23"/>
      <c r="AD5420" s="23"/>
      <c r="AE5420" s="23"/>
      <c r="AF5420" s="23"/>
      <c r="AG5420" s="23"/>
      <c r="AH5420" s="23"/>
    </row>
    <row r="5421" spans="1:34">
      <c r="A5421" s="23"/>
      <c r="B5421" s="42"/>
      <c r="G5421" s="43"/>
      <c r="H5421" s="44"/>
      <c r="L5421" s="42"/>
      <c r="M5421" s="42"/>
      <c r="N5421" s="25"/>
      <c r="O5421" s="54"/>
      <c r="P5421"/>
      <c r="Q5421" s="25"/>
      <c r="R5421" s="54"/>
      <c r="W5421" s="23"/>
      <c r="X5421" s="23"/>
      <c r="Y5421" s="23"/>
      <c r="Z5421" s="43"/>
      <c r="AA5421" s="23"/>
      <c r="AB5421" s="23"/>
      <c r="AC5421" s="23"/>
      <c r="AD5421" s="23"/>
      <c r="AE5421" s="23"/>
      <c r="AF5421" s="23"/>
      <c r="AG5421" s="23"/>
      <c r="AH5421" s="23"/>
    </row>
    <row r="5422" spans="1:34">
      <c r="A5422" s="23"/>
      <c r="B5422" s="42"/>
      <c r="G5422" s="43"/>
      <c r="H5422" s="44"/>
      <c r="L5422" s="42"/>
      <c r="M5422" s="42"/>
      <c r="N5422" s="25"/>
      <c r="O5422" s="54"/>
      <c r="P5422"/>
      <c r="Q5422" s="25"/>
      <c r="R5422" s="54"/>
      <c r="W5422" s="23"/>
      <c r="X5422" s="23"/>
      <c r="Y5422" s="23"/>
      <c r="Z5422" s="43"/>
      <c r="AA5422" s="23"/>
      <c r="AB5422" s="23"/>
      <c r="AC5422" s="23"/>
      <c r="AD5422" s="23"/>
      <c r="AE5422" s="23"/>
      <c r="AF5422" s="23"/>
      <c r="AG5422" s="23"/>
      <c r="AH5422" s="23"/>
    </row>
    <row r="5423" spans="1:34">
      <c r="A5423" s="23"/>
      <c r="B5423" s="42"/>
      <c r="G5423" s="43"/>
      <c r="H5423" s="44"/>
      <c r="L5423" s="42"/>
      <c r="M5423" s="42"/>
      <c r="N5423" s="25"/>
      <c r="O5423" s="54"/>
      <c r="P5423"/>
      <c r="Q5423" s="25"/>
      <c r="R5423" s="54"/>
      <c r="W5423" s="23"/>
      <c r="X5423" s="23"/>
      <c r="Y5423" s="23"/>
      <c r="Z5423" s="43"/>
      <c r="AA5423" s="23"/>
      <c r="AB5423" s="23"/>
      <c r="AC5423" s="23"/>
      <c r="AD5423" s="23"/>
      <c r="AE5423" s="23"/>
      <c r="AF5423" s="23"/>
      <c r="AG5423" s="23"/>
      <c r="AH5423" s="23"/>
    </row>
    <row r="5424" spans="1:34">
      <c r="A5424" s="23"/>
      <c r="B5424" s="42"/>
      <c r="G5424" s="43"/>
      <c r="H5424" s="44"/>
      <c r="L5424" s="42"/>
      <c r="M5424" s="42"/>
      <c r="N5424" s="25"/>
      <c r="O5424" s="54"/>
      <c r="P5424"/>
      <c r="Q5424" s="25"/>
      <c r="R5424" s="54"/>
      <c r="W5424" s="23"/>
      <c r="X5424" s="23"/>
      <c r="Y5424" s="23"/>
      <c r="Z5424" s="43"/>
      <c r="AA5424" s="23"/>
      <c r="AB5424" s="23"/>
      <c r="AC5424" s="23"/>
      <c r="AD5424" s="23"/>
      <c r="AE5424" s="23"/>
      <c r="AF5424" s="23"/>
      <c r="AG5424" s="23"/>
      <c r="AH5424" s="23"/>
    </row>
    <row r="5425" spans="1:35">
      <c r="A5425" s="23"/>
      <c r="B5425" s="42"/>
      <c r="G5425" s="43"/>
      <c r="H5425" s="44"/>
      <c r="L5425" s="42"/>
      <c r="M5425" s="42"/>
      <c r="N5425" s="25"/>
      <c r="O5425" s="54"/>
      <c r="P5425"/>
      <c r="Q5425" s="25"/>
      <c r="R5425" s="54"/>
      <c r="W5425" s="23"/>
      <c r="X5425" s="23"/>
      <c r="Y5425" s="23"/>
      <c r="Z5425" s="43"/>
      <c r="AA5425" s="23"/>
      <c r="AB5425" s="23"/>
      <c r="AC5425" s="23"/>
      <c r="AD5425" s="23"/>
      <c r="AE5425" s="23"/>
      <c r="AF5425" s="23"/>
      <c r="AG5425" s="23"/>
      <c r="AH5425" s="23"/>
    </row>
    <row r="5426" spans="1:35">
      <c r="A5426" s="23"/>
      <c r="B5426" s="42"/>
      <c r="G5426" s="43"/>
      <c r="H5426" s="44"/>
      <c r="L5426" s="42"/>
      <c r="M5426" s="42"/>
      <c r="N5426" s="25"/>
      <c r="O5426" s="54"/>
      <c r="P5426"/>
      <c r="Q5426" s="25"/>
      <c r="R5426" s="54"/>
      <c r="W5426" s="23"/>
      <c r="X5426" s="23"/>
      <c r="Y5426" s="23"/>
      <c r="Z5426" s="43"/>
      <c r="AA5426" s="23"/>
      <c r="AB5426" s="23"/>
      <c r="AC5426" s="23"/>
      <c r="AD5426" s="23"/>
      <c r="AE5426" s="23"/>
      <c r="AF5426" s="23"/>
      <c r="AG5426" s="23"/>
      <c r="AH5426" s="23"/>
    </row>
    <row r="5427" spans="1:35">
      <c r="B5427" s="42"/>
      <c r="G5427" s="43"/>
      <c r="H5427" s="44"/>
      <c r="L5427" s="42"/>
      <c r="M5427" s="42"/>
      <c r="N5427" s="25"/>
      <c r="O5427" s="54"/>
      <c r="P5427"/>
      <c r="Q5427" s="25"/>
      <c r="R5427" s="54"/>
      <c r="W5427" s="23"/>
      <c r="X5427" s="23"/>
      <c r="Y5427" s="23"/>
      <c r="Z5427" s="43"/>
      <c r="AA5427" s="23"/>
      <c r="AB5427" s="23"/>
      <c r="AC5427" s="23"/>
      <c r="AD5427" s="23"/>
      <c r="AE5427" s="23"/>
      <c r="AF5427" s="23"/>
      <c r="AG5427" s="23"/>
      <c r="AH5427" s="23"/>
    </row>
    <row r="5428" spans="1:35">
      <c r="A5428" s="23"/>
      <c r="B5428" s="42"/>
      <c r="G5428" s="43"/>
      <c r="H5428" s="44"/>
      <c r="L5428" s="42"/>
      <c r="M5428" s="42"/>
      <c r="N5428" s="25"/>
      <c r="O5428" s="54"/>
      <c r="P5428"/>
      <c r="Q5428" s="25"/>
      <c r="R5428" s="54"/>
      <c r="W5428" s="23"/>
      <c r="X5428" s="23"/>
      <c r="Y5428" s="23"/>
      <c r="Z5428" s="43"/>
      <c r="AA5428" s="23"/>
      <c r="AB5428" s="23"/>
      <c r="AC5428" s="23"/>
      <c r="AD5428" s="23"/>
      <c r="AE5428" s="23"/>
      <c r="AF5428" s="23"/>
      <c r="AG5428" s="23"/>
      <c r="AH5428" s="23"/>
    </row>
    <row r="5429" spans="1:35">
      <c r="A5429" s="23"/>
      <c r="B5429" s="42"/>
      <c r="G5429" s="43"/>
      <c r="H5429" s="44"/>
      <c r="L5429" s="42"/>
      <c r="M5429" s="42"/>
      <c r="N5429" s="25"/>
      <c r="O5429" s="54"/>
      <c r="P5429"/>
      <c r="Q5429" s="25"/>
      <c r="R5429" s="54"/>
      <c r="W5429" s="23"/>
      <c r="X5429" s="23"/>
      <c r="Y5429" s="23"/>
      <c r="Z5429" s="43"/>
      <c r="AA5429" s="23"/>
      <c r="AB5429" s="23"/>
      <c r="AC5429" s="23"/>
      <c r="AD5429" s="23"/>
      <c r="AE5429" s="23"/>
      <c r="AF5429" s="23"/>
      <c r="AG5429" s="23"/>
      <c r="AH5429" s="23"/>
    </row>
    <row r="5430" spans="1:35">
      <c r="A5430" s="23"/>
      <c r="B5430" s="42"/>
      <c r="G5430" s="43"/>
      <c r="H5430" s="44"/>
      <c r="L5430" s="42"/>
      <c r="M5430" s="42"/>
      <c r="N5430" s="25"/>
      <c r="O5430" s="54"/>
      <c r="P5430"/>
      <c r="Q5430" s="25"/>
      <c r="R5430" s="54"/>
      <c r="W5430" s="23"/>
      <c r="X5430" s="23"/>
      <c r="Y5430" s="23"/>
      <c r="Z5430" s="43"/>
      <c r="AA5430" s="23"/>
      <c r="AB5430" s="23"/>
      <c r="AC5430" s="23"/>
      <c r="AD5430" s="23"/>
      <c r="AE5430" s="23"/>
      <c r="AF5430" s="23"/>
      <c r="AG5430" s="23"/>
      <c r="AH5430" s="23"/>
    </row>
    <row r="5431" spans="1:35">
      <c r="A5431" s="23"/>
      <c r="B5431" s="42"/>
      <c r="G5431" s="43"/>
      <c r="H5431" s="44"/>
      <c r="L5431" s="42"/>
      <c r="M5431" s="42"/>
      <c r="N5431" s="25"/>
      <c r="O5431" s="54"/>
      <c r="P5431"/>
      <c r="Q5431" s="25"/>
      <c r="R5431" s="54"/>
      <c r="W5431" s="23"/>
      <c r="X5431" s="23"/>
      <c r="Y5431" s="23"/>
      <c r="Z5431" s="43"/>
      <c r="AA5431" s="23"/>
      <c r="AB5431" s="23"/>
      <c r="AC5431" s="23"/>
      <c r="AD5431" s="23"/>
      <c r="AE5431" s="23"/>
      <c r="AF5431" s="23"/>
      <c r="AG5431" s="23"/>
      <c r="AH5431" s="23"/>
    </row>
    <row r="5432" spans="1:35">
      <c r="A5432" s="23"/>
      <c r="B5432" s="42"/>
      <c r="G5432" s="43"/>
      <c r="H5432" s="44"/>
      <c r="L5432" s="42"/>
      <c r="M5432" s="42"/>
      <c r="N5432" s="25"/>
      <c r="O5432" s="54"/>
      <c r="P5432"/>
      <c r="Q5432" s="25"/>
      <c r="R5432" s="54"/>
      <c r="W5432" s="23"/>
      <c r="X5432" s="23"/>
      <c r="Y5432" s="23"/>
      <c r="Z5432" s="43"/>
      <c r="AA5432" s="23"/>
      <c r="AB5432" s="23"/>
      <c r="AC5432" s="23"/>
      <c r="AD5432" s="23"/>
      <c r="AE5432" s="23"/>
      <c r="AF5432" s="23"/>
      <c r="AG5432" s="23"/>
      <c r="AH5432" s="23"/>
    </row>
    <row r="5433" spans="1:35">
      <c r="B5433" s="42"/>
      <c r="G5433" s="43"/>
      <c r="H5433" s="44"/>
      <c r="L5433" s="42"/>
      <c r="M5433" s="42"/>
      <c r="N5433" s="25"/>
      <c r="O5433" s="54"/>
      <c r="P5433"/>
      <c r="Q5433" s="25"/>
      <c r="R5433" s="54"/>
      <c r="W5433" s="23"/>
      <c r="X5433" s="23"/>
      <c r="Y5433" s="23"/>
      <c r="Z5433" s="43"/>
      <c r="AA5433" s="23"/>
      <c r="AB5433" s="23"/>
      <c r="AC5433" s="23"/>
      <c r="AD5433" s="23"/>
      <c r="AE5433" s="23"/>
      <c r="AF5433" s="23"/>
      <c r="AG5433" s="23"/>
      <c r="AH5433" s="23"/>
      <c r="AI5433" s="48"/>
    </row>
    <row r="5434" spans="1:35">
      <c r="A5434" s="23"/>
      <c r="B5434" s="42"/>
      <c r="C5434" s="49"/>
      <c r="E5434" s="49"/>
      <c r="G5434" s="43"/>
      <c r="H5434" s="44"/>
      <c r="L5434" s="42"/>
      <c r="M5434" s="42"/>
      <c r="N5434" s="25"/>
      <c r="O5434" s="54"/>
      <c r="P5434"/>
      <c r="Q5434" s="25"/>
      <c r="R5434" s="54"/>
      <c r="W5434" s="23"/>
      <c r="X5434" s="23"/>
      <c r="Y5434" s="23"/>
      <c r="Z5434" s="43"/>
      <c r="AA5434" s="23"/>
      <c r="AB5434" s="23"/>
      <c r="AC5434" s="23"/>
      <c r="AD5434" s="23"/>
      <c r="AE5434" s="23"/>
      <c r="AF5434" s="23"/>
      <c r="AG5434" s="23"/>
      <c r="AH5434" s="23"/>
      <c r="AI5434" s="49"/>
    </row>
    <row r="5435" spans="1:35">
      <c r="A5435" s="23"/>
      <c r="B5435" s="42"/>
      <c r="C5435" s="49"/>
      <c r="E5435" s="49"/>
      <c r="G5435" s="43"/>
      <c r="H5435" s="44"/>
      <c r="L5435" s="42"/>
      <c r="M5435" s="42"/>
      <c r="N5435" s="25"/>
      <c r="O5435" s="54"/>
      <c r="P5435"/>
      <c r="Q5435" s="25"/>
      <c r="R5435" s="54"/>
      <c r="W5435" s="23"/>
      <c r="X5435" s="23"/>
      <c r="Y5435" s="23"/>
      <c r="Z5435" s="43"/>
      <c r="AA5435" s="23"/>
      <c r="AB5435" s="23"/>
      <c r="AC5435" s="23"/>
      <c r="AD5435" s="23"/>
      <c r="AE5435" s="23"/>
      <c r="AF5435" s="23"/>
      <c r="AG5435" s="23"/>
      <c r="AH5435" s="23"/>
      <c r="AI5435" s="49"/>
    </row>
    <row r="5436" spans="1:35">
      <c r="A5436" s="23"/>
      <c r="B5436" s="42"/>
      <c r="G5436" s="43"/>
      <c r="H5436" s="44"/>
      <c r="L5436" s="42"/>
      <c r="M5436" s="42"/>
      <c r="N5436" s="25"/>
      <c r="O5436" s="54"/>
      <c r="P5436"/>
      <c r="Q5436" s="25"/>
      <c r="R5436" s="54"/>
      <c r="W5436" s="23"/>
      <c r="X5436" s="23"/>
      <c r="Y5436" s="23"/>
      <c r="Z5436" s="43"/>
      <c r="AA5436" s="23"/>
      <c r="AB5436" s="23"/>
      <c r="AC5436" s="23"/>
      <c r="AD5436" s="23"/>
      <c r="AE5436" s="23"/>
      <c r="AF5436" s="23"/>
      <c r="AG5436" s="23"/>
      <c r="AH5436" s="23"/>
    </row>
    <row r="5437" spans="1:35">
      <c r="A5437" s="23"/>
      <c r="B5437" s="42"/>
      <c r="G5437" s="43"/>
      <c r="H5437" s="44"/>
      <c r="L5437" s="42"/>
      <c r="M5437" s="42"/>
      <c r="N5437" s="25"/>
      <c r="O5437" s="54"/>
      <c r="P5437"/>
      <c r="Q5437" s="25"/>
      <c r="R5437" s="54"/>
      <c r="W5437" s="23"/>
      <c r="X5437" s="23"/>
      <c r="Y5437" s="23"/>
      <c r="Z5437" s="43"/>
      <c r="AA5437" s="23"/>
      <c r="AB5437" s="23"/>
      <c r="AC5437" s="23"/>
      <c r="AD5437" s="23"/>
      <c r="AE5437" s="23"/>
      <c r="AF5437" s="23"/>
      <c r="AG5437" s="23"/>
      <c r="AH5437" s="23"/>
    </row>
    <row r="5438" spans="1:35">
      <c r="A5438" s="23"/>
      <c r="B5438" s="42"/>
      <c r="G5438" s="43"/>
      <c r="H5438" s="44"/>
      <c r="L5438" s="42"/>
      <c r="M5438" s="42"/>
      <c r="N5438" s="25"/>
      <c r="O5438" s="54"/>
      <c r="P5438"/>
      <c r="Q5438" s="25"/>
      <c r="R5438" s="54"/>
      <c r="W5438" s="23"/>
      <c r="X5438" s="23"/>
      <c r="Y5438" s="23"/>
      <c r="Z5438" s="43"/>
      <c r="AA5438" s="23"/>
      <c r="AB5438" s="23"/>
      <c r="AC5438" s="23"/>
      <c r="AD5438" s="23"/>
      <c r="AE5438" s="23"/>
      <c r="AF5438" s="23"/>
      <c r="AG5438" s="23"/>
      <c r="AH5438" s="23"/>
    </row>
    <row r="5439" spans="1:35">
      <c r="A5439" s="23"/>
      <c r="B5439" s="42"/>
      <c r="G5439" s="43"/>
      <c r="H5439" s="44"/>
      <c r="L5439" s="42"/>
      <c r="M5439" s="42"/>
      <c r="N5439" s="25"/>
      <c r="O5439" s="54"/>
      <c r="P5439"/>
      <c r="Q5439" s="25"/>
      <c r="R5439" s="54"/>
      <c r="W5439" s="23"/>
      <c r="X5439" s="23"/>
      <c r="Y5439" s="23"/>
      <c r="Z5439" s="43"/>
      <c r="AA5439" s="23"/>
      <c r="AB5439" s="23"/>
      <c r="AC5439" s="23"/>
      <c r="AD5439" s="23"/>
      <c r="AE5439" s="23"/>
      <c r="AF5439" s="23"/>
      <c r="AG5439" s="23"/>
      <c r="AH5439" s="23"/>
    </row>
    <row r="5440" spans="1:35">
      <c r="A5440" s="23"/>
      <c r="B5440" s="42"/>
      <c r="G5440" s="43"/>
      <c r="H5440" s="44"/>
      <c r="L5440" s="42"/>
      <c r="M5440" s="42"/>
      <c r="N5440" s="25"/>
      <c r="O5440" s="54"/>
      <c r="P5440"/>
      <c r="Q5440" s="25"/>
      <c r="R5440" s="54"/>
      <c r="W5440" s="23"/>
      <c r="X5440" s="23"/>
      <c r="Y5440" s="23"/>
      <c r="Z5440" s="43"/>
      <c r="AA5440" s="23"/>
      <c r="AB5440" s="23"/>
      <c r="AC5440" s="23"/>
      <c r="AD5440" s="23"/>
      <c r="AE5440" s="23"/>
      <c r="AF5440" s="23"/>
      <c r="AG5440" s="23"/>
      <c r="AH5440" s="23"/>
    </row>
    <row r="5441" spans="1:34">
      <c r="A5441" s="23"/>
      <c r="B5441" s="42"/>
      <c r="G5441" s="43"/>
      <c r="H5441" s="44"/>
      <c r="L5441" s="42"/>
      <c r="M5441" s="42"/>
      <c r="N5441" s="25"/>
      <c r="O5441" s="54"/>
      <c r="P5441"/>
      <c r="Q5441" s="25"/>
      <c r="R5441" s="54"/>
      <c r="W5441" s="23"/>
      <c r="X5441" s="23"/>
      <c r="Y5441" s="23"/>
      <c r="Z5441" s="43"/>
      <c r="AA5441" s="23"/>
      <c r="AB5441" s="23"/>
      <c r="AC5441" s="23"/>
      <c r="AD5441" s="23"/>
      <c r="AE5441" s="23"/>
      <c r="AF5441" s="23"/>
      <c r="AG5441" s="23"/>
      <c r="AH5441" s="23"/>
    </row>
    <row r="5442" spans="1:34">
      <c r="A5442" s="23"/>
      <c r="B5442" s="42"/>
      <c r="G5442" s="43"/>
      <c r="H5442" s="44"/>
      <c r="L5442" s="42"/>
      <c r="M5442" s="42"/>
      <c r="N5442" s="25"/>
      <c r="O5442" s="54"/>
      <c r="P5442"/>
      <c r="Q5442" s="25"/>
      <c r="R5442" s="54"/>
      <c r="W5442" s="23"/>
      <c r="X5442" s="23"/>
      <c r="Y5442" s="23"/>
      <c r="Z5442" s="43"/>
      <c r="AA5442" s="23"/>
      <c r="AB5442" s="23"/>
      <c r="AC5442" s="23"/>
      <c r="AD5442" s="23"/>
      <c r="AE5442" s="23"/>
      <c r="AF5442" s="23"/>
      <c r="AG5442" s="23"/>
      <c r="AH5442" s="23"/>
    </row>
    <row r="5443" spans="1:34">
      <c r="A5443" s="23"/>
      <c r="B5443" s="42"/>
      <c r="G5443" s="43"/>
      <c r="H5443" s="44"/>
      <c r="L5443" s="42"/>
      <c r="M5443" s="42"/>
      <c r="N5443" s="25"/>
      <c r="O5443" s="54"/>
      <c r="P5443"/>
      <c r="Q5443" s="25"/>
      <c r="R5443" s="54"/>
      <c r="W5443" s="23"/>
      <c r="X5443" s="23"/>
      <c r="Y5443" s="23"/>
      <c r="Z5443" s="43"/>
      <c r="AA5443" s="23"/>
      <c r="AB5443" s="23"/>
      <c r="AC5443" s="23"/>
      <c r="AD5443" s="23"/>
      <c r="AE5443" s="23"/>
      <c r="AF5443" s="23"/>
      <c r="AG5443" s="23"/>
      <c r="AH5443" s="23"/>
    </row>
    <row r="5444" spans="1:34">
      <c r="A5444" s="23"/>
      <c r="B5444" s="42"/>
      <c r="G5444" s="43"/>
      <c r="H5444" s="44"/>
      <c r="L5444" s="42"/>
      <c r="M5444" s="42"/>
      <c r="N5444" s="25"/>
      <c r="O5444" s="54"/>
      <c r="P5444"/>
      <c r="Q5444" s="25"/>
      <c r="R5444" s="54"/>
      <c r="W5444" s="23"/>
      <c r="X5444" s="23"/>
      <c r="Y5444" s="23"/>
      <c r="Z5444" s="43"/>
      <c r="AA5444" s="23"/>
      <c r="AB5444" s="23"/>
      <c r="AC5444" s="23"/>
      <c r="AD5444" s="23"/>
      <c r="AE5444" s="23"/>
      <c r="AF5444" s="23"/>
      <c r="AG5444" s="23"/>
      <c r="AH5444" s="23"/>
    </row>
    <row r="5445" spans="1:34">
      <c r="A5445" s="23"/>
      <c r="B5445" s="42"/>
      <c r="G5445" s="43"/>
      <c r="H5445" s="44"/>
      <c r="L5445" s="42"/>
      <c r="M5445" s="42"/>
      <c r="N5445" s="25"/>
      <c r="O5445" s="54"/>
      <c r="P5445"/>
      <c r="Q5445" s="25"/>
      <c r="R5445" s="54"/>
      <c r="W5445" s="23"/>
      <c r="X5445" s="23"/>
      <c r="Y5445" s="23"/>
      <c r="Z5445" s="43"/>
      <c r="AA5445" s="23"/>
      <c r="AB5445" s="23"/>
      <c r="AC5445" s="23"/>
      <c r="AD5445" s="23"/>
      <c r="AE5445" s="23"/>
      <c r="AF5445" s="23"/>
      <c r="AG5445" s="23"/>
      <c r="AH5445" s="23"/>
    </row>
    <row r="5446" spans="1:34">
      <c r="A5446" s="23"/>
      <c r="B5446" s="42"/>
      <c r="G5446" s="43"/>
      <c r="H5446" s="44"/>
      <c r="L5446" s="42"/>
      <c r="M5446" s="42"/>
      <c r="N5446" s="25"/>
      <c r="O5446" s="54"/>
      <c r="P5446"/>
      <c r="Q5446" s="25"/>
      <c r="R5446" s="54"/>
      <c r="W5446" s="23"/>
      <c r="X5446" s="23"/>
      <c r="Y5446" s="23"/>
      <c r="Z5446" s="43"/>
      <c r="AA5446" s="23"/>
      <c r="AB5446" s="23"/>
      <c r="AC5446" s="23"/>
      <c r="AD5446" s="23"/>
      <c r="AE5446" s="23"/>
      <c r="AF5446" s="23"/>
      <c r="AG5446" s="23"/>
      <c r="AH5446" s="23"/>
    </row>
    <row r="5447" spans="1:34">
      <c r="A5447" s="23"/>
      <c r="B5447" s="42"/>
      <c r="G5447" s="43"/>
      <c r="H5447" s="44"/>
      <c r="L5447" s="42"/>
      <c r="M5447" s="42"/>
      <c r="N5447" s="25"/>
      <c r="O5447" s="54"/>
      <c r="P5447"/>
      <c r="Q5447" s="25"/>
      <c r="R5447" s="54"/>
      <c r="W5447" s="23"/>
      <c r="X5447" s="23"/>
      <c r="Y5447" s="23"/>
      <c r="Z5447" s="43"/>
      <c r="AA5447" s="23"/>
      <c r="AB5447" s="23"/>
      <c r="AC5447" s="23"/>
      <c r="AD5447" s="23"/>
      <c r="AE5447" s="23"/>
      <c r="AF5447" s="23"/>
      <c r="AG5447" s="23"/>
      <c r="AH5447" s="23"/>
    </row>
    <row r="5448" spans="1:34">
      <c r="A5448" s="23"/>
      <c r="B5448" s="42"/>
      <c r="G5448" s="43"/>
      <c r="H5448" s="44"/>
      <c r="L5448" s="42"/>
      <c r="M5448" s="42"/>
      <c r="N5448" s="25"/>
      <c r="O5448" s="54"/>
      <c r="P5448"/>
      <c r="Q5448" s="25"/>
      <c r="R5448" s="54"/>
      <c r="W5448" s="23"/>
      <c r="X5448" s="23"/>
      <c r="Y5448" s="23"/>
      <c r="Z5448" s="43"/>
      <c r="AA5448" s="23"/>
      <c r="AB5448" s="23"/>
      <c r="AC5448" s="23"/>
      <c r="AD5448" s="23"/>
      <c r="AE5448" s="23"/>
      <c r="AF5448" s="23"/>
      <c r="AG5448" s="23"/>
      <c r="AH5448" s="23"/>
    </row>
    <row r="5449" spans="1:34">
      <c r="A5449" s="23"/>
      <c r="B5449" s="42"/>
      <c r="G5449" s="43"/>
      <c r="H5449" s="44"/>
      <c r="L5449" s="42"/>
      <c r="M5449" s="42"/>
      <c r="N5449" s="25"/>
      <c r="O5449" s="54"/>
      <c r="P5449"/>
      <c r="Q5449" s="25"/>
      <c r="R5449" s="54"/>
      <c r="W5449" s="23"/>
      <c r="X5449" s="23"/>
      <c r="Y5449" s="23"/>
      <c r="Z5449" s="43"/>
      <c r="AA5449" s="23"/>
      <c r="AB5449" s="23"/>
      <c r="AC5449" s="23"/>
      <c r="AD5449" s="23"/>
      <c r="AE5449" s="23"/>
      <c r="AF5449" s="23"/>
      <c r="AG5449" s="23"/>
      <c r="AH5449" s="23"/>
    </row>
    <row r="5450" spans="1:34">
      <c r="A5450" s="23"/>
      <c r="B5450" s="42"/>
      <c r="G5450" s="43"/>
      <c r="H5450" s="44"/>
      <c r="L5450" s="42"/>
      <c r="M5450" s="42"/>
      <c r="N5450" s="25"/>
      <c r="O5450" s="54"/>
      <c r="P5450"/>
      <c r="Q5450" s="25"/>
      <c r="R5450" s="54"/>
      <c r="W5450" s="23"/>
      <c r="X5450" s="23"/>
      <c r="Y5450" s="23"/>
      <c r="Z5450" s="43"/>
      <c r="AA5450" s="23"/>
      <c r="AB5450" s="23"/>
      <c r="AC5450" s="23"/>
      <c r="AD5450" s="23"/>
      <c r="AE5450" s="23"/>
      <c r="AF5450" s="23"/>
      <c r="AG5450" s="23"/>
      <c r="AH5450" s="23"/>
    </row>
    <row r="5451" spans="1:34">
      <c r="A5451" s="23"/>
      <c r="B5451" s="42"/>
      <c r="G5451" s="43"/>
      <c r="H5451" s="44"/>
      <c r="L5451" s="42"/>
      <c r="M5451" s="42"/>
      <c r="N5451" s="25"/>
      <c r="O5451" s="54"/>
      <c r="P5451"/>
      <c r="Q5451" s="25"/>
      <c r="R5451" s="54"/>
      <c r="W5451" s="23"/>
      <c r="X5451" s="23"/>
      <c r="Y5451" s="23"/>
      <c r="Z5451" s="43"/>
      <c r="AA5451" s="23"/>
      <c r="AB5451" s="23"/>
      <c r="AC5451" s="23"/>
      <c r="AD5451" s="23"/>
      <c r="AE5451" s="23"/>
      <c r="AF5451" s="23"/>
      <c r="AG5451" s="23"/>
      <c r="AH5451" s="23"/>
    </row>
    <row r="5452" spans="1:34">
      <c r="A5452" s="23"/>
      <c r="B5452" s="42"/>
      <c r="G5452" s="43"/>
      <c r="H5452" s="44"/>
      <c r="L5452" s="42"/>
      <c r="M5452" s="42"/>
      <c r="N5452" s="25"/>
      <c r="O5452" s="54"/>
      <c r="P5452"/>
      <c r="Q5452" s="25"/>
      <c r="R5452" s="54"/>
      <c r="W5452" s="23"/>
      <c r="X5452" s="23"/>
      <c r="Y5452" s="23"/>
      <c r="Z5452" s="43"/>
      <c r="AA5452" s="23"/>
      <c r="AB5452" s="23"/>
      <c r="AC5452" s="23"/>
      <c r="AD5452" s="23"/>
      <c r="AE5452" s="23"/>
      <c r="AF5452" s="23"/>
      <c r="AG5452" s="23"/>
      <c r="AH5452" s="23"/>
    </row>
    <row r="5453" spans="1:34">
      <c r="A5453" s="23"/>
      <c r="B5453" s="42"/>
      <c r="G5453" s="43"/>
      <c r="H5453" s="44"/>
      <c r="L5453" s="42"/>
      <c r="M5453" s="42"/>
      <c r="N5453" s="25"/>
      <c r="O5453" s="54"/>
      <c r="P5453"/>
      <c r="Q5453" s="25"/>
      <c r="R5453" s="54"/>
      <c r="W5453" s="23"/>
      <c r="X5453" s="23"/>
      <c r="Y5453" s="23"/>
      <c r="Z5453" s="43"/>
      <c r="AA5453" s="23"/>
      <c r="AB5453" s="23"/>
      <c r="AC5453" s="23"/>
      <c r="AD5453" s="23"/>
      <c r="AE5453" s="23"/>
      <c r="AF5453" s="23"/>
      <c r="AG5453" s="23"/>
      <c r="AH5453" s="23"/>
    </row>
    <row r="5454" spans="1:34">
      <c r="A5454" s="23"/>
      <c r="B5454" s="42"/>
      <c r="G5454" s="43"/>
      <c r="H5454" s="44"/>
      <c r="L5454" s="42"/>
      <c r="M5454" s="42"/>
      <c r="N5454" s="25"/>
      <c r="O5454" s="54"/>
      <c r="P5454"/>
      <c r="Q5454" s="25"/>
      <c r="R5454" s="54"/>
      <c r="W5454" s="23"/>
      <c r="X5454" s="23"/>
      <c r="Y5454" s="23"/>
      <c r="Z5454" s="43"/>
      <c r="AA5454" s="23"/>
      <c r="AB5454" s="23"/>
      <c r="AC5454" s="23"/>
      <c r="AD5454" s="23"/>
      <c r="AE5454" s="23"/>
      <c r="AF5454" s="23"/>
      <c r="AG5454" s="23"/>
      <c r="AH5454" s="23"/>
    </row>
    <row r="5455" spans="1:34">
      <c r="A5455" s="23"/>
      <c r="B5455" s="42"/>
      <c r="G5455" s="43"/>
      <c r="H5455" s="44"/>
      <c r="L5455" s="42"/>
      <c r="M5455" s="42"/>
      <c r="N5455" s="25"/>
      <c r="O5455" s="54"/>
      <c r="P5455"/>
      <c r="Q5455" s="25"/>
      <c r="R5455" s="54"/>
      <c r="W5455" s="23"/>
      <c r="X5455" s="23"/>
      <c r="Y5455" s="23"/>
      <c r="Z5455" s="43"/>
      <c r="AA5455" s="23"/>
      <c r="AB5455" s="23"/>
      <c r="AC5455" s="23"/>
      <c r="AD5455" s="23"/>
      <c r="AE5455" s="23"/>
      <c r="AF5455" s="23"/>
      <c r="AG5455" s="23"/>
      <c r="AH5455" s="23"/>
    </row>
    <row r="5456" spans="1:34">
      <c r="A5456" s="23"/>
      <c r="B5456" s="42"/>
      <c r="G5456" s="43"/>
      <c r="H5456" s="44"/>
      <c r="L5456" s="42"/>
      <c r="M5456" s="42"/>
      <c r="N5456" s="25"/>
      <c r="O5456" s="54"/>
      <c r="P5456"/>
      <c r="Q5456" s="25"/>
      <c r="R5456" s="54"/>
      <c r="W5456" s="23"/>
      <c r="X5456" s="23"/>
      <c r="Y5456" s="23"/>
      <c r="Z5456" s="43"/>
      <c r="AA5456" s="23"/>
      <c r="AB5456" s="23"/>
      <c r="AC5456" s="23"/>
      <c r="AD5456" s="23"/>
      <c r="AE5456" s="23"/>
      <c r="AF5456" s="23"/>
      <c r="AG5456" s="23"/>
      <c r="AH5456" s="23"/>
    </row>
    <row r="5457" spans="1:34">
      <c r="A5457" s="23"/>
      <c r="B5457" s="42"/>
      <c r="G5457" s="43"/>
      <c r="H5457" s="44"/>
      <c r="L5457" s="42"/>
      <c r="M5457" s="42"/>
      <c r="N5457" s="25"/>
      <c r="O5457" s="54"/>
      <c r="P5457"/>
      <c r="Q5457" s="25"/>
      <c r="R5457" s="54"/>
      <c r="W5457" s="23"/>
      <c r="X5457" s="23"/>
      <c r="Y5457" s="23"/>
      <c r="Z5457" s="43"/>
      <c r="AA5457" s="23"/>
      <c r="AB5457" s="23"/>
      <c r="AC5457" s="23"/>
      <c r="AD5457" s="23"/>
      <c r="AE5457" s="23"/>
      <c r="AF5457" s="23"/>
      <c r="AG5457" s="23"/>
      <c r="AH5457" s="23"/>
    </row>
    <row r="5458" spans="1:34">
      <c r="A5458" s="23"/>
      <c r="B5458" s="42"/>
      <c r="G5458" s="43"/>
      <c r="H5458" s="44"/>
      <c r="L5458" s="42"/>
      <c r="M5458" s="42"/>
      <c r="N5458" s="25"/>
      <c r="O5458" s="54"/>
      <c r="P5458"/>
      <c r="Q5458" s="25"/>
      <c r="R5458" s="54"/>
      <c r="W5458" s="23"/>
      <c r="X5458" s="23"/>
      <c r="Y5458" s="23"/>
      <c r="Z5458" s="43"/>
      <c r="AA5458" s="23"/>
      <c r="AB5458" s="23"/>
      <c r="AC5458" s="23"/>
      <c r="AD5458" s="23"/>
      <c r="AE5458" s="23"/>
      <c r="AF5458" s="23"/>
      <c r="AG5458" s="23"/>
      <c r="AH5458" s="23"/>
    </row>
    <row r="5459" spans="1:34">
      <c r="A5459" s="23"/>
      <c r="B5459" s="42"/>
      <c r="G5459" s="43"/>
      <c r="H5459" s="44"/>
      <c r="L5459" s="42"/>
      <c r="M5459" s="42"/>
      <c r="N5459" s="25"/>
      <c r="O5459" s="54"/>
      <c r="P5459"/>
      <c r="Q5459" s="25"/>
      <c r="R5459" s="54"/>
      <c r="W5459" s="23"/>
      <c r="X5459" s="23"/>
      <c r="Y5459" s="23"/>
      <c r="Z5459" s="43"/>
      <c r="AA5459" s="23"/>
      <c r="AB5459" s="23"/>
      <c r="AC5459" s="23"/>
      <c r="AD5459" s="23"/>
      <c r="AE5459" s="23"/>
      <c r="AF5459" s="23"/>
      <c r="AG5459" s="23"/>
      <c r="AH5459" s="23"/>
    </row>
    <row r="5460" spans="1:34">
      <c r="A5460" s="23"/>
      <c r="B5460" s="42"/>
      <c r="G5460" s="43"/>
      <c r="H5460" s="44"/>
      <c r="L5460" s="42"/>
      <c r="M5460" s="42"/>
      <c r="N5460" s="25"/>
      <c r="O5460" s="54"/>
      <c r="P5460"/>
      <c r="Q5460" s="25"/>
      <c r="R5460" s="54"/>
      <c r="W5460" s="23"/>
      <c r="X5460" s="23"/>
      <c r="Y5460" s="23"/>
      <c r="Z5460" s="43"/>
      <c r="AA5460" s="23"/>
      <c r="AB5460" s="23"/>
      <c r="AC5460" s="23"/>
      <c r="AD5460" s="23"/>
      <c r="AE5460" s="23"/>
      <c r="AF5460" s="23"/>
      <c r="AG5460" s="23"/>
      <c r="AH5460" s="23"/>
    </row>
    <row r="5461" spans="1:34">
      <c r="A5461" s="23"/>
      <c r="B5461" s="42"/>
      <c r="G5461" s="43"/>
      <c r="H5461" s="44"/>
      <c r="L5461" s="42"/>
      <c r="M5461" s="42"/>
      <c r="N5461" s="25"/>
      <c r="O5461" s="54"/>
      <c r="P5461"/>
      <c r="Q5461" s="25"/>
      <c r="R5461" s="54"/>
      <c r="W5461" s="23"/>
      <c r="X5461" s="23"/>
      <c r="Y5461" s="23"/>
      <c r="Z5461" s="43"/>
      <c r="AA5461" s="23"/>
      <c r="AB5461" s="23"/>
      <c r="AC5461" s="23"/>
      <c r="AD5461" s="23"/>
      <c r="AE5461" s="23"/>
      <c r="AF5461" s="23"/>
      <c r="AG5461" s="23"/>
      <c r="AH5461" s="23"/>
    </row>
    <row r="5462" spans="1:34">
      <c r="A5462" s="23"/>
      <c r="B5462" s="42"/>
      <c r="G5462" s="43"/>
      <c r="H5462" s="44"/>
      <c r="L5462" s="42"/>
      <c r="M5462" s="42"/>
      <c r="N5462" s="25"/>
      <c r="O5462" s="54"/>
      <c r="P5462"/>
      <c r="Q5462" s="25"/>
      <c r="R5462" s="54"/>
      <c r="W5462" s="23"/>
      <c r="X5462" s="23"/>
      <c r="Y5462" s="23"/>
      <c r="Z5462" s="43"/>
      <c r="AA5462" s="23"/>
      <c r="AB5462" s="23"/>
      <c r="AC5462" s="23"/>
      <c r="AD5462" s="23"/>
      <c r="AE5462" s="23"/>
      <c r="AF5462" s="23"/>
      <c r="AG5462" s="23"/>
      <c r="AH5462" s="23"/>
    </row>
    <row r="5463" spans="1:34">
      <c r="A5463" s="23"/>
      <c r="B5463" s="42"/>
      <c r="G5463" s="43"/>
      <c r="H5463" s="44"/>
      <c r="L5463" s="42"/>
      <c r="M5463" s="42"/>
      <c r="N5463" s="25"/>
      <c r="O5463" s="54"/>
      <c r="P5463"/>
      <c r="Q5463" s="25"/>
      <c r="R5463" s="54"/>
      <c r="W5463" s="23"/>
      <c r="X5463" s="23"/>
      <c r="Y5463" s="23"/>
      <c r="Z5463" s="43"/>
      <c r="AA5463" s="23"/>
      <c r="AB5463" s="23"/>
      <c r="AC5463" s="23"/>
      <c r="AD5463" s="23"/>
      <c r="AE5463" s="23"/>
      <c r="AF5463" s="23"/>
      <c r="AG5463" s="23"/>
      <c r="AH5463" s="23"/>
    </row>
    <row r="5464" spans="1:34">
      <c r="A5464" s="23"/>
      <c r="B5464" s="42"/>
      <c r="G5464" s="43"/>
      <c r="H5464" s="44"/>
      <c r="L5464" s="42"/>
      <c r="M5464" s="42"/>
      <c r="N5464" s="25"/>
      <c r="O5464" s="54"/>
      <c r="P5464"/>
      <c r="Q5464" s="25"/>
      <c r="R5464" s="54"/>
      <c r="W5464" s="23"/>
      <c r="X5464" s="23"/>
      <c r="Y5464" s="23"/>
      <c r="Z5464" s="43"/>
      <c r="AA5464" s="23"/>
      <c r="AB5464" s="23"/>
      <c r="AC5464" s="23"/>
      <c r="AD5464" s="23"/>
      <c r="AE5464" s="23"/>
      <c r="AF5464" s="23"/>
      <c r="AG5464" s="23"/>
      <c r="AH5464" s="23"/>
    </row>
    <row r="5465" spans="1:34">
      <c r="A5465" s="23"/>
      <c r="B5465" s="42"/>
      <c r="G5465" s="43"/>
      <c r="H5465" s="44"/>
      <c r="L5465" s="42"/>
      <c r="M5465" s="42"/>
      <c r="N5465" s="25"/>
      <c r="O5465" s="54"/>
      <c r="P5465"/>
      <c r="Q5465" s="25"/>
      <c r="R5465" s="54"/>
      <c r="W5465" s="23"/>
      <c r="X5465" s="23"/>
      <c r="Y5465" s="23"/>
      <c r="Z5465" s="43"/>
      <c r="AA5465" s="23"/>
      <c r="AB5465" s="23"/>
      <c r="AC5465" s="23"/>
      <c r="AD5465" s="23"/>
      <c r="AE5465" s="23"/>
      <c r="AF5465" s="23"/>
      <c r="AG5465" s="23"/>
      <c r="AH5465" s="23"/>
    </row>
    <row r="5466" spans="1:34">
      <c r="A5466" s="23"/>
      <c r="B5466" s="42"/>
      <c r="G5466" s="43"/>
      <c r="H5466" s="44"/>
      <c r="L5466" s="42"/>
      <c r="M5466" s="42"/>
      <c r="N5466" s="25"/>
      <c r="O5466" s="54"/>
      <c r="P5466"/>
      <c r="Q5466" s="25"/>
      <c r="R5466" s="54"/>
      <c r="W5466" s="23"/>
      <c r="X5466" s="23"/>
      <c r="Y5466" s="23"/>
      <c r="Z5466" s="43"/>
      <c r="AA5466" s="23"/>
      <c r="AB5466" s="23"/>
      <c r="AC5466" s="23"/>
      <c r="AD5466" s="23"/>
      <c r="AE5466" s="23"/>
      <c r="AF5466" s="23"/>
      <c r="AG5466" s="23"/>
      <c r="AH5466" s="23"/>
    </row>
    <row r="5467" spans="1:34">
      <c r="A5467" s="23"/>
      <c r="B5467" s="42"/>
      <c r="G5467" s="43"/>
      <c r="H5467" s="44"/>
      <c r="L5467" s="42"/>
      <c r="M5467" s="42"/>
      <c r="N5467" s="25"/>
      <c r="O5467" s="54"/>
      <c r="P5467"/>
      <c r="Q5467" s="25"/>
      <c r="R5467" s="54"/>
      <c r="W5467" s="23"/>
      <c r="X5467" s="23"/>
      <c r="Y5467" s="23"/>
      <c r="Z5467" s="43"/>
      <c r="AA5467" s="23"/>
      <c r="AB5467" s="23"/>
      <c r="AC5467" s="23"/>
      <c r="AD5467" s="23"/>
      <c r="AE5467" s="23"/>
      <c r="AF5467" s="23"/>
      <c r="AG5467" s="23"/>
      <c r="AH5467" s="23"/>
    </row>
    <row r="5468" spans="1:34">
      <c r="A5468" s="23"/>
      <c r="B5468" s="42"/>
      <c r="G5468" s="43"/>
      <c r="H5468" s="44"/>
      <c r="L5468" s="42"/>
      <c r="M5468" s="42"/>
      <c r="N5468" s="25"/>
      <c r="O5468" s="54"/>
      <c r="P5468"/>
      <c r="Q5468" s="25"/>
      <c r="R5468" s="54"/>
      <c r="W5468" s="23"/>
      <c r="X5468" s="23"/>
      <c r="Y5468" s="23"/>
      <c r="Z5468" s="43"/>
      <c r="AA5468" s="23"/>
      <c r="AB5468" s="23"/>
      <c r="AC5468" s="23"/>
      <c r="AD5468" s="23"/>
      <c r="AE5468" s="23"/>
      <c r="AF5468" s="23"/>
      <c r="AG5468" s="23"/>
      <c r="AH5468" s="23"/>
    </row>
    <row r="5469" spans="1:34">
      <c r="A5469" s="23"/>
      <c r="B5469" s="42"/>
      <c r="G5469" s="43"/>
      <c r="H5469" s="44"/>
      <c r="L5469" s="42"/>
      <c r="M5469" s="42"/>
      <c r="N5469" s="25"/>
      <c r="O5469" s="54"/>
      <c r="P5469"/>
      <c r="Q5469" s="25"/>
      <c r="R5469" s="54"/>
      <c r="W5469" s="23"/>
      <c r="X5469" s="23"/>
      <c r="Y5469" s="23"/>
      <c r="Z5469" s="43"/>
      <c r="AA5469" s="23"/>
      <c r="AB5469" s="23"/>
      <c r="AC5469" s="23"/>
      <c r="AD5469" s="23"/>
      <c r="AE5469" s="23"/>
      <c r="AF5469" s="23"/>
      <c r="AG5469" s="23"/>
      <c r="AH5469" s="23"/>
    </row>
    <row r="5470" spans="1:34">
      <c r="A5470" s="23"/>
      <c r="B5470" s="42"/>
      <c r="G5470" s="43"/>
      <c r="H5470" s="44"/>
      <c r="L5470" s="42"/>
      <c r="M5470" s="42"/>
      <c r="N5470" s="25"/>
      <c r="O5470" s="54"/>
      <c r="P5470"/>
      <c r="Q5470" s="25"/>
      <c r="R5470" s="54"/>
      <c r="W5470" s="23"/>
      <c r="X5470" s="23"/>
      <c r="Y5470" s="23"/>
      <c r="Z5470" s="43"/>
      <c r="AA5470" s="23"/>
      <c r="AB5470" s="23"/>
      <c r="AC5470" s="23"/>
      <c r="AD5470" s="23"/>
      <c r="AE5470" s="23"/>
      <c r="AF5470" s="23"/>
      <c r="AG5470" s="23"/>
      <c r="AH5470" s="23"/>
    </row>
    <row r="5471" spans="1:34">
      <c r="A5471" s="23"/>
      <c r="B5471" s="42"/>
      <c r="G5471" s="43"/>
      <c r="H5471" s="44"/>
      <c r="L5471" s="42"/>
      <c r="M5471" s="42"/>
      <c r="N5471" s="25"/>
      <c r="O5471" s="54"/>
      <c r="P5471"/>
      <c r="Q5471" s="25"/>
      <c r="R5471" s="54"/>
      <c r="W5471" s="23"/>
      <c r="X5471" s="23"/>
      <c r="Y5471" s="23"/>
      <c r="Z5471" s="43"/>
      <c r="AA5471" s="23"/>
      <c r="AB5471" s="23"/>
      <c r="AC5471" s="23"/>
      <c r="AD5471" s="23"/>
      <c r="AE5471" s="23"/>
      <c r="AF5471" s="23"/>
      <c r="AG5471" s="23"/>
      <c r="AH5471" s="23"/>
    </row>
    <row r="5472" spans="1:34">
      <c r="A5472" s="23"/>
      <c r="B5472" s="42"/>
      <c r="G5472" s="43"/>
      <c r="H5472" s="44"/>
      <c r="L5472" s="42"/>
      <c r="M5472" s="42"/>
      <c r="N5472" s="25"/>
      <c r="O5472" s="54"/>
      <c r="P5472"/>
      <c r="Q5472" s="25"/>
      <c r="R5472" s="54"/>
      <c r="W5472" s="23"/>
      <c r="X5472" s="23"/>
      <c r="Y5472" s="23"/>
      <c r="Z5472" s="43"/>
      <c r="AA5472" s="23"/>
      <c r="AB5472" s="23"/>
      <c r="AC5472" s="23"/>
      <c r="AD5472" s="23"/>
      <c r="AE5472" s="23"/>
      <c r="AF5472" s="23"/>
      <c r="AG5472" s="23"/>
      <c r="AH5472" s="23"/>
    </row>
    <row r="5473" spans="1:35">
      <c r="A5473" s="23"/>
      <c r="B5473" s="42"/>
      <c r="G5473" s="43"/>
      <c r="H5473" s="44"/>
      <c r="L5473" s="42"/>
      <c r="M5473" s="42"/>
      <c r="N5473" s="25"/>
      <c r="O5473" s="54"/>
      <c r="P5473"/>
      <c r="Q5473" s="25"/>
      <c r="R5473" s="54"/>
      <c r="W5473" s="23"/>
      <c r="X5473" s="23"/>
      <c r="Y5473" s="23"/>
      <c r="Z5473" s="43"/>
      <c r="AA5473" s="23"/>
      <c r="AB5473" s="23"/>
      <c r="AC5473" s="23"/>
      <c r="AD5473" s="23"/>
      <c r="AE5473" s="23"/>
      <c r="AF5473" s="23"/>
      <c r="AG5473" s="23"/>
      <c r="AH5473" s="23"/>
    </row>
    <row r="5474" spans="1:35">
      <c r="A5474" s="23"/>
      <c r="B5474" s="42"/>
      <c r="G5474" s="43"/>
      <c r="H5474" s="44"/>
      <c r="L5474" s="42"/>
      <c r="M5474" s="42"/>
      <c r="N5474" s="25"/>
      <c r="O5474" s="54"/>
      <c r="P5474"/>
      <c r="Q5474" s="25"/>
      <c r="R5474" s="54"/>
      <c r="W5474" s="23"/>
      <c r="X5474" s="23"/>
      <c r="Y5474" s="23"/>
      <c r="Z5474" s="43"/>
      <c r="AA5474" s="23"/>
      <c r="AB5474" s="23"/>
      <c r="AC5474" s="23"/>
      <c r="AD5474" s="23"/>
      <c r="AE5474" s="23"/>
      <c r="AF5474" s="23"/>
      <c r="AG5474" s="23"/>
      <c r="AH5474" s="23"/>
    </row>
    <row r="5475" spans="1:35">
      <c r="A5475" s="23"/>
      <c r="B5475" s="42"/>
      <c r="G5475" s="43"/>
      <c r="H5475" s="44"/>
      <c r="L5475" s="42"/>
      <c r="M5475" s="42"/>
      <c r="N5475" s="25"/>
      <c r="O5475" s="54"/>
      <c r="P5475"/>
      <c r="Q5475" s="25"/>
      <c r="R5475" s="54"/>
      <c r="W5475" s="23"/>
      <c r="X5475" s="23"/>
      <c r="Y5475" s="23"/>
      <c r="Z5475" s="43"/>
      <c r="AA5475" s="23"/>
      <c r="AB5475" s="23"/>
      <c r="AC5475" s="23"/>
      <c r="AD5475" s="23"/>
      <c r="AE5475" s="23"/>
      <c r="AF5475" s="23"/>
      <c r="AG5475" s="23"/>
      <c r="AH5475" s="23"/>
    </row>
    <row r="5476" spans="1:35">
      <c r="A5476" s="23"/>
      <c r="B5476" s="42"/>
      <c r="G5476" s="43"/>
      <c r="H5476" s="44"/>
      <c r="L5476" s="42"/>
      <c r="M5476" s="42"/>
      <c r="N5476" s="25"/>
      <c r="O5476" s="54"/>
      <c r="P5476"/>
      <c r="Q5476" s="25"/>
      <c r="R5476" s="54"/>
      <c r="W5476" s="23"/>
      <c r="X5476" s="23"/>
      <c r="Y5476" s="23"/>
      <c r="Z5476" s="43"/>
      <c r="AA5476" s="23"/>
      <c r="AB5476" s="23"/>
      <c r="AC5476" s="23"/>
      <c r="AD5476" s="23"/>
      <c r="AE5476" s="23"/>
      <c r="AF5476" s="23"/>
      <c r="AG5476" s="23"/>
      <c r="AH5476" s="23"/>
    </row>
    <row r="5477" spans="1:35">
      <c r="A5477" s="23"/>
      <c r="B5477" s="42"/>
      <c r="G5477" s="43"/>
      <c r="H5477" s="44"/>
      <c r="L5477" s="42"/>
      <c r="M5477" s="42"/>
      <c r="N5477" s="25"/>
      <c r="O5477" s="54"/>
      <c r="P5477"/>
      <c r="Q5477" s="25"/>
      <c r="R5477" s="54"/>
      <c r="W5477" s="23"/>
      <c r="X5477" s="23"/>
      <c r="Y5477" s="23"/>
      <c r="Z5477" s="43"/>
      <c r="AA5477" s="23"/>
      <c r="AB5477" s="23"/>
      <c r="AC5477" s="23"/>
      <c r="AD5477" s="23"/>
      <c r="AE5477" s="23"/>
      <c r="AF5477" s="23"/>
      <c r="AG5477" s="23"/>
      <c r="AH5477" s="23"/>
    </row>
    <row r="5478" spans="1:35">
      <c r="A5478" s="23"/>
      <c r="B5478" s="42"/>
      <c r="G5478" s="43"/>
      <c r="H5478" s="44"/>
      <c r="L5478" s="42"/>
      <c r="M5478" s="42"/>
      <c r="N5478" s="25"/>
      <c r="O5478" s="54"/>
      <c r="P5478"/>
      <c r="Q5478" s="25"/>
      <c r="R5478" s="54"/>
      <c r="W5478" s="23"/>
      <c r="X5478" s="23"/>
      <c r="Y5478" s="23"/>
      <c r="Z5478" s="43"/>
      <c r="AA5478" s="23"/>
      <c r="AB5478" s="23"/>
      <c r="AC5478" s="23"/>
      <c r="AD5478" s="23"/>
      <c r="AE5478" s="23"/>
      <c r="AF5478" s="23"/>
      <c r="AG5478" s="23"/>
      <c r="AH5478" s="23"/>
    </row>
    <row r="5479" spans="1:35">
      <c r="A5479" s="23"/>
      <c r="B5479" s="42"/>
      <c r="G5479" s="43"/>
      <c r="H5479" s="44"/>
      <c r="L5479" s="42"/>
      <c r="M5479" s="42"/>
      <c r="N5479" s="25"/>
      <c r="O5479" s="54"/>
      <c r="P5479"/>
      <c r="Q5479" s="25"/>
      <c r="R5479" s="54"/>
      <c r="W5479" s="23"/>
      <c r="X5479" s="23"/>
      <c r="Y5479" s="23"/>
      <c r="Z5479" s="43"/>
      <c r="AA5479" s="23"/>
      <c r="AB5479" s="23"/>
      <c r="AC5479" s="23"/>
      <c r="AD5479" s="23"/>
      <c r="AE5479" s="23"/>
      <c r="AF5479" s="23"/>
      <c r="AG5479" s="23"/>
      <c r="AH5479" s="23"/>
    </row>
    <row r="5480" spans="1:35">
      <c r="A5480" s="23"/>
      <c r="B5480" s="42"/>
      <c r="G5480" s="43"/>
      <c r="H5480" s="44"/>
      <c r="L5480" s="42"/>
      <c r="M5480" s="42"/>
      <c r="N5480" s="25"/>
      <c r="O5480" s="54"/>
      <c r="P5480"/>
      <c r="Q5480" s="25"/>
      <c r="R5480" s="54"/>
      <c r="W5480" s="23"/>
      <c r="X5480" s="23"/>
      <c r="Y5480" s="23"/>
      <c r="Z5480" s="43"/>
      <c r="AA5480" s="23"/>
      <c r="AB5480" s="23"/>
      <c r="AC5480" s="23"/>
      <c r="AD5480" s="23"/>
      <c r="AE5480" s="23"/>
      <c r="AF5480" s="23"/>
      <c r="AG5480" s="23"/>
      <c r="AH5480" s="23"/>
    </row>
    <row r="5481" spans="1:35">
      <c r="A5481" s="23"/>
      <c r="B5481" s="42"/>
      <c r="G5481" s="43"/>
      <c r="H5481" s="44"/>
      <c r="L5481" s="42"/>
      <c r="M5481" s="42"/>
      <c r="N5481" s="25"/>
      <c r="O5481" s="54"/>
      <c r="P5481"/>
      <c r="Q5481" s="25"/>
      <c r="R5481" s="54"/>
      <c r="W5481" s="23"/>
      <c r="X5481" s="23"/>
      <c r="Y5481" s="23"/>
      <c r="Z5481" s="43"/>
      <c r="AA5481" s="23"/>
      <c r="AB5481" s="23"/>
      <c r="AC5481" s="23"/>
      <c r="AD5481" s="23"/>
      <c r="AE5481" s="23"/>
      <c r="AF5481" s="23"/>
      <c r="AG5481" s="23"/>
      <c r="AH5481" s="23"/>
    </row>
    <row r="5482" spans="1:35">
      <c r="A5482" s="23"/>
      <c r="B5482" s="42"/>
      <c r="G5482" s="43"/>
      <c r="H5482" s="44"/>
      <c r="L5482" s="42"/>
      <c r="M5482" s="42"/>
      <c r="N5482" s="25"/>
      <c r="O5482" s="54"/>
      <c r="P5482"/>
      <c r="Q5482" s="25"/>
      <c r="R5482" s="54"/>
      <c r="W5482" s="23"/>
      <c r="X5482" s="23"/>
      <c r="Y5482" s="23"/>
      <c r="Z5482" s="43"/>
      <c r="AA5482" s="23"/>
      <c r="AB5482" s="23"/>
      <c r="AC5482" s="23"/>
      <c r="AD5482" s="23"/>
      <c r="AE5482" s="23"/>
      <c r="AF5482" s="23"/>
      <c r="AG5482" s="23"/>
      <c r="AH5482" s="23"/>
    </row>
    <row r="5483" spans="1:35">
      <c r="A5483" s="23"/>
      <c r="B5483" s="42"/>
      <c r="G5483" s="43"/>
      <c r="H5483" s="44"/>
      <c r="L5483" s="42"/>
      <c r="M5483" s="42"/>
      <c r="N5483" s="25"/>
      <c r="O5483" s="54"/>
      <c r="P5483"/>
      <c r="Q5483" s="25"/>
      <c r="R5483" s="54"/>
      <c r="W5483" s="23"/>
      <c r="X5483" s="23"/>
      <c r="Y5483" s="23"/>
      <c r="Z5483" s="43"/>
      <c r="AA5483" s="23"/>
      <c r="AB5483" s="23"/>
      <c r="AC5483" s="23"/>
      <c r="AD5483" s="23"/>
      <c r="AE5483" s="23"/>
      <c r="AF5483" s="23"/>
      <c r="AG5483" s="23"/>
      <c r="AH5483" s="23"/>
    </row>
    <row r="5484" spans="1:35">
      <c r="A5484" s="23"/>
      <c r="B5484" s="42"/>
      <c r="G5484" s="43"/>
      <c r="H5484" s="44"/>
      <c r="L5484" s="42"/>
      <c r="M5484" s="42"/>
      <c r="N5484" s="25"/>
      <c r="O5484" s="54"/>
      <c r="P5484"/>
      <c r="Q5484" s="25"/>
      <c r="R5484" s="54"/>
      <c r="W5484" s="23"/>
      <c r="X5484" s="23"/>
      <c r="Y5484" s="23"/>
      <c r="Z5484" s="43"/>
      <c r="AA5484" s="23"/>
      <c r="AB5484" s="23"/>
      <c r="AC5484" s="23"/>
      <c r="AD5484" s="23"/>
      <c r="AE5484" s="23"/>
      <c r="AF5484" s="23"/>
      <c r="AG5484" s="23"/>
      <c r="AH5484" s="23"/>
    </row>
    <row r="5485" spans="1:35">
      <c r="A5485" s="23"/>
      <c r="B5485" s="42"/>
      <c r="G5485" s="43"/>
      <c r="H5485" s="44"/>
      <c r="L5485" s="42"/>
      <c r="M5485" s="42"/>
      <c r="N5485" s="25"/>
      <c r="O5485" s="54"/>
      <c r="P5485"/>
      <c r="Q5485" s="25"/>
      <c r="R5485" s="54"/>
      <c r="W5485" s="23"/>
      <c r="X5485" s="23"/>
      <c r="Y5485" s="23"/>
      <c r="Z5485" s="43"/>
      <c r="AA5485" s="23"/>
      <c r="AB5485" s="23"/>
      <c r="AC5485" s="23"/>
      <c r="AD5485" s="23"/>
      <c r="AE5485" s="23"/>
      <c r="AF5485" s="23"/>
      <c r="AG5485" s="23"/>
      <c r="AH5485" s="23"/>
    </row>
    <row r="5486" spans="1:35">
      <c r="A5486" s="23"/>
      <c r="B5486" s="42"/>
      <c r="G5486" s="43"/>
      <c r="H5486" s="44"/>
      <c r="L5486" s="42"/>
      <c r="M5486" s="42"/>
      <c r="N5486" s="25"/>
      <c r="O5486" s="54"/>
      <c r="P5486"/>
      <c r="Q5486" s="25"/>
      <c r="R5486" s="54"/>
      <c r="W5486" s="23"/>
      <c r="X5486" s="23"/>
      <c r="Y5486" s="23"/>
      <c r="Z5486" s="43"/>
      <c r="AA5486" s="23"/>
      <c r="AB5486" s="23"/>
      <c r="AC5486" s="23"/>
      <c r="AD5486" s="23"/>
      <c r="AE5486" s="23"/>
      <c r="AF5486" s="23"/>
      <c r="AG5486" s="23"/>
      <c r="AH5486" s="23"/>
    </row>
    <row r="5487" spans="1:35">
      <c r="A5487" s="23"/>
      <c r="B5487" s="42"/>
      <c r="G5487" s="43"/>
      <c r="H5487" s="44"/>
      <c r="L5487" s="42"/>
      <c r="M5487" s="42"/>
      <c r="N5487" s="25"/>
      <c r="O5487" s="54"/>
      <c r="P5487"/>
      <c r="Q5487" s="25"/>
      <c r="R5487" s="54"/>
      <c r="W5487" s="23"/>
      <c r="X5487" s="23"/>
      <c r="Y5487" s="23"/>
      <c r="Z5487" s="43"/>
      <c r="AA5487" s="23"/>
      <c r="AB5487" s="23"/>
      <c r="AC5487" s="23"/>
      <c r="AD5487" s="23"/>
      <c r="AE5487" s="23"/>
      <c r="AF5487" s="23"/>
      <c r="AG5487" s="23"/>
      <c r="AH5487" s="23"/>
    </row>
    <row r="5488" spans="1:35">
      <c r="B5488" s="42"/>
      <c r="G5488" s="43"/>
      <c r="H5488" s="44"/>
      <c r="L5488" s="42"/>
      <c r="M5488" s="42"/>
      <c r="N5488" s="25"/>
      <c r="O5488" s="54"/>
      <c r="P5488"/>
      <c r="Q5488" s="25"/>
      <c r="R5488" s="54"/>
      <c r="W5488" s="23"/>
      <c r="X5488" s="23"/>
      <c r="Y5488" s="23"/>
      <c r="Z5488" s="43"/>
      <c r="AA5488" s="23"/>
      <c r="AB5488" s="23"/>
      <c r="AC5488" s="23"/>
      <c r="AD5488" s="23"/>
      <c r="AE5488" s="23"/>
      <c r="AF5488" s="23"/>
      <c r="AG5488" s="23"/>
      <c r="AH5488" s="23"/>
      <c r="AI5488" s="48"/>
    </row>
    <row r="5489" spans="1:35">
      <c r="A5489" s="23"/>
      <c r="B5489" s="42"/>
      <c r="G5489" s="43"/>
      <c r="H5489" s="44"/>
      <c r="L5489" s="42"/>
      <c r="M5489" s="42"/>
      <c r="N5489" s="25"/>
      <c r="O5489" s="54"/>
      <c r="P5489"/>
      <c r="Q5489" s="25"/>
      <c r="R5489" s="54"/>
      <c r="W5489" s="23"/>
      <c r="X5489" s="23"/>
      <c r="Y5489" s="23"/>
      <c r="Z5489" s="43"/>
      <c r="AA5489" s="23"/>
      <c r="AB5489" s="23"/>
      <c r="AC5489" s="23"/>
      <c r="AD5489" s="23"/>
      <c r="AE5489" s="23"/>
      <c r="AF5489" s="23"/>
      <c r="AG5489" s="23"/>
      <c r="AH5489" s="23"/>
    </row>
    <row r="5490" spans="1:35">
      <c r="A5490" s="23"/>
      <c r="B5490" s="42"/>
      <c r="G5490" s="43"/>
      <c r="H5490" s="44"/>
      <c r="L5490" s="42"/>
      <c r="M5490" s="42"/>
      <c r="N5490" s="25"/>
      <c r="O5490" s="54"/>
      <c r="P5490"/>
      <c r="Q5490" s="25"/>
      <c r="R5490" s="54"/>
      <c r="W5490" s="23"/>
      <c r="X5490" s="23"/>
      <c r="Y5490" s="23"/>
      <c r="Z5490" s="43"/>
      <c r="AA5490" s="23"/>
      <c r="AB5490" s="23"/>
      <c r="AC5490" s="23"/>
      <c r="AD5490" s="23"/>
      <c r="AE5490" s="23"/>
      <c r="AF5490" s="23"/>
      <c r="AG5490" s="23"/>
      <c r="AH5490" s="23"/>
    </row>
    <row r="5491" spans="1:35">
      <c r="A5491" s="23"/>
      <c r="B5491" s="42"/>
      <c r="C5491" s="49"/>
      <c r="E5491" s="49"/>
      <c r="G5491" s="43"/>
      <c r="H5491" s="44"/>
      <c r="L5491" s="42"/>
      <c r="M5491" s="42"/>
      <c r="N5491" s="25"/>
      <c r="O5491" s="54"/>
      <c r="P5491"/>
      <c r="Q5491" s="25"/>
      <c r="R5491" s="54"/>
      <c r="W5491" s="23"/>
      <c r="X5491" s="23"/>
      <c r="Y5491" s="23"/>
      <c r="Z5491" s="43"/>
      <c r="AA5491" s="23"/>
      <c r="AB5491" s="23"/>
      <c r="AC5491" s="23"/>
      <c r="AD5491" s="23"/>
      <c r="AE5491" s="23"/>
      <c r="AF5491" s="23"/>
      <c r="AG5491" s="23"/>
      <c r="AH5491" s="23"/>
      <c r="AI5491" s="49"/>
    </row>
    <row r="5492" spans="1:35">
      <c r="A5492" s="23"/>
      <c r="B5492" s="42"/>
      <c r="G5492" s="43"/>
      <c r="H5492" s="44"/>
      <c r="L5492" s="42"/>
      <c r="M5492" s="42"/>
      <c r="N5492" s="25"/>
      <c r="O5492" s="54"/>
      <c r="P5492"/>
      <c r="Q5492" s="25"/>
      <c r="R5492" s="54"/>
      <c r="W5492" s="23"/>
      <c r="X5492" s="23"/>
      <c r="Y5492" s="23"/>
      <c r="Z5492" s="43"/>
      <c r="AA5492" s="23"/>
      <c r="AB5492" s="23"/>
      <c r="AC5492" s="23"/>
      <c r="AD5492" s="23"/>
      <c r="AE5492" s="23"/>
      <c r="AF5492" s="23"/>
      <c r="AG5492" s="23"/>
      <c r="AH5492" s="23"/>
    </row>
    <row r="5493" spans="1:35">
      <c r="A5493" s="23"/>
      <c r="B5493" s="42"/>
      <c r="G5493" s="43"/>
      <c r="H5493" s="44"/>
      <c r="L5493" s="42"/>
      <c r="M5493" s="42"/>
      <c r="N5493" s="25"/>
      <c r="O5493" s="54"/>
      <c r="P5493"/>
      <c r="Q5493" s="25"/>
      <c r="R5493" s="54"/>
      <c r="W5493" s="23"/>
      <c r="X5493" s="23"/>
      <c r="Y5493" s="23"/>
      <c r="Z5493" s="43"/>
      <c r="AA5493" s="23"/>
      <c r="AB5493" s="23"/>
      <c r="AC5493" s="23"/>
      <c r="AD5493" s="23"/>
      <c r="AE5493" s="23"/>
      <c r="AF5493" s="23"/>
      <c r="AG5493" s="23"/>
      <c r="AH5493" s="23"/>
    </row>
    <row r="5494" spans="1:35">
      <c r="A5494" s="23"/>
      <c r="B5494" s="42"/>
      <c r="G5494" s="43"/>
      <c r="H5494" s="44"/>
      <c r="L5494" s="42"/>
      <c r="M5494" s="42"/>
      <c r="N5494" s="25"/>
      <c r="O5494" s="54"/>
      <c r="P5494"/>
      <c r="Q5494" s="25"/>
      <c r="R5494" s="54"/>
      <c r="W5494" s="23"/>
      <c r="X5494" s="23"/>
      <c r="Y5494" s="23"/>
      <c r="Z5494" s="43"/>
      <c r="AA5494" s="23"/>
      <c r="AB5494" s="23"/>
      <c r="AC5494" s="23"/>
      <c r="AD5494" s="23"/>
      <c r="AE5494" s="23"/>
      <c r="AF5494" s="23"/>
      <c r="AG5494" s="23"/>
      <c r="AH5494" s="23"/>
    </row>
    <row r="5495" spans="1:35">
      <c r="A5495" s="23"/>
      <c r="B5495" s="42"/>
      <c r="G5495" s="43"/>
      <c r="H5495" s="44"/>
      <c r="L5495" s="42"/>
      <c r="M5495" s="42"/>
      <c r="N5495" s="25"/>
      <c r="O5495" s="54"/>
      <c r="P5495"/>
      <c r="Q5495" s="25"/>
      <c r="R5495" s="54"/>
      <c r="W5495" s="23"/>
      <c r="X5495" s="23"/>
      <c r="Y5495" s="23"/>
      <c r="Z5495" s="43"/>
      <c r="AA5495" s="23"/>
      <c r="AB5495" s="23"/>
      <c r="AC5495" s="23"/>
      <c r="AD5495" s="23"/>
      <c r="AE5495" s="23"/>
      <c r="AF5495" s="23"/>
      <c r="AG5495" s="23"/>
      <c r="AH5495" s="23"/>
    </row>
    <row r="5496" spans="1:35">
      <c r="A5496" s="23"/>
      <c r="B5496" s="42"/>
      <c r="G5496" s="43"/>
      <c r="H5496" s="44"/>
      <c r="L5496" s="42"/>
      <c r="M5496" s="42"/>
      <c r="N5496" s="25"/>
      <c r="O5496" s="54"/>
      <c r="P5496"/>
      <c r="Q5496" s="25"/>
      <c r="R5496" s="54"/>
      <c r="W5496" s="23"/>
      <c r="X5496" s="23"/>
      <c r="Y5496" s="23"/>
      <c r="Z5496" s="43"/>
      <c r="AA5496" s="23"/>
      <c r="AB5496" s="23"/>
      <c r="AC5496" s="23"/>
      <c r="AD5496" s="23"/>
      <c r="AE5496" s="23"/>
      <c r="AF5496" s="23"/>
      <c r="AG5496" s="23"/>
      <c r="AH5496" s="23"/>
    </row>
    <row r="5497" spans="1:35">
      <c r="A5497" s="23"/>
      <c r="B5497" s="42"/>
      <c r="G5497" s="43"/>
      <c r="H5497" s="44"/>
      <c r="L5497" s="42"/>
      <c r="M5497" s="42"/>
      <c r="N5497" s="25"/>
      <c r="O5497" s="54"/>
      <c r="P5497"/>
      <c r="Q5497" s="25"/>
      <c r="R5497" s="54"/>
      <c r="W5497" s="23"/>
      <c r="X5497" s="23"/>
      <c r="Y5497" s="23"/>
      <c r="Z5497" s="43"/>
      <c r="AA5497" s="23"/>
      <c r="AB5497" s="23"/>
      <c r="AC5497" s="23"/>
      <c r="AD5497" s="23"/>
      <c r="AE5497" s="23"/>
      <c r="AF5497" s="23"/>
      <c r="AG5497" s="23"/>
      <c r="AH5497" s="23"/>
    </row>
    <row r="5498" spans="1:35">
      <c r="A5498" s="23"/>
      <c r="B5498" s="42"/>
      <c r="G5498" s="43"/>
      <c r="H5498" s="44"/>
      <c r="L5498" s="42"/>
      <c r="M5498" s="42"/>
      <c r="N5498" s="25"/>
      <c r="O5498" s="54"/>
      <c r="P5498"/>
      <c r="Q5498" s="25"/>
      <c r="R5498" s="54"/>
      <c r="W5498" s="23"/>
      <c r="X5498" s="23"/>
      <c r="Y5498" s="23"/>
      <c r="Z5498" s="43"/>
      <c r="AA5498" s="23"/>
      <c r="AB5498" s="23"/>
      <c r="AC5498" s="23"/>
      <c r="AD5498" s="23"/>
      <c r="AE5498" s="23"/>
      <c r="AF5498" s="23"/>
      <c r="AG5498" s="23"/>
      <c r="AH5498" s="23"/>
    </row>
    <row r="5499" spans="1:35">
      <c r="A5499" s="23"/>
      <c r="B5499" s="42"/>
      <c r="G5499" s="43"/>
      <c r="H5499" s="44"/>
      <c r="L5499" s="42"/>
      <c r="M5499" s="42"/>
      <c r="N5499" s="25"/>
      <c r="O5499" s="54"/>
      <c r="P5499"/>
      <c r="Q5499" s="25"/>
      <c r="R5499" s="54"/>
      <c r="W5499" s="23"/>
      <c r="X5499" s="23"/>
      <c r="Y5499" s="23"/>
      <c r="Z5499" s="43"/>
      <c r="AA5499" s="23"/>
      <c r="AB5499" s="23"/>
      <c r="AC5499" s="23"/>
      <c r="AD5499" s="23"/>
      <c r="AE5499" s="23"/>
      <c r="AF5499" s="23"/>
      <c r="AG5499" s="23"/>
      <c r="AH5499" s="23"/>
    </row>
    <row r="5500" spans="1:35">
      <c r="A5500" s="23"/>
      <c r="B5500" s="42"/>
      <c r="C5500" s="49"/>
      <c r="E5500" s="49"/>
      <c r="G5500" s="43"/>
      <c r="H5500" s="44"/>
      <c r="L5500" s="42"/>
      <c r="M5500" s="42"/>
      <c r="N5500" s="25"/>
      <c r="O5500" s="54"/>
      <c r="P5500"/>
      <c r="Q5500" s="25"/>
      <c r="R5500" s="54"/>
      <c r="W5500" s="23"/>
      <c r="X5500" s="23"/>
      <c r="Y5500" s="23"/>
      <c r="Z5500" s="43"/>
      <c r="AA5500" s="23"/>
      <c r="AB5500" s="23"/>
      <c r="AC5500" s="23"/>
      <c r="AD5500" s="23"/>
      <c r="AE5500" s="23"/>
      <c r="AF5500" s="23"/>
      <c r="AG5500" s="23"/>
      <c r="AH5500" s="23"/>
      <c r="AI5500" s="49"/>
    </row>
    <row r="5501" spans="1:35">
      <c r="A5501" s="23"/>
      <c r="B5501" s="42"/>
      <c r="G5501" s="43"/>
      <c r="H5501" s="44"/>
      <c r="L5501" s="42"/>
      <c r="M5501" s="42"/>
      <c r="N5501" s="25"/>
      <c r="O5501" s="54"/>
      <c r="P5501"/>
      <c r="Q5501" s="25"/>
      <c r="R5501" s="54"/>
      <c r="W5501" s="23"/>
      <c r="X5501" s="23"/>
      <c r="Y5501" s="23"/>
      <c r="Z5501" s="43"/>
      <c r="AA5501" s="23"/>
      <c r="AB5501" s="23"/>
      <c r="AC5501" s="23"/>
      <c r="AD5501" s="23"/>
      <c r="AE5501" s="23"/>
      <c r="AF5501" s="23"/>
      <c r="AG5501" s="23"/>
      <c r="AH5501" s="23"/>
    </row>
    <row r="5502" spans="1:35">
      <c r="A5502" s="23"/>
      <c r="B5502" s="42"/>
      <c r="G5502" s="43"/>
      <c r="H5502" s="44"/>
      <c r="L5502" s="42"/>
      <c r="M5502" s="42"/>
      <c r="N5502" s="25"/>
      <c r="O5502" s="54"/>
      <c r="P5502"/>
      <c r="Q5502" s="25"/>
      <c r="R5502" s="54"/>
      <c r="W5502" s="23"/>
      <c r="X5502" s="23"/>
      <c r="Y5502" s="23"/>
      <c r="Z5502" s="43"/>
      <c r="AA5502" s="23"/>
      <c r="AB5502" s="23"/>
      <c r="AC5502" s="23"/>
      <c r="AD5502" s="23"/>
      <c r="AE5502" s="23"/>
      <c r="AF5502" s="23"/>
      <c r="AG5502" s="23"/>
      <c r="AH5502" s="23"/>
    </row>
    <row r="5503" spans="1:35">
      <c r="A5503" s="23"/>
      <c r="B5503" s="42"/>
      <c r="G5503" s="43"/>
      <c r="H5503" s="44"/>
      <c r="L5503" s="42"/>
      <c r="M5503" s="42"/>
      <c r="N5503" s="25"/>
      <c r="O5503" s="54"/>
      <c r="P5503"/>
      <c r="Q5503" s="25"/>
      <c r="R5503" s="54"/>
      <c r="W5503" s="23"/>
      <c r="X5503" s="23"/>
      <c r="Y5503" s="23"/>
      <c r="Z5503" s="43"/>
      <c r="AA5503" s="23"/>
      <c r="AB5503" s="23"/>
      <c r="AC5503" s="23"/>
      <c r="AD5503" s="23"/>
      <c r="AE5503" s="23"/>
      <c r="AF5503" s="23"/>
      <c r="AG5503" s="23"/>
      <c r="AH5503" s="23"/>
    </row>
    <row r="5504" spans="1:35">
      <c r="A5504" s="23"/>
      <c r="B5504" s="42"/>
      <c r="G5504" s="43"/>
      <c r="H5504" s="44"/>
      <c r="L5504" s="42"/>
      <c r="M5504" s="42"/>
      <c r="N5504" s="25"/>
      <c r="O5504" s="54"/>
      <c r="P5504"/>
      <c r="Q5504" s="25"/>
      <c r="R5504" s="54"/>
      <c r="W5504" s="23"/>
      <c r="X5504" s="23"/>
      <c r="Y5504" s="23"/>
      <c r="Z5504" s="43"/>
      <c r="AA5504" s="23"/>
      <c r="AB5504" s="23"/>
      <c r="AC5504" s="23"/>
      <c r="AD5504" s="23"/>
      <c r="AE5504" s="23"/>
      <c r="AF5504" s="23"/>
      <c r="AG5504" s="23"/>
      <c r="AH5504" s="23"/>
    </row>
    <row r="5505" spans="1:34">
      <c r="A5505" s="23"/>
      <c r="B5505" s="42"/>
      <c r="G5505" s="43"/>
      <c r="H5505" s="44"/>
      <c r="L5505" s="42"/>
      <c r="M5505" s="42"/>
      <c r="N5505" s="25"/>
      <c r="O5505" s="54"/>
      <c r="P5505"/>
      <c r="Q5505" s="25"/>
      <c r="R5505" s="54"/>
      <c r="W5505" s="23"/>
      <c r="X5505" s="23"/>
      <c r="Y5505" s="23"/>
      <c r="Z5505" s="43"/>
      <c r="AA5505" s="23"/>
      <c r="AB5505" s="23"/>
      <c r="AC5505" s="23"/>
      <c r="AD5505" s="23"/>
      <c r="AE5505" s="23"/>
      <c r="AF5505" s="23"/>
      <c r="AG5505" s="23"/>
      <c r="AH5505" s="23"/>
    </row>
    <row r="5506" spans="1:34">
      <c r="A5506" s="23"/>
      <c r="B5506" s="42"/>
      <c r="G5506" s="43"/>
      <c r="H5506" s="44"/>
      <c r="L5506" s="42"/>
      <c r="M5506" s="42"/>
      <c r="N5506" s="25"/>
      <c r="O5506" s="54"/>
      <c r="P5506"/>
      <c r="Q5506" s="25"/>
      <c r="R5506" s="54"/>
      <c r="W5506" s="23"/>
      <c r="X5506" s="23"/>
      <c r="Y5506" s="23"/>
      <c r="Z5506" s="43"/>
      <c r="AA5506" s="23"/>
      <c r="AB5506" s="23"/>
      <c r="AC5506" s="23"/>
      <c r="AD5506" s="23"/>
      <c r="AE5506" s="23"/>
      <c r="AF5506" s="23"/>
      <c r="AG5506" s="23"/>
      <c r="AH5506" s="23"/>
    </row>
    <row r="5507" spans="1:34">
      <c r="A5507" s="23"/>
      <c r="B5507" s="42"/>
      <c r="G5507" s="43"/>
      <c r="H5507" s="44"/>
      <c r="L5507" s="42"/>
      <c r="M5507" s="42"/>
      <c r="N5507" s="25"/>
      <c r="O5507" s="54"/>
      <c r="P5507"/>
      <c r="Q5507" s="25"/>
      <c r="R5507" s="54"/>
      <c r="W5507" s="23"/>
      <c r="X5507" s="23"/>
      <c r="Y5507" s="23"/>
      <c r="Z5507" s="43"/>
      <c r="AA5507" s="23"/>
      <c r="AB5507" s="23"/>
      <c r="AC5507" s="23"/>
      <c r="AD5507" s="23"/>
      <c r="AE5507" s="23"/>
      <c r="AF5507" s="23"/>
      <c r="AG5507" s="23"/>
      <c r="AH5507" s="23"/>
    </row>
    <row r="5508" spans="1:34">
      <c r="A5508" s="23"/>
      <c r="B5508" s="42"/>
      <c r="G5508" s="43"/>
      <c r="H5508" s="44"/>
      <c r="L5508" s="42"/>
      <c r="M5508" s="42"/>
      <c r="N5508" s="25"/>
      <c r="O5508" s="54"/>
      <c r="P5508"/>
      <c r="Q5508" s="25"/>
      <c r="R5508" s="54"/>
      <c r="W5508" s="23"/>
      <c r="X5508" s="23"/>
      <c r="Y5508" s="23"/>
      <c r="Z5508" s="43"/>
      <c r="AA5508" s="23"/>
      <c r="AB5508" s="23"/>
      <c r="AC5508" s="23"/>
      <c r="AD5508" s="23"/>
      <c r="AE5508" s="23"/>
      <c r="AF5508" s="23"/>
      <c r="AG5508" s="23"/>
      <c r="AH5508" s="23"/>
    </row>
    <row r="5509" spans="1:34">
      <c r="A5509" s="23"/>
      <c r="B5509" s="42"/>
      <c r="G5509" s="43"/>
      <c r="H5509" s="44"/>
      <c r="L5509" s="42"/>
      <c r="M5509" s="42"/>
      <c r="N5509" s="25"/>
      <c r="O5509" s="54"/>
      <c r="P5509"/>
      <c r="Q5509" s="25"/>
      <c r="R5509" s="54"/>
      <c r="W5509" s="23"/>
      <c r="X5509" s="23"/>
      <c r="Y5509" s="23"/>
      <c r="Z5509" s="43"/>
      <c r="AA5509" s="23"/>
      <c r="AB5509" s="23"/>
      <c r="AC5509" s="23"/>
      <c r="AD5509" s="23"/>
      <c r="AE5509" s="23"/>
      <c r="AF5509" s="23"/>
      <c r="AG5509" s="23"/>
      <c r="AH5509" s="23"/>
    </row>
    <row r="5510" spans="1:34">
      <c r="A5510" s="23"/>
      <c r="B5510" s="42"/>
      <c r="G5510" s="43"/>
      <c r="H5510" s="44"/>
      <c r="L5510" s="42"/>
      <c r="M5510" s="42"/>
      <c r="N5510" s="25"/>
      <c r="O5510" s="54"/>
      <c r="P5510"/>
      <c r="Q5510" s="25"/>
      <c r="R5510" s="54"/>
      <c r="W5510" s="23"/>
      <c r="X5510" s="23"/>
      <c r="Y5510" s="23"/>
      <c r="Z5510" s="43"/>
      <c r="AA5510" s="23"/>
      <c r="AB5510" s="23"/>
      <c r="AC5510" s="23"/>
      <c r="AD5510" s="23"/>
      <c r="AE5510" s="23"/>
      <c r="AF5510" s="23"/>
      <c r="AG5510" s="23"/>
      <c r="AH5510" s="23"/>
    </row>
    <row r="5511" spans="1:34">
      <c r="A5511" s="23"/>
      <c r="B5511" s="42"/>
      <c r="G5511" s="43"/>
      <c r="H5511" s="44"/>
      <c r="L5511" s="42"/>
      <c r="M5511" s="42"/>
      <c r="N5511" s="25"/>
      <c r="O5511" s="54"/>
      <c r="P5511"/>
      <c r="Q5511" s="25"/>
      <c r="R5511" s="54"/>
      <c r="W5511" s="23"/>
      <c r="X5511" s="23"/>
      <c r="Y5511" s="23"/>
      <c r="Z5511" s="43"/>
      <c r="AA5511" s="23"/>
      <c r="AB5511" s="23"/>
      <c r="AC5511" s="23"/>
      <c r="AD5511" s="23"/>
      <c r="AE5511" s="23"/>
      <c r="AF5511" s="23"/>
      <c r="AG5511" s="23"/>
      <c r="AH5511" s="23"/>
    </row>
    <row r="5512" spans="1:34">
      <c r="A5512" s="23"/>
      <c r="B5512" s="42"/>
      <c r="G5512" s="43"/>
      <c r="H5512" s="44"/>
      <c r="L5512" s="42"/>
      <c r="M5512" s="42"/>
      <c r="N5512" s="25"/>
      <c r="O5512" s="54"/>
      <c r="P5512"/>
      <c r="Q5512" s="25"/>
      <c r="R5512" s="54"/>
      <c r="W5512" s="23"/>
      <c r="X5512" s="23"/>
      <c r="Y5512" s="23"/>
      <c r="Z5512" s="43"/>
      <c r="AA5512" s="23"/>
      <c r="AB5512" s="23"/>
      <c r="AC5512" s="23"/>
      <c r="AD5512" s="23"/>
      <c r="AE5512" s="23"/>
      <c r="AF5512" s="23"/>
      <c r="AG5512" s="23"/>
      <c r="AH5512" s="23"/>
    </row>
    <row r="5513" spans="1:34">
      <c r="A5513" s="23"/>
      <c r="B5513" s="42"/>
      <c r="G5513" s="43"/>
      <c r="H5513" s="44"/>
      <c r="L5513" s="42"/>
      <c r="M5513" s="42"/>
      <c r="N5513" s="25"/>
      <c r="O5513" s="54"/>
      <c r="P5513"/>
      <c r="Q5513" s="25"/>
      <c r="R5513" s="54"/>
      <c r="W5513" s="23"/>
      <c r="X5513" s="23"/>
      <c r="Y5513" s="23"/>
      <c r="Z5513" s="43"/>
      <c r="AA5513" s="23"/>
      <c r="AB5513" s="23"/>
      <c r="AC5513" s="23"/>
      <c r="AD5513" s="23"/>
      <c r="AE5513" s="23"/>
      <c r="AF5513" s="23"/>
      <c r="AG5513" s="23"/>
      <c r="AH5513" s="23"/>
    </row>
    <row r="5514" spans="1:34">
      <c r="A5514" s="23"/>
      <c r="B5514" s="42"/>
      <c r="G5514" s="43"/>
      <c r="H5514" s="44"/>
      <c r="L5514" s="42"/>
      <c r="M5514" s="42"/>
      <c r="N5514" s="25"/>
      <c r="O5514" s="54"/>
      <c r="P5514"/>
      <c r="Q5514" s="25"/>
      <c r="R5514" s="54"/>
      <c r="W5514" s="23"/>
      <c r="X5514" s="23"/>
      <c r="Y5514" s="23"/>
      <c r="Z5514" s="43"/>
      <c r="AA5514" s="23"/>
      <c r="AB5514" s="23"/>
      <c r="AC5514" s="23"/>
      <c r="AD5514" s="23"/>
      <c r="AE5514" s="23"/>
      <c r="AF5514" s="23"/>
      <c r="AG5514" s="23"/>
      <c r="AH5514" s="23"/>
    </row>
    <row r="5515" spans="1:34">
      <c r="A5515" s="23"/>
      <c r="B5515" s="42"/>
      <c r="G5515" s="43"/>
      <c r="H5515" s="44"/>
      <c r="L5515" s="42"/>
      <c r="M5515" s="42"/>
      <c r="N5515" s="25"/>
      <c r="O5515" s="54"/>
      <c r="P5515"/>
      <c r="Q5515" s="25"/>
      <c r="R5515" s="54"/>
      <c r="W5515" s="23"/>
      <c r="X5515" s="23"/>
      <c r="Y5515" s="23"/>
      <c r="Z5515" s="43"/>
      <c r="AA5515" s="23"/>
      <c r="AB5515" s="23"/>
      <c r="AC5515" s="23"/>
      <c r="AD5515" s="23"/>
      <c r="AE5515" s="23"/>
      <c r="AF5515" s="23"/>
      <c r="AG5515" s="23"/>
      <c r="AH5515" s="23"/>
    </row>
    <row r="5516" spans="1:34">
      <c r="A5516" s="23"/>
      <c r="B5516" s="42"/>
      <c r="G5516" s="43"/>
      <c r="H5516" s="44"/>
      <c r="L5516" s="42"/>
      <c r="M5516" s="42"/>
      <c r="N5516" s="25"/>
      <c r="O5516" s="54"/>
      <c r="P5516"/>
      <c r="Q5516" s="25"/>
      <c r="R5516" s="54"/>
      <c r="W5516" s="23"/>
      <c r="X5516" s="23"/>
      <c r="Y5516" s="23"/>
      <c r="Z5516" s="43"/>
      <c r="AA5516" s="23"/>
      <c r="AB5516" s="23"/>
      <c r="AC5516" s="23"/>
      <c r="AD5516" s="23"/>
      <c r="AE5516" s="23"/>
      <c r="AF5516" s="23"/>
      <c r="AG5516" s="23"/>
      <c r="AH5516" s="23"/>
    </row>
    <row r="5517" spans="1:34">
      <c r="A5517" s="23"/>
      <c r="B5517" s="42"/>
      <c r="G5517" s="43"/>
      <c r="H5517" s="44"/>
      <c r="L5517" s="42"/>
      <c r="M5517" s="42"/>
      <c r="N5517" s="25"/>
      <c r="O5517" s="54"/>
      <c r="P5517"/>
      <c r="Q5517" s="25"/>
      <c r="R5517" s="54"/>
      <c r="W5517" s="23"/>
      <c r="X5517" s="23"/>
      <c r="Y5517" s="23"/>
      <c r="Z5517" s="43"/>
      <c r="AA5517" s="23"/>
      <c r="AB5517" s="23"/>
      <c r="AC5517" s="23"/>
      <c r="AD5517" s="23"/>
      <c r="AE5517" s="23"/>
      <c r="AF5517" s="23"/>
      <c r="AG5517" s="23"/>
      <c r="AH5517" s="23"/>
    </row>
    <row r="5518" spans="1:34">
      <c r="A5518" s="23"/>
      <c r="B5518" s="42"/>
      <c r="G5518" s="43"/>
      <c r="H5518" s="44"/>
      <c r="L5518" s="42"/>
      <c r="M5518" s="42"/>
      <c r="N5518" s="25"/>
      <c r="O5518" s="54"/>
      <c r="P5518"/>
      <c r="Q5518" s="25"/>
      <c r="R5518" s="54"/>
      <c r="W5518" s="23"/>
      <c r="X5518" s="23"/>
      <c r="Y5518" s="23"/>
      <c r="Z5518" s="43"/>
      <c r="AA5518" s="23"/>
      <c r="AB5518" s="23"/>
      <c r="AC5518" s="23"/>
      <c r="AD5518" s="23"/>
      <c r="AE5518" s="23"/>
      <c r="AF5518" s="23"/>
      <c r="AG5518" s="23"/>
      <c r="AH5518" s="23"/>
    </row>
    <row r="5519" spans="1:34">
      <c r="A5519" s="23"/>
      <c r="B5519" s="42"/>
      <c r="G5519" s="43"/>
      <c r="H5519" s="44"/>
      <c r="L5519" s="42"/>
      <c r="M5519" s="42"/>
      <c r="N5519" s="25"/>
      <c r="O5519" s="54"/>
      <c r="P5519"/>
      <c r="Q5519" s="25"/>
      <c r="R5519" s="54"/>
      <c r="W5519" s="23"/>
      <c r="X5519" s="23"/>
      <c r="Y5519" s="23"/>
      <c r="Z5519" s="43"/>
      <c r="AA5519" s="23"/>
      <c r="AB5519" s="23"/>
      <c r="AC5519" s="23"/>
      <c r="AD5519" s="23"/>
      <c r="AE5519" s="23"/>
      <c r="AF5519" s="23"/>
      <c r="AG5519" s="23"/>
      <c r="AH5519" s="23"/>
    </row>
    <row r="5520" spans="1:34">
      <c r="A5520" s="23"/>
      <c r="B5520" s="42"/>
      <c r="G5520" s="43"/>
      <c r="H5520" s="44"/>
      <c r="L5520" s="42"/>
      <c r="M5520" s="42"/>
      <c r="N5520" s="25"/>
      <c r="O5520" s="54"/>
      <c r="P5520"/>
      <c r="Q5520" s="25"/>
      <c r="R5520" s="54"/>
      <c r="W5520" s="23"/>
      <c r="X5520" s="23"/>
      <c r="Y5520" s="23"/>
      <c r="Z5520" s="43"/>
      <c r="AA5520" s="23"/>
      <c r="AB5520" s="23"/>
      <c r="AC5520" s="23"/>
      <c r="AD5520" s="23"/>
      <c r="AE5520" s="23"/>
      <c r="AF5520" s="23"/>
      <c r="AG5520" s="23"/>
      <c r="AH5520" s="23"/>
    </row>
    <row r="5521" spans="1:34">
      <c r="A5521" s="23"/>
      <c r="B5521" s="42"/>
      <c r="G5521" s="43"/>
      <c r="H5521" s="44"/>
      <c r="L5521" s="42"/>
      <c r="M5521" s="42"/>
      <c r="N5521" s="25"/>
      <c r="O5521" s="54"/>
      <c r="P5521"/>
      <c r="Q5521" s="25"/>
      <c r="R5521" s="54"/>
      <c r="W5521" s="23"/>
      <c r="X5521" s="23"/>
      <c r="Y5521" s="23"/>
      <c r="Z5521" s="43"/>
      <c r="AA5521" s="23"/>
      <c r="AB5521" s="23"/>
      <c r="AC5521" s="23"/>
      <c r="AD5521" s="23"/>
      <c r="AE5521" s="23"/>
      <c r="AF5521" s="23"/>
      <c r="AG5521" s="23"/>
      <c r="AH5521" s="23"/>
    </row>
    <row r="5522" spans="1:34">
      <c r="A5522" s="23"/>
      <c r="B5522" s="42"/>
      <c r="G5522" s="43"/>
      <c r="H5522" s="44"/>
      <c r="L5522" s="42"/>
      <c r="M5522" s="42"/>
      <c r="N5522" s="25"/>
      <c r="O5522" s="54"/>
      <c r="P5522"/>
      <c r="Q5522" s="25"/>
      <c r="R5522" s="54"/>
      <c r="W5522" s="23"/>
      <c r="X5522" s="23"/>
      <c r="Y5522" s="23"/>
      <c r="Z5522" s="43"/>
      <c r="AA5522" s="23"/>
      <c r="AB5522" s="23"/>
      <c r="AC5522" s="23"/>
      <c r="AD5522" s="23"/>
      <c r="AE5522" s="23"/>
      <c r="AF5522" s="23"/>
      <c r="AG5522" s="23"/>
      <c r="AH5522" s="23"/>
    </row>
    <row r="5523" spans="1:34">
      <c r="A5523" s="23"/>
      <c r="B5523" s="42"/>
      <c r="G5523" s="43"/>
      <c r="H5523" s="44"/>
      <c r="L5523" s="42"/>
      <c r="M5523" s="42"/>
      <c r="N5523" s="25"/>
      <c r="O5523" s="54"/>
      <c r="P5523"/>
      <c r="Q5523" s="25"/>
      <c r="R5523" s="54"/>
      <c r="W5523" s="23"/>
      <c r="X5523" s="23"/>
      <c r="Y5523" s="23"/>
      <c r="Z5523" s="43"/>
      <c r="AA5523" s="23"/>
      <c r="AB5523" s="23"/>
      <c r="AC5523" s="23"/>
      <c r="AD5523" s="23"/>
      <c r="AE5523" s="23"/>
      <c r="AF5523" s="23"/>
      <c r="AG5523" s="23"/>
      <c r="AH5523" s="23"/>
    </row>
    <row r="5524" spans="1:34">
      <c r="A5524" s="23"/>
      <c r="B5524" s="42"/>
      <c r="G5524" s="43"/>
      <c r="H5524" s="44"/>
      <c r="L5524" s="42"/>
      <c r="M5524" s="42"/>
      <c r="N5524" s="25"/>
      <c r="O5524" s="54"/>
      <c r="P5524"/>
      <c r="Q5524" s="25"/>
      <c r="R5524" s="54"/>
      <c r="W5524" s="23"/>
      <c r="X5524" s="23"/>
      <c r="Y5524" s="23"/>
      <c r="Z5524" s="43"/>
      <c r="AA5524" s="23"/>
      <c r="AB5524" s="23"/>
      <c r="AC5524" s="23"/>
      <c r="AD5524" s="23"/>
      <c r="AE5524" s="23"/>
      <c r="AF5524" s="23"/>
      <c r="AG5524" s="23"/>
      <c r="AH5524" s="23"/>
    </row>
    <row r="5525" spans="1:34">
      <c r="A5525" s="23"/>
      <c r="B5525" s="42"/>
      <c r="G5525" s="43"/>
      <c r="H5525" s="44"/>
      <c r="L5525" s="42"/>
      <c r="M5525" s="42"/>
      <c r="N5525" s="25"/>
      <c r="O5525" s="54"/>
      <c r="P5525"/>
      <c r="Q5525" s="25"/>
      <c r="R5525" s="54"/>
      <c r="W5525" s="23"/>
      <c r="X5525" s="23"/>
      <c r="Y5525" s="23"/>
      <c r="Z5525" s="43"/>
      <c r="AA5525" s="23"/>
      <c r="AB5525" s="23"/>
      <c r="AC5525" s="23"/>
      <c r="AD5525" s="23"/>
      <c r="AE5525" s="23"/>
      <c r="AF5525" s="23"/>
      <c r="AG5525" s="23"/>
      <c r="AH5525" s="23"/>
    </row>
    <row r="5526" spans="1:34">
      <c r="A5526" s="23"/>
      <c r="B5526" s="42"/>
      <c r="G5526" s="43"/>
      <c r="H5526" s="44"/>
      <c r="L5526" s="42"/>
      <c r="M5526" s="42"/>
      <c r="N5526" s="25"/>
      <c r="O5526" s="54"/>
      <c r="P5526"/>
      <c r="Q5526" s="25"/>
      <c r="R5526" s="54"/>
      <c r="W5526" s="23"/>
      <c r="X5526" s="23"/>
      <c r="Y5526" s="23"/>
      <c r="Z5526" s="43"/>
      <c r="AA5526" s="23"/>
      <c r="AB5526" s="23"/>
      <c r="AC5526" s="23"/>
      <c r="AD5526" s="23"/>
      <c r="AE5526" s="23"/>
      <c r="AF5526" s="23"/>
      <c r="AG5526" s="23"/>
      <c r="AH5526" s="23"/>
    </row>
    <row r="5527" spans="1:34">
      <c r="A5527" s="23"/>
      <c r="B5527" s="42"/>
      <c r="G5527" s="43"/>
      <c r="H5527" s="44"/>
      <c r="L5527" s="42"/>
      <c r="M5527" s="42"/>
      <c r="N5527" s="25"/>
      <c r="O5527" s="54"/>
      <c r="P5527"/>
      <c r="Q5527" s="25"/>
      <c r="R5527" s="54"/>
      <c r="W5527" s="23"/>
      <c r="X5527" s="23"/>
      <c r="Y5527" s="23"/>
      <c r="Z5527" s="43"/>
      <c r="AA5527" s="23"/>
      <c r="AB5527" s="23"/>
      <c r="AC5527" s="23"/>
      <c r="AD5527" s="23"/>
      <c r="AE5527" s="23"/>
      <c r="AF5527" s="23"/>
      <c r="AG5527" s="23"/>
      <c r="AH5527" s="23"/>
    </row>
    <row r="5528" spans="1:34">
      <c r="A5528" s="23"/>
      <c r="B5528" s="42"/>
      <c r="G5528" s="43"/>
      <c r="H5528" s="44"/>
      <c r="L5528" s="42"/>
      <c r="M5528" s="42"/>
      <c r="N5528" s="25"/>
      <c r="O5528" s="54"/>
      <c r="P5528"/>
      <c r="Q5528" s="25"/>
      <c r="R5528" s="54"/>
      <c r="W5528" s="23"/>
      <c r="X5528" s="23"/>
      <c r="Y5528" s="23"/>
      <c r="Z5528" s="43"/>
      <c r="AA5528" s="23"/>
      <c r="AB5528" s="23"/>
      <c r="AC5528" s="23"/>
      <c r="AD5528" s="23"/>
      <c r="AE5528" s="23"/>
      <c r="AF5528" s="23"/>
      <c r="AG5528" s="23"/>
      <c r="AH5528" s="23"/>
    </row>
    <row r="5529" spans="1:34">
      <c r="A5529" s="23"/>
      <c r="B5529" s="42"/>
      <c r="G5529" s="43"/>
      <c r="H5529" s="44"/>
      <c r="L5529" s="42"/>
      <c r="M5529" s="42"/>
      <c r="N5529" s="25"/>
      <c r="O5529" s="54"/>
      <c r="P5529"/>
      <c r="Q5529" s="25"/>
      <c r="R5529" s="54"/>
      <c r="W5529" s="23"/>
      <c r="X5529" s="23"/>
      <c r="Y5529" s="23"/>
      <c r="Z5529" s="43"/>
      <c r="AA5529" s="23"/>
      <c r="AB5529" s="23"/>
      <c r="AC5529" s="23"/>
      <c r="AD5529" s="23"/>
      <c r="AE5529" s="23"/>
      <c r="AF5529" s="23"/>
      <c r="AG5529" s="23"/>
      <c r="AH5529" s="23"/>
    </row>
    <row r="5530" spans="1:34">
      <c r="B5530" s="42"/>
      <c r="G5530" s="43"/>
      <c r="H5530" s="44"/>
      <c r="L5530" s="42"/>
      <c r="M5530" s="42"/>
      <c r="N5530" s="25"/>
      <c r="O5530" s="54"/>
      <c r="P5530"/>
      <c r="Q5530" s="25"/>
      <c r="R5530" s="54"/>
      <c r="W5530" s="23"/>
      <c r="X5530" s="23"/>
      <c r="Y5530" s="23"/>
      <c r="Z5530" s="43"/>
      <c r="AA5530" s="23"/>
      <c r="AB5530" s="23"/>
      <c r="AC5530" s="23"/>
      <c r="AD5530" s="23"/>
      <c r="AE5530" s="23"/>
      <c r="AF5530" s="23"/>
      <c r="AG5530" s="23"/>
      <c r="AH5530" s="23"/>
    </row>
    <row r="5531" spans="1:34">
      <c r="B5531" s="42"/>
      <c r="G5531" s="43"/>
      <c r="H5531" s="44"/>
      <c r="L5531" s="42"/>
      <c r="M5531" s="42"/>
      <c r="N5531" s="25"/>
      <c r="O5531" s="54"/>
      <c r="P5531"/>
      <c r="Q5531" s="25"/>
      <c r="R5531" s="54"/>
      <c r="W5531" s="23"/>
      <c r="X5531" s="23"/>
      <c r="Y5531" s="23"/>
      <c r="Z5531" s="43"/>
      <c r="AA5531" s="23"/>
      <c r="AB5531" s="23"/>
      <c r="AC5531" s="23"/>
      <c r="AD5531" s="23"/>
      <c r="AE5531" s="23"/>
      <c r="AF5531" s="23"/>
      <c r="AG5531" s="23"/>
      <c r="AH5531" s="23"/>
    </row>
    <row r="5532" spans="1:34">
      <c r="B5532" s="42"/>
      <c r="G5532" s="43"/>
      <c r="H5532" s="44"/>
      <c r="L5532" s="42"/>
      <c r="M5532" s="42"/>
      <c r="N5532" s="25"/>
      <c r="O5532" s="54"/>
      <c r="P5532"/>
      <c r="Q5532" s="25"/>
      <c r="R5532" s="54"/>
      <c r="W5532" s="23"/>
      <c r="X5532" s="23"/>
      <c r="Y5532" s="23"/>
      <c r="Z5532" s="43"/>
      <c r="AA5532" s="23"/>
      <c r="AB5532" s="23"/>
      <c r="AC5532" s="23"/>
      <c r="AD5532" s="23"/>
      <c r="AE5532" s="23"/>
      <c r="AF5532" s="23"/>
      <c r="AG5532" s="23"/>
      <c r="AH5532" s="23"/>
    </row>
    <row r="5533" spans="1:34">
      <c r="B5533" s="42"/>
      <c r="G5533" s="43"/>
      <c r="H5533" s="44"/>
      <c r="L5533" s="42"/>
      <c r="M5533" s="42"/>
      <c r="N5533" s="25"/>
      <c r="O5533" s="54"/>
      <c r="P5533"/>
      <c r="Q5533" s="25"/>
      <c r="R5533" s="54"/>
      <c r="W5533" s="23"/>
      <c r="X5533" s="23"/>
      <c r="Y5533" s="23"/>
      <c r="Z5533" s="43"/>
      <c r="AA5533" s="23"/>
      <c r="AB5533" s="23"/>
      <c r="AC5533" s="23"/>
      <c r="AD5533" s="23"/>
      <c r="AE5533" s="23"/>
      <c r="AF5533" s="23"/>
      <c r="AG5533" s="23"/>
      <c r="AH5533" s="23"/>
    </row>
    <row r="5534" spans="1:34">
      <c r="B5534" s="42"/>
      <c r="G5534" s="43"/>
      <c r="H5534" s="44"/>
      <c r="L5534" s="42"/>
      <c r="M5534" s="42"/>
      <c r="N5534" s="25"/>
      <c r="O5534" s="54"/>
      <c r="P5534"/>
      <c r="Q5534" s="25"/>
      <c r="R5534" s="54"/>
      <c r="W5534" s="23"/>
      <c r="X5534" s="23"/>
      <c r="Y5534" s="23"/>
      <c r="Z5534" s="43"/>
      <c r="AA5534" s="23"/>
      <c r="AB5534" s="23"/>
      <c r="AC5534" s="23"/>
      <c r="AD5534" s="23"/>
      <c r="AE5534" s="23"/>
      <c r="AF5534" s="23"/>
      <c r="AG5534" s="23"/>
      <c r="AH5534" s="23"/>
    </row>
    <row r="5535" spans="1:34">
      <c r="B5535" s="42"/>
      <c r="G5535" s="43"/>
      <c r="H5535" s="44"/>
      <c r="L5535" s="42"/>
      <c r="M5535" s="42"/>
      <c r="N5535" s="25"/>
      <c r="O5535" s="54"/>
      <c r="P5535"/>
      <c r="Q5535" s="25"/>
      <c r="R5535" s="54"/>
      <c r="W5535" s="23"/>
      <c r="X5535" s="23"/>
      <c r="Y5535" s="23"/>
      <c r="Z5535" s="43"/>
      <c r="AA5535" s="23"/>
      <c r="AB5535" s="23"/>
      <c r="AC5535" s="23"/>
      <c r="AD5535" s="23"/>
      <c r="AE5535" s="23"/>
      <c r="AF5535" s="23"/>
      <c r="AG5535" s="23"/>
      <c r="AH5535" s="23"/>
    </row>
    <row r="5536" spans="1:34">
      <c r="B5536" s="42"/>
      <c r="G5536" s="43"/>
      <c r="H5536" s="44"/>
      <c r="L5536" s="42"/>
      <c r="M5536" s="42"/>
      <c r="N5536" s="25"/>
      <c r="O5536" s="54"/>
      <c r="P5536"/>
      <c r="Q5536" s="25"/>
      <c r="R5536" s="54"/>
      <c r="W5536" s="23"/>
      <c r="X5536" s="23"/>
      <c r="Y5536" s="23"/>
      <c r="Z5536" s="43"/>
      <c r="AA5536" s="23"/>
      <c r="AB5536" s="23"/>
      <c r="AC5536" s="23"/>
      <c r="AD5536" s="23"/>
      <c r="AE5536" s="23"/>
      <c r="AF5536" s="23"/>
      <c r="AG5536" s="23"/>
      <c r="AH5536" s="23"/>
    </row>
    <row r="5537" spans="1:35">
      <c r="B5537" s="42"/>
      <c r="G5537" s="43"/>
      <c r="H5537" s="44"/>
      <c r="L5537" s="42"/>
      <c r="M5537" s="42"/>
      <c r="N5537" s="25"/>
      <c r="O5537" s="54"/>
      <c r="P5537"/>
      <c r="Q5537" s="25"/>
      <c r="R5537" s="54"/>
      <c r="W5537" s="23"/>
      <c r="X5537" s="23"/>
      <c r="Y5537" s="23"/>
      <c r="Z5537" s="43"/>
      <c r="AA5537" s="23"/>
      <c r="AB5537" s="23"/>
      <c r="AC5537" s="23"/>
      <c r="AD5537" s="23"/>
      <c r="AE5537" s="23"/>
      <c r="AF5537" s="23"/>
      <c r="AG5537" s="23"/>
      <c r="AH5537" s="23"/>
    </row>
    <row r="5538" spans="1:35">
      <c r="B5538" s="42"/>
      <c r="G5538" s="43"/>
      <c r="H5538" s="44"/>
      <c r="L5538" s="42"/>
      <c r="M5538" s="42"/>
      <c r="N5538" s="25"/>
      <c r="O5538" s="54"/>
      <c r="P5538"/>
      <c r="Q5538" s="25"/>
      <c r="R5538" s="54"/>
      <c r="W5538" s="23"/>
      <c r="X5538" s="23"/>
      <c r="Y5538" s="23"/>
      <c r="Z5538" s="43"/>
      <c r="AA5538" s="23"/>
      <c r="AB5538" s="23"/>
      <c r="AC5538" s="23"/>
      <c r="AD5538" s="23"/>
      <c r="AE5538" s="23"/>
      <c r="AF5538" s="23"/>
      <c r="AG5538" s="23"/>
      <c r="AH5538" s="23"/>
    </row>
    <row r="5539" spans="1:35">
      <c r="B5539" s="42"/>
      <c r="G5539" s="43"/>
      <c r="H5539" s="44"/>
      <c r="L5539" s="42"/>
      <c r="M5539" s="42"/>
      <c r="N5539" s="25"/>
      <c r="O5539" s="54"/>
      <c r="P5539"/>
      <c r="Q5539" s="25"/>
      <c r="R5539" s="54"/>
      <c r="W5539" s="23"/>
      <c r="X5539" s="23"/>
      <c r="Y5539" s="23"/>
      <c r="Z5539" s="43"/>
      <c r="AA5539" s="23"/>
      <c r="AB5539" s="23"/>
      <c r="AC5539" s="23"/>
      <c r="AD5539" s="23"/>
      <c r="AE5539" s="23"/>
      <c r="AF5539" s="23"/>
      <c r="AG5539" s="23"/>
      <c r="AH5539" s="23"/>
    </row>
    <row r="5540" spans="1:35">
      <c r="B5540" s="42"/>
      <c r="G5540" s="43"/>
      <c r="H5540" s="44"/>
      <c r="L5540" s="42"/>
      <c r="M5540" s="42"/>
      <c r="N5540" s="25"/>
      <c r="O5540" s="54"/>
      <c r="P5540"/>
      <c r="Q5540" s="25"/>
      <c r="R5540" s="54"/>
      <c r="W5540" s="23"/>
      <c r="X5540" s="23"/>
      <c r="Y5540" s="23"/>
      <c r="Z5540" s="43"/>
      <c r="AA5540" s="23"/>
      <c r="AB5540" s="23"/>
      <c r="AC5540" s="23"/>
      <c r="AD5540" s="23"/>
      <c r="AE5540" s="23"/>
      <c r="AF5540" s="23"/>
      <c r="AG5540" s="23"/>
      <c r="AH5540" s="23"/>
    </row>
    <row r="5541" spans="1:35">
      <c r="B5541" s="42"/>
      <c r="G5541" s="43"/>
      <c r="H5541" s="44"/>
      <c r="L5541" s="42"/>
      <c r="M5541" s="42"/>
      <c r="N5541" s="25"/>
      <c r="O5541" s="54"/>
      <c r="P5541"/>
      <c r="Q5541" s="25"/>
      <c r="R5541" s="54"/>
      <c r="W5541" s="23"/>
      <c r="X5541" s="23"/>
      <c r="Y5541" s="23"/>
      <c r="Z5541" s="43"/>
      <c r="AA5541" s="23"/>
      <c r="AB5541" s="23"/>
      <c r="AC5541" s="23"/>
      <c r="AD5541" s="23"/>
      <c r="AE5541" s="23"/>
      <c r="AF5541" s="23"/>
      <c r="AG5541" s="23"/>
      <c r="AH5541" s="23"/>
    </row>
    <row r="5542" spans="1:35">
      <c r="B5542" s="42"/>
      <c r="G5542" s="43"/>
      <c r="H5542" s="44"/>
      <c r="L5542" s="42"/>
      <c r="M5542" s="42"/>
      <c r="N5542" s="25"/>
      <c r="O5542" s="54"/>
      <c r="P5542"/>
      <c r="Q5542" s="25"/>
      <c r="R5542" s="54"/>
      <c r="W5542" s="23"/>
      <c r="X5542" s="23"/>
      <c r="Y5542" s="23"/>
      <c r="Z5542" s="43"/>
      <c r="AA5542" s="23"/>
      <c r="AB5542" s="23"/>
      <c r="AC5542" s="23"/>
      <c r="AD5542" s="23"/>
      <c r="AE5542" s="23"/>
      <c r="AF5542" s="23"/>
      <c r="AG5542" s="23"/>
      <c r="AH5542" s="23"/>
    </row>
    <row r="5543" spans="1:35">
      <c r="B5543" s="42"/>
      <c r="G5543" s="43"/>
      <c r="H5543" s="44"/>
      <c r="L5543" s="42"/>
      <c r="M5543" s="42"/>
      <c r="N5543" s="25"/>
      <c r="O5543" s="54"/>
      <c r="P5543"/>
      <c r="Q5543" s="25"/>
      <c r="R5543" s="54"/>
      <c r="W5543" s="23"/>
      <c r="X5543" s="23"/>
      <c r="Y5543" s="23"/>
      <c r="Z5543" s="43"/>
      <c r="AA5543" s="23"/>
      <c r="AB5543" s="23"/>
      <c r="AC5543" s="23"/>
      <c r="AD5543" s="23"/>
      <c r="AE5543" s="23"/>
      <c r="AF5543" s="23"/>
      <c r="AG5543" s="23"/>
      <c r="AH5543" s="23"/>
    </row>
    <row r="5544" spans="1:35">
      <c r="B5544" s="42"/>
      <c r="G5544" s="43"/>
      <c r="H5544" s="44"/>
      <c r="L5544" s="42"/>
      <c r="M5544" s="42"/>
      <c r="N5544" s="25"/>
      <c r="O5544" s="54"/>
      <c r="P5544"/>
      <c r="Q5544" s="25"/>
      <c r="R5544" s="54"/>
      <c r="W5544" s="23"/>
      <c r="X5544" s="23"/>
      <c r="Y5544" s="23"/>
      <c r="Z5544" s="43"/>
      <c r="AA5544" s="23"/>
      <c r="AB5544" s="23"/>
      <c r="AC5544" s="23"/>
      <c r="AD5544" s="23"/>
      <c r="AE5544" s="23"/>
      <c r="AF5544" s="23"/>
      <c r="AG5544" s="23"/>
      <c r="AH5544" s="23"/>
    </row>
    <row r="5545" spans="1:35">
      <c r="B5545" s="42"/>
      <c r="G5545" s="43"/>
      <c r="H5545" s="44"/>
      <c r="L5545" s="42"/>
      <c r="M5545" s="42"/>
      <c r="N5545" s="25"/>
      <c r="O5545" s="54"/>
      <c r="P5545"/>
      <c r="Q5545" s="25"/>
      <c r="R5545" s="54"/>
      <c r="W5545" s="23"/>
      <c r="X5545" s="23"/>
      <c r="Y5545" s="23"/>
      <c r="Z5545" s="43"/>
      <c r="AA5545" s="23"/>
      <c r="AB5545" s="23"/>
      <c r="AC5545" s="23"/>
      <c r="AD5545" s="23"/>
      <c r="AE5545" s="23"/>
      <c r="AF5545" s="23"/>
      <c r="AG5545" s="23"/>
      <c r="AH5545" s="23"/>
    </row>
    <row r="5546" spans="1:35">
      <c r="B5546" s="42"/>
      <c r="G5546" s="43"/>
      <c r="H5546" s="44"/>
      <c r="L5546" s="42"/>
      <c r="M5546" s="42"/>
      <c r="N5546" s="25"/>
      <c r="O5546" s="54"/>
      <c r="P5546"/>
      <c r="Q5546" s="25"/>
      <c r="R5546" s="54"/>
      <c r="W5546" s="23"/>
      <c r="X5546" s="23"/>
      <c r="Y5546" s="23"/>
      <c r="Z5546" s="43"/>
      <c r="AA5546" s="23"/>
      <c r="AB5546" s="23"/>
      <c r="AC5546" s="23"/>
      <c r="AD5546" s="23"/>
      <c r="AE5546" s="23"/>
      <c r="AF5546" s="23"/>
      <c r="AG5546" s="23"/>
      <c r="AH5546" s="23"/>
    </row>
    <row r="5547" spans="1:35">
      <c r="B5547" s="42"/>
      <c r="G5547" s="43"/>
      <c r="H5547" s="44"/>
      <c r="L5547" s="42"/>
      <c r="M5547" s="42"/>
      <c r="N5547" s="25"/>
      <c r="O5547" s="54"/>
      <c r="P5547"/>
      <c r="Q5547" s="25"/>
      <c r="R5547" s="54"/>
      <c r="W5547" s="23"/>
      <c r="X5547" s="23"/>
      <c r="Y5547" s="23"/>
      <c r="Z5547" s="43"/>
      <c r="AA5547" s="23"/>
      <c r="AB5547" s="23"/>
      <c r="AC5547" s="23"/>
      <c r="AD5547" s="23"/>
      <c r="AE5547" s="23"/>
      <c r="AF5547" s="23"/>
      <c r="AG5547" s="23"/>
      <c r="AH5547" s="23"/>
    </row>
    <row r="5548" spans="1:35">
      <c r="B5548" s="42"/>
      <c r="G5548" s="43"/>
      <c r="H5548" s="44"/>
      <c r="L5548" s="42"/>
      <c r="M5548" s="42"/>
      <c r="N5548" s="25"/>
      <c r="O5548" s="54"/>
      <c r="P5548"/>
      <c r="Q5548" s="25"/>
      <c r="R5548" s="54"/>
      <c r="W5548" s="23"/>
      <c r="X5548" s="23"/>
      <c r="Y5548" s="23"/>
      <c r="Z5548" s="43"/>
      <c r="AA5548" s="23"/>
      <c r="AB5548" s="23"/>
      <c r="AC5548" s="23"/>
      <c r="AD5548" s="23"/>
      <c r="AE5548" s="23"/>
      <c r="AF5548" s="23"/>
      <c r="AG5548" s="23"/>
      <c r="AH5548" s="23"/>
    </row>
    <row r="5549" spans="1:35">
      <c r="B5549" s="42"/>
      <c r="G5549" s="43"/>
      <c r="H5549" s="44"/>
      <c r="L5549" s="42"/>
      <c r="M5549" s="42"/>
      <c r="N5549" s="25"/>
      <c r="O5549" s="54"/>
      <c r="P5549"/>
      <c r="Q5549" s="25"/>
      <c r="R5549" s="54"/>
      <c r="W5549" s="23"/>
      <c r="X5549" s="23"/>
      <c r="Y5549" s="23"/>
      <c r="Z5549" s="43"/>
      <c r="AA5549" s="23"/>
      <c r="AB5549" s="23"/>
      <c r="AC5549" s="23"/>
      <c r="AD5549" s="23"/>
      <c r="AE5549" s="23"/>
      <c r="AF5549" s="23"/>
      <c r="AG5549" s="23"/>
      <c r="AH5549" s="23"/>
    </row>
    <row r="5550" spans="1:35">
      <c r="B5550" s="42"/>
      <c r="G5550" s="43"/>
      <c r="H5550" s="44"/>
      <c r="L5550" s="42"/>
      <c r="M5550" s="42"/>
      <c r="N5550" s="25"/>
      <c r="O5550" s="54"/>
      <c r="P5550"/>
      <c r="Q5550" s="25"/>
      <c r="R5550" s="54"/>
      <c r="W5550" s="23"/>
      <c r="X5550" s="23"/>
      <c r="Y5550" s="23"/>
      <c r="Z5550" s="43"/>
      <c r="AA5550" s="23"/>
      <c r="AB5550" s="23"/>
      <c r="AC5550" s="23"/>
      <c r="AD5550" s="23"/>
      <c r="AE5550" s="23"/>
      <c r="AF5550" s="23"/>
      <c r="AG5550" s="23"/>
      <c r="AH5550" s="23"/>
    </row>
    <row r="5551" spans="1:35">
      <c r="B5551" s="42"/>
      <c r="G5551" s="43"/>
      <c r="H5551" s="44"/>
      <c r="L5551" s="42"/>
      <c r="M5551" s="42"/>
      <c r="N5551" s="25"/>
      <c r="O5551" s="54"/>
      <c r="P5551"/>
      <c r="Q5551" s="25"/>
      <c r="R5551" s="54"/>
      <c r="W5551" s="23"/>
      <c r="X5551" s="23"/>
      <c r="Y5551" s="23"/>
      <c r="Z5551" s="43"/>
      <c r="AA5551" s="23"/>
      <c r="AB5551" s="23"/>
      <c r="AC5551" s="23"/>
      <c r="AD5551" s="23"/>
      <c r="AE5551" s="23"/>
      <c r="AF5551" s="23"/>
      <c r="AG5551" s="23"/>
      <c r="AH5551" s="23"/>
    </row>
    <row r="5552" spans="1:35">
      <c r="A5552" s="50"/>
      <c r="B5552" s="42"/>
      <c r="C5552" s="49"/>
      <c r="E5552" s="49"/>
      <c r="G5552" s="43"/>
      <c r="H5552" s="44"/>
      <c r="L5552" s="42"/>
      <c r="M5552" s="42"/>
      <c r="N5552" s="25"/>
      <c r="O5552" s="54"/>
      <c r="P5552"/>
      <c r="Q5552" s="25"/>
      <c r="R5552" s="54"/>
      <c r="W5552" s="23"/>
      <c r="X5552" s="23"/>
      <c r="Y5552" s="23"/>
      <c r="Z5552" s="43"/>
      <c r="AA5552" s="23"/>
      <c r="AB5552" s="23"/>
      <c r="AC5552" s="23"/>
      <c r="AD5552" s="23"/>
      <c r="AE5552" s="23"/>
      <c r="AF5552" s="23"/>
      <c r="AG5552" s="23"/>
      <c r="AH5552" s="23"/>
      <c r="AI5552" s="49"/>
    </row>
    <row r="5553" spans="1:35">
      <c r="B5553" s="42"/>
      <c r="G5553" s="43"/>
      <c r="H5553" s="44"/>
      <c r="L5553" s="42"/>
      <c r="M5553" s="42"/>
      <c r="N5553" s="25"/>
      <c r="O5553" s="54"/>
      <c r="P5553"/>
      <c r="Q5553" s="25"/>
      <c r="R5553" s="54"/>
      <c r="W5553" s="23"/>
      <c r="X5553" s="23"/>
      <c r="Y5553" s="23"/>
      <c r="Z5553" s="43"/>
      <c r="AA5553" s="23"/>
      <c r="AB5553" s="23"/>
      <c r="AC5553" s="23"/>
      <c r="AD5553" s="23"/>
      <c r="AE5553" s="23"/>
      <c r="AF5553" s="23"/>
      <c r="AG5553" s="23"/>
      <c r="AH5553" s="23"/>
    </row>
    <row r="5554" spans="1:35">
      <c r="B5554" s="42"/>
      <c r="G5554" s="43"/>
      <c r="H5554" s="44"/>
      <c r="L5554" s="42"/>
      <c r="M5554" s="42"/>
      <c r="N5554" s="25"/>
      <c r="O5554" s="54"/>
      <c r="P5554"/>
      <c r="Q5554" s="25"/>
      <c r="R5554" s="54"/>
      <c r="W5554" s="23"/>
      <c r="X5554" s="23"/>
      <c r="Y5554" s="23"/>
      <c r="Z5554" s="43"/>
      <c r="AA5554" s="23"/>
      <c r="AB5554" s="23"/>
      <c r="AC5554" s="23"/>
      <c r="AD5554" s="23"/>
      <c r="AE5554" s="23"/>
      <c r="AF5554" s="23"/>
      <c r="AG5554" s="23"/>
      <c r="AH5554" s="23"/>
    </row>
    <row r="5555" spans="1:35">
      <c r="B5555" s="42"/>
      <c r="G5555" s="43"/>
      <c r="H5555" s="44"/>
      <c r="L5555" s="42"/>
      <c r="M5555" s="42"/>
      <c r="N5555" s="25"/>
      <c r="O5555" s="54"/>
      <c r="P5555"/>
      <c r="Q5555" s="25"/>
      <c r="R5555" s="54"/>
      <c r="W5555" s="23"/>
      <c r="X5555" s="23"/>
      <c r="Y5555" s="23"/>
      <c r="Z5555" s="43"/>
      <c r="AA5555" s="23"/>
      <c r="AB5555" s="23"/>
      <c r="AC5555" s="23"/>
      <c r="AD5555" s="23"/>
      <c r="AE5555" s="23"/>
      <c r="AF5555" s="23"/>
      <c r="AG5555" s="23"/>
      <c r="AH5555" s="23"/>
    </row>
    <row r="5556" spans="1:35">
      <c r="B5556" s="42"/>
      <c r="G5556" s="43"/>
      <c r="H5556" s="44"/>
      <c r="L5556" s="42"/>
      <c r="M5556" s="42"/>
      <c r="N5556" s="25"/>
      <c r="O5556" s="54"/>
      <c r="P5556"/>
      <c r="Q5556" s="25"/>
      <c r="R5556" s="54"/>
      <c r="W5556" s="23"/>
      <c r="X5556" s="23"/>
      <c r="Y5556" s="23"/>
      <c r="Z5556" s="43"/>
      <c r="AA5556" s="23"/>
      <c r="AB5556" s="23"/>
      <c r="AC5556" s="23"/>
      <c r="AD5556" s="23"/>
      <c r="AE5556" s="23"/>
      <c r="AF5556" s="23"/>
      <c r="AG5556" s="23"/>
      <c r="AH5556" s="23"/>
    </row>
    <row r="5557" spans="1:35">
      <c r="B5557" s="42"/>
      <c r="G5557" s="43"/>
      <c r="H5557" s="44"/>
      <c r="L5557" s="42"/>
      <c r="M5557" s="42"/>
      <c r="N5557" s="25"/>
      <c r="O5557" s="54"/>
      <c r="P5557"/>
      <c r="Q5557" s="25"/>
      <c r="R5557" s="54"/>
      <c r="W5557" s="23"/>
      <c r="X5557" s="23"/>
      <c r="Y5557" s="23"/>
      <c r="Z5557" s="43"/>
      <c r="AA5557" s="23"/>
      <c r="AB5557" s="23"/>
      <c r="AC5557" s="23"/>
      <c r="AD5557" s="23"/>
      <c r="AE5557" s="23"/>
      <c r="AF5557" s="23"/>
      <c r="AG5557" s="23"/>
      <c r="AH5557" s="23"/>
    </row>
    <row r="5558" spans="1:35">
      <c r="B5558" s="42"/>
      <c r="G5558" s="43"/>
      <c r="H5558" s="44"/>
      <c r="L5558" s="42"/>
      <c r="M5558" s="42"/>
      <c r="N5558" s="25"/>
      <c r="O5558" s="54"/>
      <c r="P5558"/>
      <c r="Q5558" s="25"/>
      <c r="R5558" s="54"/>
      <c r="W5558" s="23"/>
      <c r="X5558" s="23"/>
      <c r="Y5558" s="23"/>
      <c r="Z5558" s="43"/>
      <c r="AA5558" s="23"/>
      <c r="AB5558" s="23"/>
      <c r="AC5558" s="23"/>
      <c r="AD5558" s="23"/>
      <c r="AE5558" s="23"/>
      <c r="AF5558" s="23"/>
      <c r="AG5558" s="23"/>
      <c r="AH5558" s="23"/>
    </row>
    <row r="5559" spans="1:35">
      <c r="B5559" s="42"/>
      <c r="G5559" s="43"/>
      <c r="H5559" s="44"/>
      <c r="L5559" s="42"/>
      <c r="M5559" s="42"/>
      <c r="N5559" s="25"/>
      <c r="O5559" s="54"/>
      <c r="P5559"/>
      <c r="Q5559" s="25"/>
      <c r="R5559" s="54"/>
      <c r="W5559" s="23"/>
      <c r="X5559" s="23"/>
      <c r="Y5559" s="23"/>
      <c r="Z5559" s="43"/>
      <c r="AA5559" s="23"/>
      <c r="AB5559" s="23"/>
      <c r="AC5559" s="23"/>
      <c r="AD5559" s="23"/>
      <c r="AE5559" s="23"/>
      <c r="AF5559" s="23"/>
      <c r="AG5559" s="23"/>
      <c r="AH5559" s="23"/>
    </row>
    <row r="5560" spans="1:35">
      <c r="B5560" s="42"/>
      <c r="G5560" s="43"/>
      <c r="H5560" s="44"/>
      <c r="L5560" s="42"/>
      <c r="M5560" s="42"/>
      <c r="N5560" s="25"/>
      <c r="O5560" s="54"/>
      <c r="P5560"/>
      <c r="Q5560" s="25"/>
      <c r="R5560" s="54"/>
      <c r="W5560" s="23"/>
      <c r="X5560" s="23"/>
      <c r="Y5560" s="23"/>
      <c r="Z5560" s="43"/>
      <c r="AA5560" s="23"/>
      <c r="AB5560" s="23"/>
      <c r="AC5560" s="23"/>
      <c r="AD5560" s="23"/>
      <c r="AE5560" s="23"/>
      <c r="AF5560" s="23"/>
      <c r="AG5560" s="23"/>
      <c r="AH5560" s="23"/>
    </row>
    <row r="5561" spans="1:35">
      <c r="B5561" s="42"/>
      <c r="G5561" s="43"/>
      <c r="H5561" s="44"/>
      <c r="L5561" s="42"/>
      <c r="M5561" s="42"/>
      <c r="N5561" s="25"/>
      <c r="O5561" s="54"/>
      <c r="P5561"/>
      <c r="Q5561" s="25"/>
      <c r="R5561" s="54"/>
      <c r="W5561" s="23"/>
      <c r="X5561" s="23"/>
      <c r="Y5561" s="23"/>
      <c r="Z5561" s="43"/>
      <c r="AA5561" s="23"/>
      <c r="AB5561" s="23"/>
      <c r="AC5561" s="23"/>
      <c r="AD5561" s="23"/>
      <c r="AE5561" s="23"/>
      <c r="AF5561" s="23"/>
      <c r="AG5561" s="23"/>
      <c r="AH5561" s="23"/>
    </row>
    <row r="5562" spans="1:35">
      <c r="B5562" s="42"/>
      <c r="G5562" s="43"/>
      <c r="H5562" s="44"/>
      <c r="L5562" s="42"/>
      <c r="M5562" s="42"/>
      <c r="N5562" s="25"/>
      <c r="O5562" s="54"/>
      <c r="P5562"/>
      <c r="Q5562" s="25"/>
      <c r="R5562" s="54"/>
      <c r="W5562" s="23"/>
      <c r="X5562" s="23"/>
      <c r="Y5562" s="23"/>
      <c r="Z5562" s="43"/>
      <c r="AA5562" s="23"/>
      <c r="AB5562" s="23"/>
      <c r="AC5562" s="23"/>
      <c r="AD5562" s="23"/>
      <c r="AE5562" s="23"/>
      <c r="AF5562" s="23"/>
      <c r="AG5562" s="23"/>
      <c r="AH5562" s="23"/>
    </row>
    <row r="5563" spans="1:35">
      <c r="B5563" s="42"/>
      <c r="G5563" s="43"/>
      <c r="H5563" s="44"/>
      <c r="L5563" s="42"/>
      <c r="M5563" s="42"/>
      <c r="N5563" s="25"/>
      <c r="O5563" s="54"/>
      <c r="P5563"/>
      <c r="Q5563" s="25"/>
      <c r="R5563" s="54"/>
      <c r="W5563" s="23"/>
      <c r="X5563" s="23"/>
      <c r="Y5563" s="23"/>
      <c r="Z5563" s="43"/>
      <c r="AA5563" s="23"/>
      <c r="AB5563" s="23"/>
      <c r="AC5563" s="23"/>
      <c r="AD5563" s="23"/>
      <c r="AE5563" s="23"/>
      <c r="AF5563" s="23"/>
      <c r="AG5563" s="23"/>
      <c r="AH5563" s="23"/>
    </row>
    <row r="5564" spans="1:35">
      <c r="B5564" s="42"/>
      <c r="G5564" s="43"/>
      <c r="H5564" s="44"/>
      <c r="L5564" s="42"/>
      <c r="M5564" s="42"/>
      <c r="N5564" s="25"/>
      <c r="O5564" s="54"/>
      <c r="P5564"/>
      <c r="Q5564" s="25"/>
      <c r="R5564" s="54"/>
      <c r="W5564" s="23"/>
      <c r="X5564" s="23"/>
      <c r="Y5564" s="23"/>
      <c r="Z5564" s="43"/>
      <c r="AA5564" s="23"/>
      <c r="AB5564" s="23"/>
      <c r="AC5564" s="23"/>
      <c r="AD5564" s="23"/>
      <c r="AE5564" s="23"/>
      <c r="AF5564" s="23"/>
      <c r="AG5564" s="23"/>
      <c r="AH5564" s="23"/>
    </row>
    <row r="5565" spans="1:35">
      <c r="B5565" s="42"/>
      <c r="G5565" s="43"/>
      <c r="H5565" s="44"/>
      <c r="L5565" s="42"/>
      <c r="M5565" s="42"/>
      <c r="N5565" s="25"/>
      <c r="O5565" s="54"/>
      <c r="P5565"/>
      <c r="Q5565" s="25"/>
      <c r="R5565" s="54"/>
      <c r="W5565" s="23"/>
      <c r="X5565" s="23"/>
      <c r="Y5565" s="23"/>
      <c r="Z5565" s="43"/>
      <c r="AA5565" s="23"/>
      <c r="AB5565" s="23"/>
      <c r="AC5565" s="23"/>
      <c r="AD5565" s="23"/>
      <c r="AE5565" s="23"/>
      <c r="AF5565" s="23"/>
      <c r="AG5565" s="23"/>
      <c r="AH5565" s="23"/>
    </row>
    <row r="5566" spans="1:35">
      <c r="A5566" s="23"/>
      <c r="B5566" s="42"/>
      <c r="C5566" s="49"/>
      <c r="E5566" s="49"/>
      <c r="G5566" s="43"/>
      <c r="H5566" s="44"/>
      <c r="L5566" s="42"/>
      <c r="M5566" s="42"/>
      <c r="N5566" s="25"/>
      <c r="O5566" s="54"/>
      <c r="P5566"/>
      <c r="Q5566" s="25"/>
      <c r="R5566" s="54"/>
      <c r="W5566" s="23"/>
      <c r="X5566" s="23"/>
      <c r="Y5566" s="23"/>
      <c r="Z5566" s="43"/>
      <c r="AA5566" s="23"/>
      <c r="AB5566" s="23"/>
      <c r="AC5566" s="23"/>
      <c r="AD5566" s="23"/>
      <c r="AE5566" s="23"/>
      <c r="AF5566" s="23"/>
      <c r="AG5566" s="23"/>
      <c r="AH5566" s="23"/>
      <c r="AI5566" s="49"/>
    </row>
    <row r="5567" spans="1:35">
      <c r="B5567" s="42"/>
      <c r="G5567" s="43"/>
      <c r="H5567" s="44"/>
      <c r="L5567" s="42"/>
      <c r="M5567" s="42"/>
      <c r="N5567" s="25"/>
      <c r="O5567" s="54"/>
      <c r="P5567"/>
      <c r="Q5567" s="25"/>
      <c r="R5567" s="54"/>
      <c r="W5567" s="23"/>
      <c r="X5567" s="23"/>
      <c r="Y5567" s="23"/>
      <c r="Z5567" s="43"/>
      <c r="AA5567" s="23"/>
      <c r="AB5567" s="23"/>
      <c r="AC5567" s="23"/>
      <c r="AD5567" s="23"/>
      <c r="AE5567" s="23"/>
      <c r="AF5567" s="23"/>
      <c r="AG5567" s="23"/>
      <c r="AH5567" s="23"/>
    </row>
    <row r="5568" spans="1:35">
      <c r="B5568" s="42"/>
      <c r="G5568" s="43"/>
      <c r="H5568" s="44"/>
      <c r="L5568" s="42"/>
      <c r="M5568" s="42"/>
      <c r="N5568" s="25"/>
      <c r="O5568" s="54"/>
      <c r="P5568"/>
      <c r="Q5568" s="25"/>
      <c r="R5568" s="54"/>
      <c r="W5568" s="23"/>
      <c r="X5568" s="23"/>
      <c r="Y5568" s="23"/>
      <c r="Z5568" s="43"/>
      <c r="AA5568" s="23"/>
      <c r="AB5568" s="23"/>
      <c r="AC5568" s="23"/>
      <c r="AD5568" s="23"/>
      <c r="AE5568" s="23"/>
      <c r="AF5568" s="23"/>
      <c r="AG5568" s="23"/>
      <c r="AH5568" s="23"/>
    </row>
    <row r="5569" spans="1:35">
      <c r="B5569" s="42"/>
      <c r="G5569" s="43"/>
      <c r="H5569" s="44"/>
      <c r="L5569" s="42"/>
      <c r="M5569" s="42"/>
      <c r="N5569" s="25"/>
      <c r="O5569" s="54"/>
      <c r="P5569"/>
      <c r="Q5569" s="25"/>
      <c r="R5569" s="54"/>
      <c r="W5569" s="23"/>
      <c r="X5569" s="23"/>
      <c r="Y5569" s="23"/>
      <c r="Z5569" s="43"/>
      <c r="AA5569" s="23"/>
      <c r="AB5569" s="23"/>
      <c r="AC5569" s="23"/>
      <c r="AD5569" s="23"/>
      <c r="AE5569" s="23"/>
      <c r="AF5569" s="23"/>
      <c r="AG5569" s="23"/>
      <c r="AH5569" s="23"/>
    </row>
    <row r="5570" spans="1:35">
      <c r="B5570" s="42"/>
      <c r="G5570" s="43"/>
      <c r="H5570" s="44"/>
      <c r="L5570" s="42"/>
      <c r="M5570" s="42"/>
      <c r="N5570" s="25"/>
      <c r="O5570" s="54"/>
      <c r="P5570"/>
      <c r="Q5570" s="25"/>
      <c r="R5570" s="54"/>
      <c r="W5570" s="23"/>
      <c r="X5570" s="23"/>
      <c r="Y5570" s="23"/>
      <c r="Z5570" s="43"/>
      <c r="AA5570" s="23"/>
      <c r="AB5570" s="23"/>
      <c r="AC5570" s="23"/>
      <c r="AD5570" s="23"/>
      <c r="AE5570" s="23"/>
      <c r="AF5570" s="23"/>
      <c r="AG5570" s="23"/>
      <c r="AH5570" s="23"/>
    </row>
    <row r="5571" spans="1:35">
      <c r="B5571" s="42"/>
      <c r="G5571" s="43"/>
      <c r="H5571" s="44"/>
      <c r="L5571" s="42"/>
      <c r="M5571" s="42"/>
      <c r="N5571" s="25"/>
      <c r="O5571" s="54"/>
      <c r="P5571"/>
      <c r="Q5571" s="25"/>
      <c r="R5571" s="54"/>
      <c r="W5571" s="23"/>
      <c r="X5571" s="23"/>
      <c r="Y5571" s="23"/>
      <c r="Z5571" s="43"/>
      <c r="AA5571" s="23"/>
      <c r="AB5571" s="23"/>
      <c r="AC5571" s="23"/>
      <c r="AD5571" s="23"/>
      <c r="AE5571" s="23"/>
      <c r="AF5571" s="23"/>
      <c r="AG5571" s="23"/>
      <c r="AH5571" s="23"/>
    </row>
    <row r="5572" spans="1:35">
      <c r="B5572" s="42"/>
      <c r="G5572" s="43"/>
      <c r="H5572" s="44"/>
      <c r="L5572" s="42"/>
      <c r="M5572" s="42"/>
      <c r="N5572" s="25"/>
      <c r="O5572" s="54"/>
      <c r="P5572"/>
      <c r="Q5572" s="25"/>
      <c r="R5572" s="54"/>
      <c r="W5572" s="23"/>
      <c r="X5572" s="23"/>
      <c r="Y5572" s="23"/>
      <c r="Z5572" s="43"/>
      <c r="AA5572" s="23"/>
      <c r="AB5572" s="23"/>
      <c r="AC5572" s="23"/>
      <c r="AD5572" s="23"/>
      <c r="AE5572" s="23"/>
      <c r="AF5572" s="23"/>
      <c r="AG5572" s="23"/>
      <c r="AH5572" s="23"/>
    </row>
    <row r="5573" spans="1:35">
      <c r="A5573" s="23"/>
      <c r="B5573" s="42"/>
      <c r="C5573" s="49"/>
      <c r="E5573" s="49"/>
      <c r="G5573" s="43"/>
      <c r="H5573" s="44"/>
      <c r="L5573" s="42"/>
      <c r="M5573" s="42"/>
      <c r="N5573" s="25"/>
      <c r="O5573" s="54"/>
      <c r="P5573"/>
      <c r="Q5573" s="25"/>
      <c r="R5573" s="54"/>
      <c r="W5573" s="23"/>
      <c r="X5573" s="23"/>
      <c r="Y5573" s="23"/>
      <c r="Z5573" s="43"/>
      <c r="AA5573" s="23"/>
      <c r="AB5573" s="23"/>
      <c r="AC5573" s="23"/>
      <c r="AD5573" s="23"/>
      <c r="AE5573" s="23"/>
      <c r="AF5573" s="23"/>
      <c r="AG5573" s="23"/>
      <c r="AH5573" s="23"/>
      <c r="AI5573" s="49"/>
    </row>
    <row r="5574" spans="1:35">
      <c r="B5574" s="42"/>
      <c r="G5574" s="43"/>
      <c r="H5574" s="44"/>
      <c r="L5574" s="42"/>
      <c r="M5574" s="42"/>
      <c r="N5574" s="25"/>
      <c r="O5574" s="54"/>
      <c r="P5574"/>
      <c r="Q5574" s="25"/>
      <c r="R5574" s="54"/>
      <c r="W5574" s="23"/>
      <c r="X5574" s="23"/>
      <c r="Y5574" s="23"/>
      <c r="Z5574" s="43"/>
      <c r="AA5574" s="23"/>
      <c r="AB5574" s="23"/>
      <c r="AC5574" s="23"/>
      <c r="AD5574" s="23"/>
      <c r="AE5574" s="23"/>
      <c r="AF5574" s="23"/>
      <c r="AG5574" s="23"/>
      <c r="AH5574" s="23"/>
    </row>
    <row r="5575" spans="1:35">
      <c r="B5575" s="42"/>
      <c r="G5575" s="43"/>
      <c r="H5575" s="44"/>
      <c r="L5575" s="42"/>
      <c r="M5575" s="42"/>
      <c r="N5575" s="25"/>
      <c r="O5575" s="54"/>
      <c r="P5575"/>
      <c r="Q5575" s="25"/>
      <c r="R5575" s="54"/>
      <c r="W5575" s="23"/>
      <c r="X5575" s="23"/>
      <c r="Y5575" s="23"/>
      <c r="Z5575" s="43"/>
      <c r="AA5575" s="23"/>
      <c r="AB5575" s="23"/>
      <c r="AC5575" s="23"/>
      <c r="AD5575" s="23"/>
      <c r="AE5575" s="23"/>
      <c r="AF5575" s="23"/>
      <c r="AG5575" s="23"/>
      <c r="AH5575" s="23"/>
    </row>
    <row r="5576" spans="1:35">
      <c r="B5576" s="42"/>
      <c r="G5576" s="43"/>
      <c r="H5576" s="44"/>
      <c r="L5576" s="42"/>
      <c r="M5576" s="42"/>
      <c r="N5576" s="25"/>
      <c r="O5576" s="54"/>
      <c r="P5576"/>
      <c r="Q5576" s="25"/>
      <c r="R5576" s="54"/>
      <c r="W5576" s="23"/>
      <c r="X5576" s="23"/>
      <c r="Y5576" s="23"/>
      <c r="Z5576" s="43"/>
      <c r="AA5576" s="23"/>
      <c r="AB5576" s="23"/>
      <c r="AC5576" s="23"/>
      <c r="AD5576" s="23"/>
      <c r="AE5576" s="23"/>
      <c r="AF5576" s="23"/>
      <c r="AG5576" s="23"/>
      <c r="AH5576" s="23"/>
    </row>
    <row r="5577" spans="1:35">
      <c r="B5577" s="42"/>
      <c r="G5577" s="43"/>
      <c r="H5577" s="44"/>
      <c r="L5577" s="42"/>
      <c r="M5577" s="42"/>
      <c r="N5577" s="25"/>
      <c r="O5577" s="54"/>
      <c r="P5577"/>
      <c r="Q5577" s="25"/>
      <c r="R5577" s="54"/>
      <c r="W5577" s="23"/>
      <c r="X5577" s="23"/>
      <c r="Y5577" s="23"/>
      <c r="Z5577" s="43"/>
      <c r="AA5577" s="23"/>
      <c r="AB5577" s="23"/>
      <c r="AC5577" s="23"/>
      <c r="AD5577" s="23"/>
      <c r="AE5577" s="23"/>
      <c r="AF5577" s="23"/>
      <c r="AG5577" s="23"/>
      <c r="AH5577" s="23"/>
    </row>
    <row r="5578" spans="1:35">
      <c r="B5578" s="42"/>
      <c r="G5578" s="43"/>
      <c r="H5578" s="44"/>
      <c r="L5578" s="42"/>
      <c r="M5578" s="42"/>
      <c r="N5578" s="25"/>
      <c r="O5578" s="54"/>
      <c r="P5578"/>
      <c r="Q5578" s="25"/>
      <c r="R5578" s="54"/>
      <c r="W5578" s="23"/>
      <c r="X5578" s="23"/>
      <c r="Y5578" s="23"/>
      <c r="Z5578" s="43"/>
      <c r="AA5578" s="23"/>
      <c r="AB5578" s="23"/>
      <c r="AC5578" s="23"/>
      <c r="AD5578" s="23"/>
      <c r="AE5578" s="23"/>
      <c r="AF5578" s="23"/>
      <c r="AG5578" s="23"/>
      <c r="AH5578" s="23"/>
    </row>
    <row r="5579" spans="1:35">
      <c r="B5579" s="42"/>
      <c r="G5579" s="43"/>
      <c r="H5579" s="44"/>
      <c r="L5579" s="42"/>
      <c r="M5579" s="42"/>
      <c r="N5579" s="25"/>
      <c r="O5579" s="54"/>
      <c r="P5579"/>
      <c r="Q5579" s="25"/>
      <c r="R5579" s="54"/>
      <c r="W5579" s="23"/>
      <c r="X5579" s="23"/>
      <c r="Y5579" s="23"/>
      <c r="Z5579" s="43"/>
      <c r="AA5579" s="23"/>
      <c r="AB5579" s="23"/>
      <c r="AC5579" s="23"/>
      <c r="AD5579" s="23"/>
      <c r="AE5579" s="23"/>
      <c r="AF5579" s="23"/>
      <c r="AG5579" s="23"/>
      <c r="AH5579" s="23"/>
    </row>
    <row r="5580" spans="1:35">
      <c r="B5580" s="42"/>
      <c r="G5580" s="43"/>
      <c r="H5580" s="44"/>
      <c r="L5580" s="42"/>
      <c r="M5580" s="42"/>
      <c r="N5580" s="25"/>
      <c r="O5580" s="54"/>
      <c r="P5580"/>
      <c r="Q5580" s="25"/>
      <c r="R5580" s="54"/>
      <c r="W5580" s="23"/>
      <c r="X5580" s="23"/>
      <c r="Y5580" s="23"/>
      <c r="Z5580" s="43"/>
      <c r="AA5580" s="23"/>
      <c r="AB5580" s="23"/>
      <c r="AC5580" s="23"/>
      <c r="AD5580" s="23"/>
      <c r="AE5580" s="23"/>
      <c r="AF5580" s="23"/>
      <c r="AG5580" s="23"/>
      <c r="AH5580" s="23"/>
    </row>
    <row r="5581" spans="1:35">
      <c r="B5581" s="42"/>
      <c r="G5581" s="43"/>
      <c r="H5581" s="44"/>
      <c r="L5581" s="42"/>
      <c r="M5581" s="42"/>
      <c r="N5581" s="25"/>
      <c r="O5581" s="54"/>
      <c r="P5581"/>
      <c r="Q5581" s="25"/>
      <c r="R5581" s="54"/>
      <c r="W5581" s="23"/>
      <c r="X5581" s="23"/>
      <c r="Y5581" s="23"/>
      <c r="Z5581" s="43"/>
      <c r="AA5581" s="23"/>
      <c r="AB5581" s="23"/>
      <c r="AC5581" s="23"/>
      <c r="AD5581" s="23"/>
      <c r="AE5581" s="23"/>
      <c r="AF5581" s="23"/>
      <c r="AG5581" s="23"/>
      <c r="AH5581" s="23"/>
    </row>
    <row r="5582" spans="1:35">
      <c r="B5582" s="42"/>
      <c r="G5582" s="43"/>
      <c r="H5582" s="44"/>
      <c r="L5582" s="42"/>
      <c r="M5582" s="42"/>
      <c r="N5582" s="25"/>
      <c r="O5582" s="54"/>
      <c r="P5582"/>
      <c r="Q5582" s="25"/>
      <c r="R5582" s="54"/>
      <c r="W5582" s="23"/>
      <c r="X5582" s="23"/>
      <c r="Y5582" s="23"/>
      <c r="Z5582" s="43"/>
      <c r="AA5582" s="23"/>
      <c r="AB5582" s="23"/>
      <c r="AC5582" s="23"/>
      <c r="AD5582" s="23"/>
      <c r="AE5582" s="23"/>
      <c r="AF5582" s="23"/>
      <c r="AG5582" s="23"/>
      <c r="AH5582" s="23"/>
    </row>
    <row r="5583" spans="1:35">
      <c r="B5583" s="42"/>
      <c r="G5583" s="43"/>
      <c r="H5583" s="44"/>
      <c r="L5583" s="42"/>
      <c r="M5583" s="42"/>
      <c r="N5583" s="25"/>
      <c r="O5583" s="54"/>
      <c r="P5583"/>
      <c r="Q5583" s="25"/>
      <c r="R5583" s="54"/>
      <c r="W5583" s="23"/>
      <c r="X5583" s="23"/>
      <c r="Y5583" s="23"/>
      <c r="Z5583" s="43"/>
      <c r="AA5583" s="23"/>
      <c r="AB5583" s="23"/>
      <c r="AC5583" s="23"/>
      <c r="AD5583" s="23"/>
      <c r="AE5583" s="23"/>
      <c r="AF5583" s="23"/>
      <c r="AG5583" s="23"/>
      <c r="AH5583" s="23"/>
    </row>
    <row r="5584" spans="1:35">
      <c r="B5584" s="42"/>
      <c r="G5584" s="43"/>
      <c r="H5584" s="44"/>
      <c r="L5584" s="42"/>
      <c r="M5584" s="42"/>
      <c r="N5584" s="25"/>
      <c r="O5584" s="54"/>
      <c r="P5584"/>
      <c r="Q5584" s="25"/>
      <c r="R5584" s="54"/>
      <c r="W5584" s="23"/>
      <c r="X5584" s="23"/>
      <c r="Y5584" s="23"/>
      <c r="Z5584" s="43"/>
      <c r="AA5584" s="23"/>
      <c r="AB5584" s="23"/>
      <c r="AC5584" s="23"/>
      <c r="AD5584" s="23"/>
      <c r="AE5584" s="23"/>
      <c r="AF5584" s="23"/>
      <c r="AG5584" s="23"/>
      <c r="AH5584" s="23"/>
    </row>
    <row r="5585" spans="1:35">
      <c r="B5585" s="42"/>
      <c r="G5585" s="43"/>
      <c r="H5585" s="44"/>
      <c r="L5585" s="42"/>
      <c r="M5585" s="42"/>
      <c r="N5585" s="25"/>
      <c r="O5585" s="54"/>
      <c r="P5585"/>
      <c r="Q5585" s="25"/>
      <c r="R5585" s="54"/>
      <c r="W5585" s="23"/>
      <c r="X5585" s="23"/>
      <c r="Y5585" s="23"/>
      <c r="Z5585" s="43"/>
      <c r="AA5585" s="23"/>
      <c r="AB5585" s="23"/>
      <c r="AC5585" s="23"/>
      <c r="AD5585" s="23"/>
      <c r="AE5585" s="23"/>
      <c r="AF5585" s="23"/>
      <c r="AG5585" s="23"/>
      <c r="AH5585" s="23"/>
    </row>
    <row r="5586" spans="1:35">
      <c r="B5586" s="42"/>
      <c r="G5586" s="43"/>
      <c r="H5586" s="44"/>
      <c r="L5586" s="42"/>
      <c r="M5586" s="42"/>
      <c r="N5586" s="25"/>
      <c r="O5586" s="54"/>
      <c r="P5586"/>
      <c r="Q5586" s="25"/>
      <c r="R5586" s="54"/>
      <c r="W5586" s="23"/>
      <c r="X5586" s="23"/>
      <c r="Y5586" s="23"/>
      <c r="Z5586" s="43"/>
      <c r="AA5586" s="23"/>
      <c r="AB5586" s="23"/>
      <c r="AC5586" s="23"/>
      <c r="AD5586" s="23"/>
      <c r="AE5586" s="23"/>
      <c r="AF5586" s="23"/>
      <c r="AG5586" s="23"/>
      <c r="AH5586" s="23"/>
    </row>
    <row r="5587" spans="1:35">
      <c r="B5587" s="42"/>
      <c r="G5587" s="43"/>
      <c r="H5587" s="44"/>
      <c r="L5587" s="42"/>
      <c r="M5587" s="42"/>
      <c r="N5587" s="25"/>
      <c r="O5587" s="54"/>
      <c r="P5587"/>
      <c r="Q5587" s="25"/>
      <c r="R5587" s="54"/>
      <c r="W5587" s="23"/>
      <c r="X5587" s="23"/>
      <c r="Y5587" s="23"/>
      <c r="Z5587" s="43"/>
      <c r="AA5587" s="23"/>
      <c r="AB5587" s="23"/>
      <c r="AC5587" s="23"/>
      <c r="AD5587" s="23"/>
      <c r="AE5587" s="23"/>
      <c r="AF5587" s="23"/>
      <c r="AG5587" s="23"/>
      <c r="AH5587" s="23"/>
    </row>
    <row r="5588" spans="1:35">
      <c r="B5588" s="42"/>
      <c r="G5588" s="43"/>
      <c r="H5588" s="44"/>
      <c r="L5588" s="42"/>
      <c r="M5588" s="42"/>
      <c r="N5588" s="25"/>
      <c r="O5588" s="54"/>
      <c r="P5588"/>
      <c r="Q5588" s="25"/>
      <c r="R5588" s="54"/>
      <c r="W5588" s="23"/>
      <c r="X5588" s="23"/>
      <c r="Y5588" s="23"/>
      <c r="Z5588" s="43"/>
      <c r="AA5588" s="23"/>
      <c r="AB5588" s="23"/>
      <c r="AC5588" s="23"/>
      <c r="AD5588" s="23"/>
      <c r="AE5588" s="23"/>
      <c r="AF5588" s="23"/>
      <c r="AG5588" s="23"/>
      <c r="AH5588" s="23"/>
    </row>
    <row r="5589" spans="1:35">
      <c r="B5589" s="42"/>
      <c r="G5589" s="43"/>
      <c r="H5589" s="44"/>
      <c r="L5589" s="42"/>
      <c r="M5589" s="42"/>
      <c r="N5589" s="25"/>
      <c r="O5589" s="54"/>
      <c r="P5589"/>
      <c r="Q5589" s="25"/>
      <c r="R5589" s="54"/>
      <c r="W5589" s="23"/>
      <c r="X5589" s="23"/>
      <c r="Y5589" s="23"/>
      <c r="Z5589" s="43"/>
      <c r="AA5589" s="23"/>
      <c r="AB5589" s="23"/>
      <c r="AC5589" s="23"/>
      <c r="AD5589" s="23"/>
      <c r="AE5589" s="23"/>
      <c r="AF5589" s="23"/>
      <c r="AG5589" s="23"/>
      <c r="AH5589" s="23"/>
    </row>
    <row r="5590" spans="1:35">
      <c r="B5590" s="42"/>
      <c r="G5590" s="43"/>
      <c r="H5590" s="44"/>
      <c r="L5590" s="42"/>
      <c r="M5590" s="42"/>
      <c r="N5590" s="25"/>
      <c r="O5590" s="54"/>
      <c r="P5590"/>
      <c r="Q5590" s="25"/>
      <c r="R5590" s="54"/>
      <c r="W5590" s="23"/>
      <c r="X5590" s="23"/>
      <c r="Y5590" s="23"/>
      <c r="Z5590" s="43"/>
      <c r="AA5590" s="23"/>
      <c r="AB5590" s="23"/>
      <c r="AC5590" s="23"/>
      <c r="AD5590" s="23"/>
      <c r="AE5590" s="23"/>
      <c r="AF5590" s="23"/>
      <c r="AG5590" s="23"/>
      <c r="AH5590" s="23"/>
    </row>
    <row r="5591" spans="1:35">
      <c r="B5591" s="42"/>
      <c r="G5591" s="43"/>
      <c r="H5591" s="44"/>
      <c r="L5591" s="42"/>
      <c r="M5591" s="42"/>
      <c r="N5591" s="25"/>
      <c r="O5591" s="54"/>
      <c r="P5591"/>
      <c r="Q5591" s="25"/>
      <c r="R5591" s="54"/>
      <c r="W5591" s="23"/>
      <c r="X5591" s="23"/>
      <c r="Y5591" s="23"/>
      <c r="Z5591" s="43"/>
      <c r="AA5591" s="23"/>
      <c r="AB5591" s="23"/>
      <c r="AC5591" s="23"/>
      <c r="AD5591" s="23"/>
      <c r="AE5591" s="23"/>
      <c r="AF5591" s="23"/>
      <c r="AG5591" s="23"/>
      <c r="AH5591" s="23"/>
    </row>
    <row r="5592" spans="1:35">
      <c r="A5592" s="23"/>
      <c r="B5592" s="42"/>
      <c r="C5592" s="49"/>
      <c r="E5592" s="49"/>
      <c r="G5592" s="43"/>
      <c r="H5592" s="44"/>
      <c r="L5592" s="42"/>
      <c r="M5592" s="42"/>
      <c r="N5592" s="25"/>
      <c r="O5592" s="54"/>
      <c r="P5592"/>
      <c r="Q5592" s="25"/>
      <c r="R5592" s="54"/>
      <c r="W5592" s="23"/>
      <c r="X5592" s="23"/>
      <c r="Y5592" s="23"/>
      <c r="Z5592" s="43"/>
      <c r="AA5592" s="23"/>
      <c r="AB5592" s="23"/>
      <c r="AC5592" s="23"/>
      <c r="AD5592" s="23"/>
      <c r="AE5592" s="23"/>
      <c r="AF5592" s="23"/>
      <c r="AG5592" s="23"/>
      <c r="AH5592" s="23"/>
      <c r="AI5592" s="49"/>
    </row>
    <row r="5593" spans="1:35">
      <c r="B5593" s="42"/>
      <c r="G5593" s="43"/>
      <c r="H5593" s="44"/>
      <c r="L5593" s="42"/>
      <c r="M5593" s="42"/>
      <c r="N5593" s="25"/>
      <c r="O5593" s="54"/>
      <c r="P5593"/>
      <c r="Q5593" s="25"/>
      <c r="R5593" s="54"/>
      <c r="W5593" s="23"/>
      <c r="X5593" s="23"/>
      <c r="Y5593" s="23"/>
      <c r="Z5593" s="43"/>
      <c r="AA5593" s="23"/>
      <c r="AB5593" s="23"/>
      <c r="AC5593" s="23"/>
      <c r="AD5593" s="23"/>
      <c r="AE5593" s="23"/>
      <c r="AF5593" s="23"/>
      <c r="AG5593" s="23"/>
      <c r="AH5593" s="23"/>
    </row>
    <row r="5594" spans="1:35">
      <c r="B5594" s="42"/>
      <c r="G5594" s="43"/>
      <c r="H5594" s="44"/>
      <c r="L5594" s="42"/>
      <c r="M5594" s="42"/>
      <c r="N5594" s="25"/>
      <c r="O5594" s="54"/>
      <c r="P5594"/>
      <c r="Q5594" s="25"/>
      <c r="R5594" s="54"/>
      <c r="W5594" s="23"/>
      <c r="X5594" s="23"/>
      <c r="Y5594" s="23"/>
      <c r="Z5594" s="43"/>
      <c r="AA5594" s="23"/>
      <c r="AB5594" s="23"/>
      <c r="AC5594" s="23"/>
      <c r="AD5594" s="23"/>
      <c r="AE5594" s="23"/>
      <c r="AF5594" s="23"/>
      <c r="AG5594" s="23"/>
      <c r="AH5594" s="23"/>
    </row>
    <row r="5595" spans="1:35">
      <c r="B5595" s="42"/>
      <c r="G5595" s="43"/>
      <c r="H5595" s="44"/>
      <c r="L5595" s="42"/>
      <c r="M5595" s="42"/>
      <c r="N5595" s="25"/>
      <c r="O5595" s="54"/>
      <c r="P5595"/>
      <c r="Q5595" s="25"/>
      <c r="R5595" s="54"/>
      <c r="W5595" s="23"/>
      <c r="X5595" s="23"/>
      <c r="Y5595" s="23"/>
      <c r="Z5595" s="43"/>
      <c r="AA5595" s="23"/>
      <c r="AB5595" s="23"/>
      <c r="AC5595" s="23"/>
      <c r="AD5595" s="23"/>
      <c r="AE5595" s="23"/>
      <c r="AF5595" s="23"/>
      <c r="AG5595" s="23"/>
      <c r="AH5595" s="23"/>
    </row>
    <row r="5596" spans="1:35">
      <c r="B5596" s="42"/>
      <c r="G5596" s="43"/>
      <c r="H5596" s="44"/>
      <c r="L5596" s="42"/>
      <c r="M5596" s="42"/>
      <c r="N5596" s="25"/>
      <c r="O5596" s="54"/>
      <c r="P5596"/>
      <c r="Q5596" s="25"/>
      <c r="R5596" s="54"/>
      <c r="W5596" s="23"/>
      <c r="X5596" s="23"/>
      <c r="Y5596" s="23"/>
      <c r="Z5596" s="43"/>
      <c r="AA5596" s="23"/>
      <c r="AB5596" s="23"/>
      <c r="AC5596" s="23"/>
      <c r="AD5596" s="23"/>
      <c r="AE5596" s="23"/>
      <c r="AF5596" s="23"/>
      <c r="AG5596" s="23"/>
      <c r="AH5596" s="23"/>
    </row>
    <row r="5597" spans="1:35">
      <c r="B5597" s="42"/>
      <c r="G5597" s="43"/>
      <c r="H5597" s="44"/>
      <c r="L5597" s="42"/>
      <c r="M5597" s="42"/>
      <c r="N5597" s="25"/>
      <c r="O5597" s="54"/>
      <c r="P5597"/>
      <c r="Q5597" s="25"/>
      <c r="R5597" s="54"/>
      <c r="W5597" s="23"/>
      <c r="X5597" s="23"/>
      <c r="Y5597" s="23"/>
      <c r="Z5597" s="43"/>
      <c r="AA5597" s="23"/>
      <c r="AB5597" s="23"/>
      <c r="AC5597" s="23"/>
      <c r="AD5597" s="23"/>
      <c r="AE5597" s="23"/>
      <c r="AF5597" s="23"/>
      <c r="AG5597" s="23"/>
      <c r="AH5597" s="23"/>
    </row>
    <row r="5598" spans="1:35">
      <c r="B5598" s="42"/>
      <c r="G5598" s="43"/>
      <c r="H5598" s="44"/>
      <c r="L5598" s="42"/>
      <c r="M5598" s="42"/>
      <c r="N5598" s="25"/>
      <c r="O5598" s="54"/>
      <c r="P5598"/>
      <c r="Q5598" s="25"/>
      <c r="R5598" s="54"/>
      <c r="W5598" s="23"/>
      <c r="X5598" s="23"/>
      <c r="Y5598" s="23"/>
      <c r="Z5598" s="43"/>
      <c r="AA5598" s="23"/>
      <c r="AB5598" s="23"/>
      <c r="AC5598" s="23"/>
      <c r="AD5598" s="23"/>
      <c r="AE5598" s="23"/>
      <c r="AF5598" s="23"/>
      <c r="AG5598" s="23"/>
      <c r="AH5598" s="23"/>
    </row>
    <row r="5599" spans="1:35">
      <c r="B5599" s="42"/>
      <c r="G5599" s="43"/>
      <c r="H5599" s="44"/>
      <c r="L5599" s="42"/>
      <c r="M5599" s="42"/>
      <c r="N5599" s="25"/>
      <c r="O5599" s="54"/>
      <c r="P5599"/>
      <c r="Q5599" s="25"/>
      <c r="R5599" s="54"/>
      <c r="W5599" s="23"/>
      <c r="X5599" s="23"/>
      <c r="Y5599" s="23"/>
      <c r="Z5599" s="43"/>
      <c r="AA5599" s="23"/>
      <c r="AB5599" s="23"/>
      <c r="AC5599" s="23"/>
      <c r="AD5599" s="23"/>
      <c r="AE5599" s="23"/>
      <c r="AF5599" s="23"/>
      <c r="AG5599" s="23"/>
      <c r="AH5599" s="23"/>
    </row>
    <row r="5600" spans="1:35">
      <c r="B5600" s="42"/>
      <c r="G5600" s="43"/>
      <c r="H5600" s="44"/>
      <c r="L5600" s="42"/>
      <c r="M5600" s="42"/>
      <c r="N5600" s="25"/>
      <c r="O5600" s="54"/>
      <c r="P5600"/>
      <c r="Q5600" s="25"/>
      <c r="R5600" s="54"/>
      <c r="W5600" s="23"/>
      <c r="X5600" s="23"/>
      <c r="Y5600" s="23"/>
      <c r="Z5600" s="43"/>
      <c r="AA5600" s="23"/>
      <c r="AB5600" s="23"/>
      <c r="AC5600" s="23"/>
      <c r="AD5600" s="23"/>
      <c r="AE5600" s="23"/>
      <c r="AF5600" s="23"/>
      <c r="AG5600" s="23"/>
      <c r="AH5600" s="23"/>
    </row>
    <row r="5601" spans="2:34">
      <c r="B5601" s="42"/>
      <c r="G5601" s="43"/>
      <c r="H5601" s="44"/>
      <c r="L5601" s="42"/>
      <c r="M5601" s="42"/>
      <c r="N5601" s="25"/>
      <c r="O5601" s="54"/>
      <c r="P5601"/>
      <c r="Q5601" s="25"/>
      <c r="R5601" s="54"/>
      <c r="W5601" s="23"/>
      <c r="X5601" s="23"/>
      <c r="Y5601" s="23"/>
      <c r="Z5601" s="43"/>
      <c r="AA5601" s="23"/>
      <c r="AB5601" s="23"/>
      <c r="AC5601" s="23"/>
      <c r="AD5601" s="23"/>
      <c r="AE5601" s="23"/>
      <c r="AF5601" s="23"/>
      <c r="AG5601" s="23"/>
      <c r="AH5601" s="23"/>
    </row>
    <row r="5602" spans="2:34">
      <c r="B5602" s="42"/>
      <c r="G5602" s="43"/>
      <c r="H5602" s="44"/>
      <c r="L5602" s="42"/>
      <c r="M5602" s="42"/>
      <c r="N5602" s="25"/>
      <c r="O5602" s="54"/>
      <c r="P5602"/>
      <c r="Q5602" s="25"/>
      <c r="R5602" s="54"/>
      <c r="W5602" s="23"/>
      <c r="X5602" s="23"/>
      <c r="Y5602" s="23"/>
      <c r="Z5602" s="43"/>
      <c r="AA5602" s="23"/>
      <c r="AB5602" s="23"/>
      <c r="AC5602" s="23"/>
      <c r="AD5602" s="23"/>
      <c r="AE5602" s="23"/>
      <c r="AF5602" s="23"/>
      <c r="AG5602" s="23"/>
      <c r="AH5602" s="23"/>
    </row>
    <row r="5603" spans="2:34">
      <c r="B5603" s="42"/>
      <c r="G5603" s="43"/>
      <c r="H5603" s="44"/>
      <c r="L5603" s="42"/>
      <c r="M5603" s="42"/>
      <c r="N5603" s="25"/>
      <c r="O5603" s="54"/>
      <c r="P5603"/>
      <c r="Q5603" s="25"/>
      <c r="R5603" s="54"/>
      <c r="W5603" s="23"/>
      <c r="X5603" s="23"/>
      <c r="Y5603" s="23"/>
      <c r="Z5603" s="43"/>
      <c r="AA5603" s="23"/>
      <c r="AB5603" s="23"/>
      <c r="AC5603" s="23"/>
      <c r="AD5603" s="23"/>
      <c r="AE5603" s="23"/>
      <c r="AF5603" s="23"/>
      <c r="AG5603" s="23"/>
      <c r="AH5603" s="23"/>
    </row>
    <row r="5604" spans="2:34">
      <c r="B5604" s="42"/>
      <c r="G5604" s="43"/>
      <c r="H5604" s="44"/>
      <c r="L5604" s="42"/>
      <c r="M5604" s="42"/>
      <c r="N5604" s="25"/>
      <c r="O5604" s="54"/>
      <c r="P5604"/>
      <c r="Q5604" s="25"/>
      <c r="R5604" s="54"/>
      <c r="W5604" s="23"/>
      <c r="X5604" s="23"/>
      <c r="Y5604" s="23"/>
      <c r="Z5604" s="43"/>
      <c r="AA5604" s="23"/>
      <c r="AB5604" s="23"/>
      <c r="AC5604" s="23"/>
      <c r="AD5604" s="23"/>
      <c r="AE5604" s="23"/>
      <c r="AF5604" s="23"/>
      <c r="AG5604" s="23"/>
      <c r="AH5604" s="23"/>
    </row>
    <row r="5605" spans="2:34">
      <c r="B5605" s="42"/>
      <c r="G5605" s="43"/>
      <c r="H5605" s="44"/>
      <c r="L5605" s="42"/>
      <c r="M5605" s="42"/>
      <c r="N5605" s="25"/>
      <c r="O5605" s="54"/>
      <c r="P5605"/>
      <c r="Q5605" s="25"/>
      <c r="R5605" s="54"/>
      <c r="W5605" s="23"/>
      <c r="X5605" s="23"/>
      <c r="Y5605" s="23"/>
      <c r="Z5605" s="43"/>
      <c r="AA5605" s="23"/>
      <c r="AB5605" s="23"/>
      <c r="AC5605" s="23"/>
      <c r="AD5605" s="23"/>
      <c r="AE5605" s="23"/>
      <c r="AF5605" s="23"/>
      <c r="AG5605" s="23"/>
      <c r="AH5605" s="23"/>
    </row>
    <row r="5606" spans="2:34">
      <c r="B5606" s="42"/>
      <c r="G5606" s="43"/>
      <c r="H5606" s="44"/>
      <c r="L5606" s="42"/>
      <c r="M5606" s="42"/>
      <c r="N5606" s="25"/>
      <c r="O5606" s="54"/>
      <c r="P5606"/>
      <c r="Q5606" s="25"/>
      <c r="R5606" s="54"/>
      <c r="W5606" s="23"/>
      <c r="X5606" s="23"/>
      <c r="Y5606" s="23"/>
      <c r="Z5606" s="43"/>
      <c r="AA5606" s="23"/>
      <c r="AB5606" s="23"/>
      <c r="AC5606" s="23"/>
      <c r="AD5606" s="23"/>
      <c r="AE5606" s="23"/>
      <c r="AF5606" s="23"/>
      <c r="AG5606" s="23"/>
      <c r="AH5606" s="23"/>
    </row>
    <row r="5607" spans="2:34">
      <c r="B5607" s="42"/>
      <c r="G5607" s="43"/>
      <c r="H5607" s="44"/>
      <c r="L5607" s="42"/>
      <c r="M5607" s="42"/>
      <c r="N5607" s="25"/>
      <c r="O5607" s="54"/>
      <c r="P5607"/>
      <c r="Q5607" s="25"/>
      <c r="R5607" s="54"/>
      <c r="W5607" s="23"/>
      <c r="X5607" s="23"/>
      <c r="Y5607" s="23"/>
      <c r="Z5607" s="43"/>
      <c r="AA5607" s="23"/>
      <c r="AB5607" s="23"/>
      <c r="AC5607" s="23"/>
      <c r="AD5607" s="23"/>
      <c r="AE5607" s="23"/>
      <c r="AF5607" s="23"/>
      <c r="AG5607" s="23"/>
      <c r="AH5607" s="23"/>
    </row>
    <row r="5608" spans="2:34">
      <c r="B5608" s="42"/>
      <c r="G5608" s="43"/>
      <c r="H5608" s="44"/>
      <c r="L5608" s="42"/>
      <c r="M5608" s="42"/>
      <c r="N5608" s="25"/>
      <c r="O5608" s="54"/>
      <c r="P5608"/>
      <c r="Q5608" s="25"/>
      <c r="R5608" s="54"/>
      <c r="W5608" s="23"/>
      <c r="X5608" s="23"/>
      <c r="Y5608" s="23"/>
      <c r="Z5608" s="43"/>
      <c r="AA5608" s="23"/>
      <c r="AB5608" s="23"/>
      <c r="AC5608" s="23"/>
      <c r="AD5608" s="23"/>
      <c r="AE5608" s="23"/>
      <c r="AF5608" s="23"/>
      <c r="AG5608" s="23"/>
      <c r="AH5608" s="23"/>
    </row>
    <row r="5609" spans="2:34">
      <c r="B5609" s="42"/>
      <c r="G5609" s="43"/>
      <c r="H5609" s="44"/>
      <c r="L5609" s="42"/>
      <c r="M5609" s="42"/>
      <c r="N5609" s="25"/>
      <c r="O5609" s="54"/>
      <c r="P5609"/>
      <c r="Q5609" s="25"/>
      <c r="R5609" s="54"/>
      <c r="W5609" s="23"/>
      <c r="X5609" s="23"/>
      <c r="Y5609" s="23"/>
      <c r="Z5609" s="43"/>
      <c r="AA5609" s="23"/>
      <c r="AB5609" s="23"/>
      <c r="AC5609" s="23"/>
      <c r="AD5609" s="23"/>
      <c r="AE5609" s="23"/>
      <c r="AF5609" s="23"/>
      <c r="AG5609" s="23"/>
      <c r="AH5609" s="23"/>
    </row>
    <row r="5610" spans="2:34">
      <c r="B5610" s="42"/>
      <c r="G5610" s="43"/>
      <c r="H5610" s="44"/>
      <c r="L5610" s="42"/>
      <c r="M5610" s="42"/>
      <c r="N5610" s="25"/>
      <c r="O5610" s="54"/>
      <c r="P5610"/>
      <c r="Q5610" s="25"/>
      <c r="R5610" s="54"/>
      <c r="W5610" s="23"/>
      <c r="X5610" s="23"/>
      <c r="Y5610" s="23"/>
      <c r="Z5610" s="43"/>
      <c r="AA5610" s="23"/>
      <c r="AB5610" s="23"/>
      <c r="AC5610" s="23"/>
      <c r="AD5610" s="23"/>
      <c r="AE5610" s="23"/>
      <c r="AF5610" s="23"/>
      <c r="AG5610" s="23"/>
      <c r="AH5610" s="23"/>
    </row>
    <row r="5611" spans="2:34">
      <c r="B5611" s="42"/>
      <c r="G5611" s="43"/>
      <c r="H5611" s="44"/>
      <c r="L5611" s="42"/>
      <c r="M5611" s="42"/>
      <c r="N5611" s="25"/>
      <c r="O5611" s="54"/>
      <c r="P5611"/>
      <c r="Q5611" s="25"/>
      <c r="R5611" s="54"/>
      <c r="W5611" s="23"/>
      <c r="X5611" s="23"/>
      <c r="Y5611" s="23"/>
      <c r="Z5611" s="43"/>
      <c r="AA5611" s="23"/>
      <c r="AB5611" s="23"/>
      <c r="AC5611" s="23"/>
      <c r="AD5611" s="23"/>
      <c r="AE5611" s="23"/>
      <c r="AF5611" s="23"/>
      <c r="AG5611" s="23"/>
      <c r="AH5611" s="23"/>
    </row>
    <row r="5612" spans="2:34">
      <c r="B5612" s="42"/>
      <c r="G5612" s="43"/>
      <c r="H5612" s="44"/>
      <c r="L5612" s="42"/>
      <c r="M5612" s="42"/>
      <c r="N5612" s="25"/>
      <c r="O5612" s="54"/>
      <c r="P5612"/>
      <c r="Q5612" s="25"/>
      <c r="R5612" s="54"/>
      <c r="W5612" s="23"/>
      <c r="X5612" s="23"/>
      <c r="Y5612" s="23"/>
      <c r="Z5612" s="43"/>
      <c r="AA5612" s="23"/>
      <c r="AB5612" s="23"/>
      <c r="AC5612" s="23"/>
      <c r="AD5612" s="23"/>
      <c r="AE5612" s="23"/>
      <c r="AF5612" s="23"/>
      <c r="AG5612" s="23"/>
      <c r="AH5612" s="23"/>
    </row>
    <row r="5613" spans="2:34">
      <c r="B5613" s="42"/>
      <c r="G5613" s="43"/>
      <c r="H5613" s="44"/>
      <c r="L5613" s="42"/>
      <c r="M5613" s="42"/>
      <c r="N5613" s="25"/>
      <c r="O5613" s="54"/>
      <c r="P5613"/>
      <c r="Q5613" s="25"/>
      <c r="R5613" s="54"/>
      <c r="W5613" s="23"/>
      <c r="X5613" s="23"/>
      <c r="Y5613" s="23"/>
      <c r="Z5613" s="43"/>
      <c r="AA5613" s="23"/>
      <c r="AB5613" s="23"/>
      <c r="AC5613" s="23"/>
      <c r="AD5613" s="23"/>
      <c r="AE5613" s="23"/>
      <c r="AF5613" s="23"/>
      <c r="AG5613" s="23"/>
      <c r="AH5613" s="23"/>
    </row>
    <row r="5614" spans="2:34">
      <c r="B5614" s="42"/>
      <c r="G5614" s="43"/>
      <c r="H5614" s="44"/>
      <c r="L5614" s="42"/>
      <c r="M5614" s="42"/>
      <c r="N5614" s="25"/>
      <c r="O5614" s="54"/>
      <c r="P5614"/>
      <c r="Q5614" s="25"/>
      <c r="R5614" s="54"/>
      <c r="W5614" s="23"/>
      <c r="X5614" s="23"/>
      <c r="Y5614" s="23"/>
      <c r="Z5614" s="43"/>
      <c r="AA5614" s="23"/>
      <c r="AB5614" s="23"/>
      <c r="AC5614" s="23"/>
      <c r="AD5614" s="23"/>
      <c r="AE5614" s="23"/>
      <c r="AF5614" s="23"/>
      <c r="AG5614" s="23"/>
      <c r="AH5614" s="23"/>
    </row>
    <row r="5615" spans="2:34">
      <c r="B5615" s="42"/>
      <c r="G5615" s="43"/>
      <c r="H5615" s="44"/>
      <c r="L5615" s="42"/>
      <c r="M5615" s="42"/>
      <c r="N5615" s="25"/>
      <c r="O5615" s="54"/>
      <c r="P5615"/>
      <c r="Q5615" s="25"/>
      <c r="R5615" s="54"/>
      <c r="W5615" s="23"/>
      <c r="X5615" s="23"/>
      <c r="Y5615" s="23"/>
      <c r="Z5615" s="43"/>
      <c r="AA5615" s="23"/>
      <c r="AB5615" s="23"/>
      <c r="AC5615" s="23"/>
      <c r="AD5615" s="23"/>
      <c r="AE5615" s="23"/>
      <c r="AF5615" s="23"/>
      <c r="AG5615" s="23"/>
      <c r="AH5615" s="23"/>
    </row>
    <row r="5616" spans="2:34">
      <c r="B5616" s="42"/>
      <c r="G5616" s="43"/>
      <c r="H5616" s="44"/>
      <c r="L5616" s="42"/>
      <c r="M5616" s="42"/>
      <c r="N5616" s="25"/>
      <c r="O5616" s="54"/>
      <c r="P5616"/>
      <c r="Q5616" s="25"/>
      <c r="R5616" s="54"/>
      <c r="W5616" s="23"/>
      <c r="X5616" s="23"/>
      <c r="Y5616" s="23"/>
      <c r="Z5616" s="43"/>
      <c r="AA5616" s="23"/>
      <c r="AB5616" s="23"/>
      <c r="AC5616" s="23"/>
      <c r="AD5616" s="23"/>
      <c r="AE5616" s="23"/>
      <c r="AF5616" s="23"/>
      <c r="AG5616" s="23"/>
      <c r="AH5616" s="23"/>
    </row>
    <row r="5617" spans="2:34">
      <c r="B5617" s="42"/>
      <c r="G5617" s="43"/>
      <c r="H5617" s="44"/>
      <c r="L5617" s="42"/>
      <c r="M5617" s="42"/>
      <c r="N5617" s="25"/>
      <c r="O5617" s="54"/>
      <c r="P5617"/>
      <c r="Q5617" s="25"/>
      <c r="R5617" s="54"/>
      <c r="W5617" s="23"/>
      <c r="X5617" s="23"/>
      <c r="Y5617" s="23"/>
      <c r="Z5617" s="43"/>
      <c r="AA5617" s="23"/>
      <c r="AB5617" s="23"/>
      <c r="AC5617" s="23"/>
      <c r="AD5617" s="23"/>
      <c r="AE5617" s="23"/>
      <c r="AF5617" s="23"/>
      <c r="AG5617" s="23"/>
      <c r="AH5617" s="23"/>
    </row>
    <row r="5618" spans="2:34">
      <c r="B5618" s="42"/>
      <c r="G5618" s="43"/>
      <c r="H5618" s="44"/>
      <c r="L5618" s="42"/>
      <c r="M5618" s="42"/>
      <c r="N5618" s="25"/>
      <c r="O5618" s="54"/>
      <c r="P5618"/>
      <c r="Q5618" s="25"/>
      <c r="R5618" s="54"/>
      <c r="W5618" s="23"/>
      <c r="X5618" s="23"/>
      <c r="Y5618" s="23"/>
      <c r="Z5618" s="43"/>
      <c r="AA5618" s="23"/>
      <c r="AB5618" s="23"/>
      <c r="AC5618" s="23"/>
      <c r="AD5618" s="23"/>
      <c r="AE5618" s="23"/>
      <c r="AF5618" s="23"/>
      <c r="AG5618" s="23"/>
      <c r="AH5618" s="23"/>
    </row>
    <row r="5619" spans="2:34">
      <c r="B5619" s="42"/>
      <c r="G5619" s="43"/>
      <c r="H5619" s="44"/>
      <c r="L5619" s="42"/>
      <c r="M5619" s="42"/>
      <c r="N5619" s="25"/>
      <c r="O5619" s="54"/>
      <c r="P5619"/>
      <c r="Q5619" s="25"/>
      <c r="R5619" s="54"/>
      <c r="W5619" s="23"/>
      <c r="X5619" s="23"/>
      <c r="Y5619" s="23"/>
      <c r="Z5619" s="43"/>
      <c r="AA5619" s="23"/>
      <c r="AB5619" s="23"/>
      <c r="AC5619" s="23"/>
      <c r="AD5619" s="23"/>
      <c r="AE5619" s="23"/>
      <c r="AF5619" s="23"/>
      <c r="AG5619" s="23"/>
      <c r="AH5619" s="23"/>
    </row>
    <row r="5620" spans="2:34">
      <c r="B5620" s="42"/>
      <c r="G5620" s="43"/>
      <c r="H5620" s="44"/>
      <c r="L5620" s="42"/>
      <c r="M5620" s="42"/>
      <c r="N5620" s="25"/>
      <c r="O5620" s="54"/>
      <c r="P5620"/>
      <c r="Q5620" s="25"/>
      <c r="R5620" s="54"/>
      <c r="W5620" s="23"/>
      <c r="X5620" s="23"/>
      <c r="Y5620" s="23"/>
      <c r="Z5620" s="43"/>
      <c r="AA5620" s="23"/>
      <c r="AB5620" s="23"/>
      <c r="AC5620" s="23"/>
      <c r="AD5620" s="23"/>
      <c r="AE5620" s="23"/>
      <c r="AF5620" s="23"/>
      <c r="AG5620" s="23"/>
      <c r="AH5620" s="23"/>
    </row>
    <row r="5621" spans="2:34">
      <c r="B5621" s="42"/>
      <c r="G5621" s="43"/>
      <c r="H5621" s="44"/>
      <c r="L5621" s="42"/>
      <c r="M5621" s="42"/>
      <c r="N5621" s="25"/>
      <c r="O5621" s="54"/>
      <c r="P5621"/>
      <c r="Q5621" s="25"/>
      <c r="R5621" s="54"/>
      <c r="W5621" s="23"/>
      <c r="X5621" s="23"/>
      <c r="Y5621" s="23"/>
      <c r="Z5621" s="43"/>
      <c r="AA5621" s="23"/>
      <c r="AB5621" s="23"/>
      <c r="AC5621" s="23"/>
      <c r="AD5621" s="23"/>
      <c r="AE5621" s="23"/>
      <c r="AF5621" s="23"/>
      <c r="AG5621" s="23"/>
      <c r="AH5621" s="23"/>
    </row>
    <row r="5622" spans="2:34">
      <c r="B5622" s="42"/>
      <c r="G5622" s="43"/>
      <c r="H5622" s="44"/>
      <c r="L5622" s="42"/>
      <c r="M5622" s="42"/>
      <c r="N5622" s="25"/>
      <c r="O5622" s="54"/>
      <c r="P5622"/>
      <c r="Q5622" s="25"/>
      <c r="R5622" s="54"/>
      <c r="W5622" s="23"/>
      <c r="X5622" s="23"/>
      <c r="Y5622" s="23"/>
      <c r="Z5622" s="43"/>
      <c r="AA5622" s="23"/>
      <c r="AB5622" s="23"/>
      <c r="AC5622" s="23"/>
      <c r="AD5622" s="23"/>
      <c r="AE5622" s="23"/>
      <c r="AF5622" s="23"/>
      <c r="AG5622" s="23"/>
      <c r="AH5622" s="23"/>
    </row>
    <row r="5623" spans="2:34">
      <c r="B5623" s="42"/>
      <c r="G5623" s="43"/>
      <c r="H5623" s="44"/>
      <c r="L5623" s="42"/>
      <c r="M5623" s="42"/>
      <c r="N5623" s="25"/>
      <c r="O5623" s="54"/>
      <c r="P5623"/>
      <c r="Q5623" s="25"/>
      <c r="R5623" s="54"/>
      <c r="W5623" s="23"/>
      <c r="X5623" s="23"/>
      <c r="Y5623" s="23"/>
      <c r="Z5623" s="43"/>
      <c r="AA5623" s="23"/>
      <c r="AB5623" s="23"/>
      <c r="AC5623" s="23"/>
      <c r="AD5623" s="23"/>
      <c r="AE5623" s="23"/>
      <c r="AF5623" s="23"/>
      <c r="AG5623" s="23"/>
      <c r="AH5623" s="23"/>
    </row>
    <row r="5624" spans="2:34">
      <c r="B5624" s="42"/>
      <c r="G5624" s="43"/>
      <c r="H5624" s="44"/>
      <c r="L5624" s="42"/>
      <c r="M5624" s="42"/>
      <c r="N5624" s="25"/>
      <c r="O5624" s="54"/>
      <c r="P5624"/>
      <c r="Q5624" s="25"/>
      <c r="R5624" s="54"/>
      <c r="W5624" s="23"/>
      <c r="X5624" s="23"/>
      <c r="Y5624" s="23"/>
      <c r="Z5624" s="43"/>
      <c r="AA5624" s="23"/>
      <c r="AB5624" s="23"/>
      <c r="AC5624" s="23"/>
      <c r="AD5624" s="23"/>
      <c r="AE5624" s="23"/>
      <c r="AF5624" s="23"/>
      <c r="AG5624" s="23"/>
      <c r="AH5624" s="23"/>
    </row>
    <row r="5625" spans="2:34">
      <c r="B5625" s="42"/>
      <c r="G5625" s="43"/>
      <c r="H5625" s="44"/>
      <c r="L5625" s="42"/>
      <c r="M5625" s="42"/>
      <c r="N5625" s="25"/>
      <c r="O5625" s="54"/>
      <c r="P5625"/>
      <c r="Q5625" s="25"/>
      <c r="R5625" s="54"/>
      <c r="W5625" s="23"/>
      <c r="X5625" s="23"/>
      <c r="Y5625" s="23"/>
      <c r="Z5625" s="43"/>
      <c r="AA5625" s="23"/>
      <c r="AB5625" s="23"/>
      <c r="AC5625" s="23"/>
      <c r="AD5625" s="23"/>
      <c r="AE5625" s="23"/>
      <c r="AF5625" s="23"/>
      <c r="AG5625" s="23"/>
      <c r="AH5625" s="23"/>
    </row>
    <row r="5626" spans="2:34">
      <c r="B5626" s="42"/>
      <c r="G5626" s="43"/>
      <c r="H5626" s="44"/>
      <c r="L5626" s="42"/>
      <c r="M5626" s="42"/>
      <c r="N5626" s="25"/>
      <c r="O5626" s="54"/>
      <c r="P5626"/>
      <c r="Q5626" s="25"/>
      <c r="R5626" s="54"/>
      <c r="W5626" s="23"/>
      <c r="X5626" s="23"/>
      <c r="Y5626" s="23"/>
      <c r="Z5626" s="43"/>
      <c r="AA5626" s="23"/>
      <c r="AB5626" s="23"/>
      <c r="AC5626" s="23"/>
      <c r="AD5626" s="23"/>
      <c r="AE5626" s="23"/>
      <c r="AF5626" s="23"/>
      <c r="AG5626" s="23"/>
      <c r="AH5626" s="23"/>
    </row>
    <row r="5627" spans="2:34">
      <c r="B5627" s="42"/>
      <c r="G5627" s="43"/>
      <c r="H5627" s="44"/>
      <c r="L5627" s="42"/>
      <c r="M5627" s="42"/>
      <c r="N5627" s="25"/>
      <c r="O5627" s="54"/>
      <c r="P5627"/>
      <c r="Q5627" s="25"/>
      <c r="R5627" s="54"/>
      <c r="W5627" s="23"/>
      <c r="X5627" s="23"/>
      <c r="Y5627" s="23"/>
      <c r="Z5627" s="43"/>
      <c r="AA5627" s="23"/>
      <c r="AB5627" s="23"/>
      <c r="AC5627" s="23"/>
      <c r="AD5627" s="23"/>
      <c r="AE5627" s="23"/>
      <c r="AF5627" s="23"/>
      <c r="AG5627" s="23"/>
      <c r="AH5627" s="23"/>
    </row>
    <row r="5628" spans="2:34">
      <c r="B5628" s="42"/>
      <c r="G5628" s="43"/>
      <c r="H5628" s="44"/>
      <c r="L5628" s="42"/>
      <c r="M5628" s="42"/>
      <c r="N5628" s="25"/>
      <c r="O5628" s="54"/>
      <c r="P5628"/>
      <c r="Q5628" s="25"/>
      <c r="R5628" s="54"/>
      <c r="W5628" s="23"/>
      <c r="X5628" s="23"/>
      <c r="Y5628" s="23"/>
      <c r="Z5628" s="43"/>
      <c r="AA5628" s="23"/>
      <c r="AB5628" s="23"/>
      <c r="AC5628" s="23"/>
      <c r="AD5628" s="23"/>
      <c r="AE5628" s="23"/>
      <c r="AF5628" s="23"/>
      <c r="AG5628" s="23"/>
      <c r="AH5628" s="23"/>
    </row>
    <row r="5629" spans="2:34">
      <c r="B5629" s="42"/>
      <c r="G5629" s="43"/>
      <c r="H5629" s="44"/>
      <c r="L5629" s="42"/>
      <c r="M5629" s="42"/>
      <c r="N5629" s="25"/>
      <c r="O5629" s="54"/>
      <c r="P5629"/>
      <c r="Q5629" s="25"/>
      <c r="R5629" s="54"/>
      <c r="W5629" s="23"/>
      <c r="X5629" s="23"/>
      <c r="Y5629" s="23"/>
      <c r="Z5629" s="43"/>
      <c r="AA5629" s="23"/>
      <c r="AB5629" s="23"/>
      <c r="AC5629" s="23"/>
      <c r="AD5629" s="23"/>
      <c r="AE5629" s="23"/>
      <c r="AF5629" s="23"/>
      <c r="AG5629" s="23"/>
      <c r="AH5629" s="23"/>
    </row>
    <row r="5630" spans="2:34">
      <c r="B5630" s="42"/>
      <c r="G5630" s="43"/>
      <c r="H5630" s="44"/>
      <c r="L5630" s="42"/>
      <c r="M5630" s="42"/>
      <c r="N5630" s="25"/>
      <c r="O5630" s="54"/>
      <c r="P5630"/>
      <c r="Q5630" s="25"/>
      <c r="R5630" s="54"/>
      <c r="W5630" s="23"/>
      <c r="X5630" s="23"/>
      <c r="Y5630" s="23"/>
      <c r="Z5630" s="43"/>
      <c r="AA5630" s="23"/>
      <c r="AB5630" s="23"/>
      <c r="AC5630" s="23"/>
      <c r="AD5630" s="23"/>
      <c r="AE5630" s="23"/>
      <c r="AF5630" s="23"/>
      <c r="AG5630" s="23"/>
      <c r="AH5630" s="23"/>
    </row>
    <row r="5631" spans="2:34">
      <c r="B5631" s="42"/>
      <c r="G5631" s="43"/>
      <c r="H5631" s="44"/>
      <c r="L5631" s="42"/>
      <c r="M5631" s="42"/>
      <c r="N5631" s="25"/>
      <c r="O5631" s="54"/>
      <c r="P5631"/>
      <c r="Q5631" s="25"/>
      <c r="R5631" s="54"/>
      <c r="W5631" s="23"/>
      <c r="X5631" s="23"/>
      <c r="Y5631" s="23"/>
      <c r="Z5631" s="43"/>
      <c r="AA5631" s="23"/>
      <c r="AB5631" s="23"/>
      <c r="AC5631" s="23"/>
      <c r="AD5631" s="23"/>
      <c r="AE5631" s="23"/>
      <c r="AF5631" s="23"/>
      <c r="AG5631" s="23"/>
      <c r="AH5631" s="23"/>
    </row>
    <row r="5632" spans="2:34">
      <c r="B5632" s="42"/>
      <c r="G5632" s="43"/>
      <c r="H5632" s="44"/>
      <c r="L5632" s="42"/>
      <c r="M5632" s="42"/>
      <c r="N5632" s="25"/>
      <c r="O5632" s="54"/>
      <c r="P5632"/>
      <c r="Q5632" s="25"/>
      <c r="R5632" s="54"/>
      <c r="W5632" s="23"/>
      <c r="X5632" s="23"/>
      <c r="Y5632" s="23"/>
      <c r="Z5632" s="43"/>
      <c r="AA5632" s="23"/>
      <c r="AB5632" s="23"/>
      <c r="AC5632" s="23"/>
      <c r="AD5632" s="23"/>
      <c r="AE5632" s="23"/>
      <c r="AF5632" s="23"/>
      <c r="AG5632" s="23"/>
      <c r="AH5632" s="23"/>
    </row>
    <row r="5633" spans="2:34">
      <c r="B5633" s="42"/>
      <c r="G5633" s="43"/>
      <c r="H5633" s="44"/>
      <c r="L5633" s="42"/>
      <c r="M5633" s="42"/>
      <c r="N5633" s="25"/>
      <c r="O5633" s="54"/>
      <c r="P5633"/>
      <c r="Q5633" s="25"/>
      <c r="R5633" s="54"/>
      <c r="W5633" s="23"/>
      <c r="X5633" s="23"/>
      <c r="Y5633" s="23"/>
      <c r="Z5633" s="43"/>
      <c r="AA5633" s="23"/>
      <c r="AB5633" s="23"/>
      <c r="AC5633" s="23"/>
      <c r="AD5633" s="23"/>
      <c r="AE5633" s="23"/>
      <c r="AF5633" s="23"/>
      <c r="AG5633" s="23"/>
      <c r="AH5633" s="23"/>
    </row>
    <row r="5634" spans="2:34">
      <c r="B5634" s="42"/>
      <c r="G5634" s="43"/>
      <c r="H5634" s="44"/>
      <c r="L5634" s="42"/>
      <c r="M5634" s="42"/>
      <c r="N5634" s="25"/>
      <c r="O5634" s="54"/>
      <c r="P5634"/>
      <c r="Q5634" s="25"/>
      <c r="R5634" s="54"/>
      <c r="W5634" s="23"/>
      <c r="X5634" s="23"/>
      <c r="Y5634" s="23"/>
      <c r="Z5634" s="43"/>
      <c r="AA5634" s="23"/>
      <c r="AB5634" s="23"/>
      <c r="AC5634" s="23"/>
      <c r="AD5634" s="23"/>
      <c r="AE5634" s="23"/>
      <c r="AF5634" s="23"/>
      <c r="AG5634" s="23"/>
      <c r="AH5634" s="23"/>
    </row>
    <row r="5635" spans="2:34">
      <c r="B5635" s="42"/>
      <c r="G5635" s="43"/>
      <c r="H5635" s="44"/>
      <c r="L5635" s="42"/>
      <c r="M5635" s="42"/>
      <c r="N5635" s="25"/>
      <c r="O5635" s="54"/>
      <c r="P5635"/>
      <c r="Q5635" s="25"/>
      <c r="R5635" s="54"/>
      <c r="W5635" s="23"/>
      <c r="X5635" s="23"/>
      <c r="Y5635" s="23"/>
      <c r="Z5635" s="43"/>
      <c r="AA5635" s="23"/>
      <c r="AB5635" s="23"/>
      <c r="AC5635" s="23"/>
      <c r="AD5635" s="23"/>
      <c r="AE5635" s="23"/>
      <c r="AF5635" s="23"/>
      <c r="AG5635" s="23"/>
      <c r="AH5635" s="23"/>
    </row>
    <row r="5636" spans="2:34">
      <c r="B5636" s="42"/>
      <c r="G5636" s="43"/>
      <c r="H5636" s="44"/>
      <c r="L5636" s="42"/>
      <c r="M5636" s="42"/>
      <c r="N5636" s="25"/>
      <c r="O5636" s="54"/>
      <c r="P5636"/>
      <c r="Q5636" s="25"/>
      <c r="R5636" s="54"/>
      <c r="W5636" s="23"/>
      <c r="X5636" s="23"/>
      <c r="Y5636" s="23"/>
      <c r="Z5636" s="43"/>
      <c r="AA5636" s="23"/>
      <c r="AB5636" s="23"/>
      <c r="AC5636" s="23"/>
      <c r="AD5636" s="23"/>
      <c r="AE5636" s="23"/>
      <c r="AF5636" s="23"/>
      <c r="AG5636" s="23"/>
      <c r="AH5636" s="23"/>
    </row>
    <row r="5637" spans="2:34">
      <c r="B5637" s="42"/>
      <c r="G5637" s="43"/>
      <c r="H5637" s="44"/>
      <c r="L5637" s="42"/>
      <c r="M5637" s="42"/>
      <c r="N5637" s="25"/>
      <c r="O5637" s="54"/>
      <c r="P5637"/>
      <c r="Q5637" s="25"/>
      <c r="R5637" s="54"/>
      <c r="W5637" s="23"/>
      <c r="X5637" s="23"/>
      <c r="Y5637" s="23"/>
      <c r="Z5637" s="43"/>
      <c r="AA5637" s="23"/>
      <c r="AB5637" s="23"/>
      <c r="AC5637" s="23"/>
      <c r="AD5637" s="23"/>
      <c r="AE5637" s="23"/>
      <c r="AF5637" s="23"/>
      <c r="AG5637" s="23"/>
      <c r="AH5637" s="23"/>
    </row>
    <row r="5638" spans="2:34">
      <c r="B5638" s="42"/>
      <c r="G5638" s="43"/>
      <c r="H5638" s="44"/>
      <c r="L5638" s="42"/>
      <c r="M5638" s="42"/>
      <c r="N5638" s="25"/>
      <c r="O5638" s="54"/>
      <c r="P5638"/>
      <c r="Q5638" s="25"/>
      <c r="R5638" s="54"/>
      <c r="W5638" s="23"/>
      <c r="X5638" s="23"/>
      <c r="Y5638" s="23"/>
      <c r="Z5638" s="43"/>
      <c r="AA5638" s="23"/>
      <c r="AB5638" s="23"/>
      <c r="AC5638" s="23"/>
      <c r="AD5638" s="23"/>
      <c r="AE5638" s="23"/>
      <c r="AF5638" s="23"/>
      <c r="AG5638" s="23"/>
      <c r="AH5638" s="23"/>
    </row>
    <row r="5639" spans="2:34">
      <c r="B5639" s="42"/>
      <c r="G5639" s="43"/>
      <c r="H5639" s="44"/>
      <c r="L5639" s="42"/>
      <c r="M5639" s="42"/>
      <c r="N5639" s="25"/>
      <c r="O5639" s="54"/>
      <c r="P5639"/>
      <c r="Q5639" s="25"/>
      <c r="R5639" s="54"/>
      <c r="W5639" s="23"/>
      <c r="X5639" s="23"/>
      <c r="Y5639" s="23"/>
      <c r="Z5639" s="43"/>
      <c r="AA5639" s="23"/>
      <c r="AB5639" s="23"/>
      <c r="AC5639" s="23"/>
      <c r="AD5639" s="23"/>
      <c r="AE5639" s="23"/>
      <c r="AF5639" s="23"/>
      <c r="AG5639" s="23"/>
      <c r="AH5639" s="23"/>
    </row>
    <row r="5640" spans="2:34">
      <c r="B5640" s="42"/>
      <c r="G5640" s="43"/>
      <c r="H5640" s="44"/>
      <c r="L5640" s="42"/>
      <c r="M5640" s="42"/>
      <c r="N5640" s="25"/>
      <c r="O5640" s="54"/>
      <c r="P5640"/>
      <c r="Q5640" s="25"/>
      <c r="R5640" s="54"/>
      <c r="W5640" s="23"/>
      <c r="X5640" s="23"/>
      <c r="Y5640" s="23"/>
      <c r="Z5640" s="43"/>
      <c r="AA5640" s="23"/>
      <c r="AB5640" s="23"/>
      <c r="AC5640" s="23"/>
      <c r="AD5640" s="23"/>
      <c r="AE5640" s="23"/>
      <c r="AF5640" s="23"/>
      <c r="AG5640" s="23"/>
      <c r="AH5640" s="23"/>
    </row>
    <row r="5641" spans="2:34">
      <c r="B5641" s="42"/>
      <c r="G5641" s="43"/>
      <c r="H5641" s="44"/>
      <c r="L5641" s="42"/>
      <c r="M5641" s="42"/>
      <c r="N5641" s="25"/>
      <c r="O5641" s="54"/>
      <c r="P5641"/>
      <c r="Q5641" s="25"/>
      <c r="R5641" s="54"/>
      <c r="W5641" s="23"/>
      <c r="X5641" s="23"/>
      <c r="Y5641" s="23"/>
      <c r="Z5641" s="43"/>
      <c r="AA5641" s="23"/>
      <c r="AB5641" s="23"/>
      <c r="AC5641" s="23"/>
      <c r="AD5641" s="23"/>
      <c r="AE5641" s="23"/>
      <c r="AF5641" s="23"/>
      <c r="AG5641" s="23"/>
      <c r="AH5641" s="23"/>
    </row>
    <row r="5642" spans="2:34">
      <c r="B5642" s="42"/>
      <c r="G5642" s="43"/>
      <c r="H5642" s="44"/>
      <c r="L5642" s="42"/>
      <c r="M5642" s="42"/>
      <c r="N5642" s="25"/>
      <c r="O5642" s="54"/>
      <c r="P5642"/>
      <c r="Q5642" s="25"/>
      <c r="R5642" s="54"/>
      <c r="W5642" s="23"/>
      <c r="X5642" s="23"/>
      <c r="Y5642" s="23"/>
      <c r="Z5642" s="43"/>
      <c r="AA5642" s="23"/>
      <c r="AB5642" s="23"/>
      <c r="AC5642" s="23"/>
      <c r="AD5642" s="23"/>
      <c r="AE5642" s="23"/>
      <c r="AF5642" s="23"/>
      <c r="AG5642" s="23"/>
      <c r="AH5642" s="23"/>
    </row>
    <row r="5643" spans="2:34">
      <c r="B5643" s="42"/>
      <c r="G5643" s="43"/>
      <c r="H5643" s="44"/>
      <c r="L5643" s="42"/>
      <c r="M5643" s="42"/>
      <c r="N5643" s="25"/>
      <c r="O5643" s="54"/>
      <c r="P5643"/>
      <c r="Q5643" s="25"/>
      <c r="R5643" s="54"/>
      <c r="W5643" s="23"/>
      <c r="X5643" s="23"/>
      <c r="Y5643" s="23"/>
      <c r="Z5643" s="43"/>
      <c r="AA5643" s="23"/>
      <c r="AB5643" s="23"/>
      <c r="AC5643" s="23"/>
      <c r="AD5643" s="23"/>
      <c r="AE5643" s="23"/>
      <c r="AF5643" s="23"/>
      <c r="AG5643" s="23"/>
      <c r="AH5643" s="23"/>
    </row>
    <row r="5644" spans="2:34">
      <c r="B5644" s="42"/>
      <c r="G5644" s="43"/>
      <c r="H5644" s="44"/>
      <c r="L5644" s="42"/>
      <c r="M5644" s="42"/>
      <c r="N5644" s="25"/>
      <c r="O5644" s="54"/>
      <c r="P5644"/>
      <c r="Q5644" s="25"/>
      <c r="R5644" s="54"/>
      <c r="W5644" s="23"/>
      <c r="X5644" s="23"/>
      <c r="Y5644" s="23"/>
      <c r="Z5644" s="43"/>
      <c r="AA5644" s="23"/>
      <c r="AB5644" s="23"/>
      <c r="AC5644" s="23"/>
      <c r="AD5644" s="23"/>
      <c r="AE5644" s="23"/>
      <c r="AF5644" s="23"/>
      <c r="AG5644" s="23"/>
      <c r="AH5644" s="23"/>
    </row>
    <row r="5645" spans="2:34">
      <c r="B5645" s="42"/>
      <c r="G5645" s="43"/>
      <c r="H5645" s="44"/>
      <c r="L5645" s="42"/>
      <c r="M5645" s="42"/>
      <c r="N5645" s="25"/>
      <c r="O5645" s="54"/>
      <c r="P5645"/>
      <c r="Q5645" s="25"/>
      <c r="R5645" s="54"/>
      <c r="W5645" s="23"/>
      <c r="X5645" s="23"/>
      <c r="Y5645" s="23"/>
      <c r="Z5645" s="43"/>
      <c r="AA5645" s="23"/>
      <c r="AB5645" s="23"/>
      <c r="AC5645" s="23"/>
      <c r="AD5645" s="23"/>
      <c r="AE5645" s="23"/>
      <c r="AF5645" s="23"/>
      <c r="AG5645" s="23"/>
      <c r="AH5645" s="23"/>
    </row>
    <row r="5646" spans="2:34">
      <c r="B5646" s="42"/>
      <c r="G5646" s="43"/>
      <c r="H5646" s="44"/>
      <c r="L5646" s="42"/>
      <c r="M5646" s="42"/>
      <c r="N5646" s="25"/>
      <c r="O5646" s="54"/>
      <c r="P5646"/>
      <c r="Q5646" s="25"/>
      <c r="R5646" s="54"/>
      <c r="W5646" s="23"/>
      <c r="X5646" s="23"/>
      <c r="Y5646" s="23"/>
      <c r="Z5646" s="43"/>
      <c r="AA5646" s="23"/>
      <c r="AB5646" s="23"/>
      <c r="AC5646" s="23"/>
      <c r="AD5646" s="23"/>
      <c r="AE5646" s="23"/>
      <c r="AF5646" s="23"/>
      <c r="AG5646" s="23"/>
      <c r="AH5646" s="23"/>
    </row>
    <row r="5647" spans="2:34">
      <c r="B5647" s="42"/>
      <c r="G5647" s="43"/>
      <c r="H5647" s="44"/>
      <c r="L5647" s="42"/>
      <c r="M5647" s="42"/>
      <c r="N5647" s="25"/>
      <c r="O5647" s="54"/>
      <c r="P5647"/>
      <c r="Q5647" s="25"/>
      <c r="R5647" s="54"/>
      <c r="W5647" s="23"/>
      <c r="X5647" s="23"/>
      <c r="Y5647" s="23"/>
      <c r="Z5647" s="43"/>
      <c r="AA5647" s="23"/>
      <c r="AB5647" s="23"/>
      <c r="AC5647" s="23"/>
      <c r="AD5647" s="23"/>
      <c r="AE5647" s="23"/>
      <c r="AF5647" s="23"/>
      <c r="AG5647" s="23"/>
      <c r="AH5647" s="23"/>
    </row>
    <row r="5648" spans="2:34">
      <c r="B5648" s="42"/>
      <c r="G5648" s="43"/>
      <c r="H5648" s="44"/>
      <c r="L5648" s="42"/>
      <c r="M5648" s="42"/>
      <c r="N5648" s="25"/>
      <c r="O5648" s="54"/>
      <c r="P5648"/>
      <c r="Q5648" s="25"/>
      <c r="R5648" s="54"/>
      <c r="W5648" s="23"/>
      <c r="X5648" s="23"/>
      <c r="Y5648" s="23"/>
      <c r="Z5648" s="43"/>
      <c r="AA5648" s="23"/>
      <c r="AB5648" s="23"/>
      <c r="AC5648" s="23"/>
      <c r="AD5648" s="23"/>
      <c r="AE5648" s="23"/>
      <c r="AF5648" s="23"/>
      <c r="AG5648" s="23"/>
      <c r="AH5648" s="23"/>
    </row>
    <row r="5649" spans="1:35">
      <c r="B5649" s="42"/>
      <c r="G5649" s="43"/>
      <c r="H5649" s="44"/>
      <c r="L5649" s="42"/>
      <c r="M5649" s="42"/>
      <c r="N5649" s="25"/>
      <c r="O5649" s="54"/>
      <c r="P5649"/>
      <c r="Q5649" s="25"/>
      <c r="R5649" s="54"/>
      <c r="W5649" s="23"/>
      <c r="X5649" s="23"/>
      <c r="Y5649" s="23"/>
      <c r="Z5649" s="43"/>
      <c r="AA5649" s="23"/>
      <c r="AB5649" s="23"/>
      <c r="AC5649" s="23"/>
      <c r="AD5649" s="23"/>
      <c r="AE5649" s="23"/>
      <c r="AF5649" s="23"/>
      <c r="AG5649" s="23"/>
      <c r="AH5649" s="23"/>
    </row>
    <row r="5650" spans="1:35">
      <c r="B5650" s="42"/>
      <c r="G5650" s="43"/>
      <c r="H5650" s="44"/>
      <c r="L5650" s="42"/>
      <c r="M5650" s="42"/>
      <c r="N5650" s="25"/>
      <c r="O5650" s="54"/>
      <c r="P5650"/>
      <c r="Q5650" s="25"/>
      <c r="R5650" s="54"/>
      <c r="W5650" s="23"/>
      <c r="X5650" s="23"/>
      <c r="Y5650" s="23"/>
      <c r="Z5650" s="43"/>
      <c r="AA5650" s="23"/>
      <c r="AB5650" s="23"/>
      <c r="AC5650" s="23"/>
      <c r="AD5650" s="23"/>
      <c r="AE5650" s="23"/>
      <c r="AF5650" s="23"/>
      <c r="AG5650" s="23"/>
      <c r="AH5650" s="23"/>
    </row>
    <row r="5651" spans="1:35">
      <c r="B5651" s="42"/>
      <c r="G5651" s="43"/>
      <c r="H5651" s="44"/>
      <c r="L5651" s="42"/>
      <c r="M5651" s="42"/>
      <c r="N5651" s="25"/>
      <c r="O5651" s="54"/>
      <c r="P5651"/>
      <c r="Q5651" s="25"/>
      <c r="R5651" s="54"/>
      <c r="W5651" s="23"/>
      <c r="X5651" s="23"/>
      <c r="Y5651" s="23"/>
      <c r="Z5651" s="43"/>
      <c r="AA5651" s="23"/>
      <c r="AB5651" s="23"/>
      <c r="AC5651" s="23"/>
      <c r="AD5651" s="23"/>
      <c r="AE5651" s="23"/>
      <c r="AF5651" s="23"/>
      <c r="AG5651" s="23"/>
      <c r="AH5651" s="23"/>
    </row>
    <row r="5652" spans="1:35">
      <c r="B5652" s="42"/>
      <c r="G5652" s="43"/>
      <c r="H5652" s="44"/>
      <c r="L5652" s="42"/>
      <c r="M5652" s="42"/>
      <c r="N5652" s="25"/>
      <c r="O5652" s="54"/>
      <c r="P5652"/>
      <c r="Q5652" s="25"/>
      <c r="R5652" s="54"/>
      <c r="W5652" s="23"/>
      <c r="X5652" s="23"/>
      <c r="Y5652" s="23"/>
      <c r="Z5652" s="43"/>
      <c r="AA5652" s="23"/>
      <c r="AB5652" s="23"/>
      <c r="AC5652" s="23"/>
      <c r="AD5652" s="23"/>
      <c r="AE5652" s="23"/>
      <c r="AF5652" s="23"/>
      <c r="AG5652" s="23"/>
      <c r="AH5652" s="23"/>
    </row>
    <row r="5653" spans="1:35">
      <c r="B5653" s="42"/>
      <c r="G5653" s="43"/>
      <c r="H5653" s="44"/>
      <c r="L5653" s="42"/>
      <c r="M5653" s="42"/>
      <c r="N5653" s="25"/>
      <c r="O5653" s="54"/>
      <c r="P5653"/>
      <c r="Q5653" s="25"/>
      <c r="R5653" s="54"/>
      <c r="W5653" s="23"/>
      <c r="X5653" s="23"/>
      <c r="Y5653" s="23"/>
      <c r="Z5653" s="43"/>
      <c r="AA5653" s="23"/>
      <c r="AB5653" s="23"/>
      <c r="AC5653" s="23"/>
      <c r="AD5653" s="23"/>
      <c r="AE5653" s="23"/>
      <c r="AF5653" s="23"/>
      <c r="AG5653" s="23"/>
      <c r="AH5653" s="23"/>
      <c r="AI5653" s="48"/>
    </row>
    <row r="5654" spans="1:35">
      <c r="B5654" s="42"/>
      <c r="C5654" s="49"/>
      <c r="E5654" s="49"/>
      <c r="G5654" s="43"/>
      <c r="H5654" s="44"/>
      <c r="L5654" s="42"/>
      <c r="M5654" s="42"/>
      <c r="N5654" s="25"/>
      <c r="O5654" s="54"/>
      <c r="P5654"/>
      <c r="Q5654" s="25"/>
      <c r="R5654" s="54"/>
      <c r="W5654" s="23"/>
      <c r="X5654" s="23"/>
      <c r="Y5654" s="23"/>
      <c r="Z5654" s="43"/>
      <c r="AA5654" s="23"/>
      <c r="AB5654" s="23"/>
      <c r="AC5654" s="23"/>
      <c r="AD5654" s="23"/>
      <c r="AE5654" s="23"/>
      <c r="AF5654" s="23"/>
      <c r="AG5654" s="23"/>
      <c r="AH5654" s="23"/>
      <c r="AI5654" s="23"/>
    </row>
    <row r="5655" spans="1:35">
      <c r="A5655" s="50"/>
      <c r="B5655" s="42"/>
      <c r="G5655" s="43"/>
      <c r="H5655" s="44"/>
      <c r="L5655" s="42"/>
      <c r="M5655" s="42"/>
      <c r="N5655" s="25"/>
      <c r="O5655" s="54"/>
      <c r="P5655"/>
      <c r="Q5655" s="25"/>
      <c r="R5655" s="54"/>
      <c r="W5655" s="23"/>
      <c r="X5655" s="23"/>
      <c r="Y5655" s="23"/>
      <c r="Z5655" s="43"/>
      <c r="AA5655" s="23"/>
      <c r="AB5655" s="23"/>
      <c r="AC5655" s="23"/>
      <c r="AD5655" s="23"/>
      <c r="AE5655" s="23"/>
      <c r="AF5655" s="23"/>
      <c r="AG5655" s="23"/>
      <c r="AH5655" s="23"/>
    </row>
    <row r="5656" spans="1:35">
      <c r="B5656" s="42"/>
      <c r="C5656" s="49"/>
      <c r="E5656" s="49"/>
      <c r="G5656" s="43"/>
      <c r="H5656" s="44"/>
      <c r="L5656" s="42"/>
      <c r="M5656" s="42"/>
      <c r="N5656" s="25"/>
      <c r="O5656" s="54"/>
      <c r="P5656"/>
      <c r="Q5656" s="25"/>
      <c r="R5656" s="54"/>
      <c r="W5656" s="23"/>
      <c r="X5656" s="23"/>
      <c r="Y5656" s="23"/>
      <c r="Z5656" s="43"/>
      <c r="AA5656" s="23"/>
      <c r="AB5656" s="23"/>
      <c r="AC5656" s="23"/>
      <c r="AD5656" s="23"/>
      <c r="AE5656" s="23"/>
      <c r="AF5656" s="23"/>
      <c r="AG5656" s="23"/>
      <c r="AH5656" s="23"/>
      <c r="AI5656" s="23"/>
    </row>
    <row r="5657" spans="1:35">
      <c r="B5657" s="42"/>
      <c r="G5657" s="43"/>
      <c r="H5657" s="44"/>
      <c r="L5657" s="42"/>
      <c r="M5657" s="42"/>
      <c r="N5657" s="25"/>
      <c r="O5657" s="54"/>
      <c r="P5657"/>
      <c r="Q5657" s="25"/>
      <c r="R5657" s="54"/>
      <c r="W5657" s="23"/>
      <c r="X5657" s="23"/>
      <c r="Y5657" s="23"/>
      <c r="Z5657" s="43"/>
      <c r="AA5657" s="23"/>
      <c r="AB5657" s="23"/>
      <c r="AC5657" s="23"/>
      <c r="AD5657" s="23"/>
      <c r="AE5657" s="23"/>
      <c r="AF5657" s="23"/>
      <c r="AG5657" s="23"/>
      <c r="AH5657" s="23"/>
    </row>
    <row r="5658" spans="1:35">
      <c r="B5658" s="42"/>
      <c r="C5658" s="49"/>
      <c r="E5658" s="49"/>
      <c r="G5658" s="43"/>
      <c r="H5658" s="44"/>
      <c r="L5658" s="42"/>
      <c r="M5658" s="42"/>
      <c r="N5658" s="25"/>
      <c r="O5658" s="54"/>
      <c r="P5658"/>
      <c r="Q5658" s="25"/>
      <c r="R5658" s="54"/>
      <c r="W5658" s="23"/>
      <c r="X5658" s="23"/>
      <c r="Y5658" s="23"/>
      <c r="Z5658" s="43"/>
      <c r="AA5658" s="23"/>
      <c r="AB5658" s="23"/>
      <c r="AC5658" s="23"/>
      <c r="AD5658" s="23"/>
      <c r="AE5658" s="23"/>
      <c r="AF5658" s="23"/>
      <c r="AG5658" s="23"/>
      <c r="AH5658" s="23"/>
      <c r="AI5658" s="23"/>
    </row>
    <row r="5659" spans="1:35">
      <c r="A5659" s="23"/>
      <c r="B5659" s="42"/>
      <c r="G5659" s="43"/>
      <c r="H5659" s="44"/>
      <c r="L5659" s="42"/>
      <c r="M5659" s="42"/>
      <c r="N5659" s="25"/>
      <c r="O5659" s="54"/>
      <c r="P5659"/>
      <c r="Q5659" s="25"/>
      <c r="R5659" s="54"/>
      <c r="W5659" s="23"/>
      <c r="X5659" s="23"/>
      <c r="Y5659" s="23"/>
      <c r="Z5659" s="43"/>
      <c r="AA5659" s="23"/>
      <c r="AB5659" s="23"/>
      <c r="AC5659" s="23"/>
      <c r="AD5659" s="23"/>
      <c r="AE5659" s="23"/>
      <c r="AF5659" s="23"/>
      <c r="AG5659" s="23"/>
      <c r="AH5659" s="23"/>
    </row>
    <row r="5660" spans="1:35">
      <c r="A5660" s="50"/>
      <c r="B5660" s="42"/>
      <c r="C5660" s="49"/>
      <c r="E5660" s="49"/>
      <c r="G5660" s="43"/>
      <c r="H5660" s="44"/>
      <c r="L5660" s="42"/>
      <c r="M5660" s="42"/>
      <c r="N5660" s="25"/>
      <c r="O5660" s="54"/>
      <c r="P5660"/>
      <c r="Q5660" s="25"/>
      <c r="R5660" s="54"/>
      <c r="W5660" s="23"/>
      <c r="X5660" s="23"/>
      <c r="Y5660" s="23"/>
      <c r="Z5660" s="43"/>
      <c r="AA5660" s="23"/>
      <c r="AB5660" s="23"/>
      <c r="AC5660" s="23"/>
      <c r="AD5660" s="23"/>
      <c r="AE5660" s="23"/>
      <c r="AF5660" s="23"/>
      <c r="AG5660" s="23"/>
      <c r="AH5660" s="23"/>
      <c r="AI5660" s="49"/>
    </row>
    <row r="5661" spans="1:35">
      <c r="B5661" s="42"/>
      <c r="C5661" s="49"/>
      <c r="E5661" s="49"/>
      <c r="G5661" s="43"/>
      <c r="H5661" s="44"/>
      <c r="L5661" s="42"/>
      <c r="M5661" s="42"/>
      <c r="N5661" s="25"/>
      <c r="O5661" s="54"/>
      <c r="P5661"/>
      <c r="Q5661" s="25"/>
      <c r="R5661" s="54"/>
      <c r="W5661" s="23"/>
      <c r="X5661" s="23"/>
      <c r="Y5661" s="23"/>
      <c r="Z5661" s="43"/>
      <c r="AA5661" s="23"/>
      <c r="AB5661" s="23"/>
      <c r="AC5661" s="23"/>
      <c r="AD5661" s="23"/>
      <c r="AE5661" s="23"/>
      <c r="AF5661" s="23"/>
      <c r="AG5661" s="23"/>
      <c r="AH5661" s="23"/>
      <c r="AI5661" s="23"/>
    </row>
    <row r="5662" spans="1:35">
      <c r="B5662" s="42"/>
      <c r="C5662" s="49"/>
      <c r="E5662" s="49"/>
      <c r="G5662" s="43"/>
      <c r="H5662" s="44"/>
      <c r="L5662" s="42"/>
      <c r="M5662" s="42"/>
      <c r="N5662" s="25"/>
      <c r="O5662" s="54"/>
      <c r="P5662"/>
      <c r="Q5662" s="25"/>
      <c r="R5662" s="54"/>
      <c r="W5662" s="23"/>
      <c r="X5662" s="23"/>
      <c r="Y5662" s="23"/>
      <c r="Z5662" s="43"/>
      <c r="AA5662" s="23"/>
      <c r="AB5662" s="23"/>
      <c r="AC5662" s="23"/>
      <c r="AD5662" s="23"/>
      <c r="AE5662" s="23"/>
      <c r="AF5662" s="23"/>
      <c r="AG5662" s="23"/>
      <c r="AH5662" s="23"/>
      <c r="AI5662" s="23"/>
    </row>
    <row r="5663" spans="1:35">
      <c r="A5663" s="49"/>
      <c r="B5663" s="42"/>
      <c r="C5663" s="49"/>
      <c r="E5663" s="49"/>
      <c r="G5663" s="43"/>
      <c r="H5663" s="44"/>
      <c r="L5663" s="42"/>
      <c r="M5663" s="42"/>
      <c r="N5663" s="25"/>
      <c r="O5663" s="54"/>
      <c r="P5663"/>
      <c r="Q5663" s="25"/>
      <c r="R5663" s="54"/>
      <c r="W5663" s="23"/>
      <c r="X5663" s="23"/>
      <c r="Y5663" s="23"/>
      <c r="Z5663" s="43"/>
      <c r="AA5663" s="23"/>
      <c r="AB5663" s="23"/>
      <c r="AC5663" s="23"/>
      <c r="AD5663" s="23"/>
      <c r="AE5663" s="23"/>
      <c r="AF5663" s="23"/>
      <c r="AG5663" s="23"/>
      <c r="AH5663" s="23"/>
      <c r="AI5663" s="49"/>
    </row>
    <row r="5664" spans="1:35">
      <c r="B5664" s="42"/>
      <c r="C5664" s="49"/>
      <c r="E5664" s="49"/>
      <c r="G5664" s="43"/>
      <c r="H5664" s="44"/>
      <c r="L5664" s="42"/>
      <c r="M5664" s="42"/>
      <c r="N5664" s="25"/>
      <c r="O5664" s="54"/>
      <c r="P5664"/>
      <c r="Q5664" s="25"/>
      <c r="R5664" s="54"/>
      <c r="W5664" s="23"/>
      <c r="X5664" s="23"/>
      <c r="Y5664" s="23"/>
      <c r="Z5664" s="43"/>
      <c r="AA5664" s="23"/>
      <c r="AB5664" s="23"/>
      <c r="AC5664" s="23"/>
      <c r="AD5664" s="23"/>
      <c r="AE5664" s="23"/>
      <c r="AF5664" s="23"/>
      <c r="AG5664" s="23"/>
      <c r="AH5664" s="23"/>
      <c r="AI5664" s="23"/>
    </row>
    <row r="5665" spans="1:35">
      <c r="B5665" s="42"/>
      <c r="C5665" s="49"/>
      <c r="E5665" s="49"/>
      <c r="G5665" s="43"/>
      <c r="H5665" s="44"/>
      <c r="L5665" s="42"/>
      <c r="M5665" s="42"/>
      <c r="N5665" s="25"/>
      <c r="O5665" s="54"/>
      <c r="P5665"/>
      <c r="Q5665" s="25"/>
      <c r="R5665" s="54"/>
      <c r="W5665" s="23"/>
      <c r="X5665" s="23"/>
      <c r="Y5665" s="23"/>
      <c r="Z5665" s="43"/>
      <c r="AA5665" s="23"/>
      <c r="AB5665" s="23"/>
      <c r="AC5665" s="23"/>
      <c r="AD5665" s="23"/>
      <c r="AE5665" s="23"/>
      <c r="AF5665" s="23"/>
      <c r="AG5665" s="23"/>
      <c r="AH5665" s="23"/>
      <c r="AI5665" s="23"/>
    </row>
    <row r="5666" spans="1:35">
      <c r="B5666" s="42"/>
      <c r="G5666" s="43"/>
      <c r="H5666" s="44"/>
      <c r="L5666" s="42"/>
      <c r="M5666" s="42"/>
      <c r="N5666" s="25"/>
      <c r="O5666" s="54"/>
      <c r="P5666"/>
      <c r="Q5666" s="25"/>
      <c r="R5666" s="54"/>
      <c r="W5666" s="23"/>
      <c r="X5666" s="23"/>
      <c r="Y5666" s="23"/>
      <c r="Z5666" s="43"/>
      <c r="AA5666" s="23"/>
      <c r="AB5666" s="23"/>
      <c r="AC5666" s="23"/>
      <c r="AD5666" s="23"/>
      <c r="AE5666" s="23"/>
      <c r="AF5666" s="23"/>
      <c r="AG5666" s="23"/>
      <c r="AH5666" s="23"/>
    </row>
    <row r="5667" spans="1:35">
      <c r="A5667" s="23"/>
      <c r="B5667" s="42"/>
      <c r="C5667" s="49"/>
      <c r="E5667" s="49"/>
      <c r="G5667" s="43"/>
      <c r="H5667" s="44"/>
      <c r="L5667" s="42"/>
      <c r="M5667" s="42"/>
      <c r="N5667" s="25"/>
      <c r="O5667" s="54"/>
      <c r="P5667"/>
      <c r="Q5667" s="25"/>
      <c r="R5667" s="54"/>
      <c r="W5667" s="23"/>
      <c r="X5667" s="23"/>
      <c r="Y5667" s="23"/>
      <c r="Z5667" s="43"/>
      <c r="AA5667" s="23"/>
      <c r="AB5667" s="23"/>
      <c r="AC5667" s="23"/>
      <c r="AD5667" s="23"/>
      <c r="AE5667" s="23"/>
      <c r="AF5667" s="23"/>
      <c r="AG5667" s="23"/>
      <c r="AH5667" s="23"/>
      <c r="AI5667" s="49"/>
    </row>
    <row r="5668" spans="1:35">
      <c r="A5668" s="23"/>
      <c r="B5668" s="42"/>
      <c r="C5668" s="49"/>
      <c r="E5668" s="49"/>
      <c r="G5668" s="43"/>
      <c r="H5668" s="44"/>
      <c r="L5668" s="42"/>
      <c r="M5668" s="42"/>
      <c r="N5668" s="25"/>
      <c r="O5668" s="54"/>
      <c r="P5668"/>
      <c r="Q5668" s="25"/>
      <c r="R5668" s="54"/>
      <c r="W5668" s="23"/>
      <c r="X5668" s="23"/>
      <c r="Y5668" s="23"/>
      <c r="Z5668" s="43"/>
      <c r="AA5668" s="23"/>
      <c r="AB5668" s="23"/>
      <c r="AC5668" s="23"/>
      <c r="AD5668" s="23"/>
      <c r="AE5668" s="23"/>
      <c r="AF5668" s="23"/>
      <c r="AG5668" s="23"/>
      <c r="AH5668" s="23"/>
      <c r="AI5668" s="49"/>
    </row>
    <row r="5669" spans="1:35">
      <c r="A5669" s="49"/>
      <c r="B5669" s="42"/>
      <c r="G5669" s="43"/>
      <c r="H5669" s="44"/>
      <c r="L5669" s="42"/>
      <c r="M5669" s="42"/>
      <c r="N5669" s="25"/>
      <c r="O5669" s="54"/>
      <c r="P5669"/>
      <c r="Q5669" s="25"/>
      <c r="R5669" s="54"/>
      <c r="W5669" s="23"/>
      <c r="X5669" s="23"/>
      <c r="Y5669" s="23"/>
      <c r="Z5669" s="43"/>
      <c r="AA5669" s="23"/>
      <c r="AB5669" s="23"/>
      <c r="AC5669" s="23"/>
      <c r="AD5669" s="23"/>
      <c r="AE5669" s="23"/>
      <c r="AF5669" s="23"/>
      <c r="AG5669" s="23"/>
      <c r="AH5669" s="23"/>
    </row>
    <row r="5670" spans="1:35">
      <c r="B5670" s="42"/>
      <c r="G5670" s="43"/>
      <c r="H5670" s="44"/>
      <c r="L5670" s="42"/>
      <c r="M5670" s="42"/>
      <c r="N5670" s="25"/>
      <c r="O5670" s="54"/>
      <c r="P5670"/>
      <c r="Q5670" s="25"/>
      <c r="R5670" s="54"/>
      <c r="W5670" s="23"/>
      <c r="X5670" s="23"/>
      <c r="Y5670" s="23"/>
      <c r="Z5670" s="43"/>
      <c r="AA5670" s="23"/>
      <c r="AB5670" s="23"/>
      <c r="AC5670" s="23"/>
      <c r="AD5670" s="23"/>
      <c r="AE5670" s="23"/>
      <c r="AF5670" s="23"/>
      <c r="AG5670" s="23"/>
      <c r="AH5670" s="23"/>
      <c r="AI5670" s="48"/>
    </row>
    <row r="5671" spans="1:35">
      <c r="B5671" s="42"/>
      <c r="G5671" s="43"/>
      <c r="H5671" s="44"/>
      <c r="L5671" s="42"/>
      <c r="M5671" s="42"/>
      <c r="N5671" s="25"/>
      <c r="O5671" s="54"/>
      <c r="P5671"/>
      <c r="Q5671" s="25"/>
      <c r="R5671" s="54"/>
      <c r="W5671" s="23"/>
      <c r="X5671" s="23"/>
      <c r="Y5671" s="23"/>
      <c r="Z5671" s="43"/>
      <c r="AA5671" s="23"/>
      <c r="AB5671" s="23"/>
      <c r="AC5671" s="23"/>
      <c r="AD5671" s="23"/>
      <c r="AE5671" s="23"/>
      <c r="AF5671" s="23"/>
      <c r="AG5671" s="23"/>
      <c r="AH5671" s="23"/>
      <c r="AI5671" s="48"/>
    </row>
    <row r="5672" spans="1:35">
      <c r="B5672" s="42"/>
      <c r="G5672" s="43"/>
      <c r="H5672" s="44"/>
      <c r="L5672" s="42"/>
      <c r="M5672" s="42"/>
      <c r="N5672" s="25"/>
      <c r="O5672" s="54"/>
      <c r="P5672"/>
      <c r="Q5672" s="25"/>
      <c r="R5672" s="54"/>
      <c r="W5672" s="23"/>
      <c r="X5672" s="23"/>
      <c r="Y5672" s="23"/>
      <c r="Z5672" s="43"/>
      <c r="AA5672" s="23"/>
      <c r="AB5672" s="23"/>
      <c r="AC5672" s="23"/>
      <c r="AD5672" s="23"/>
      <c r="AE5672" s="23"/>
      <c r="AF5672" s="23"/>
      <c r="AG5672" s="23"/>
      <c r="AH5672" s="23"/>
      <c r="AI5672" s="48"/>
    </row>
    <row r="5673" spans="1:35">
      <c r="B5673" s="42"/>
      <c r="G5673" s="43"/>
      <c r="H5673" s="44"/>
      <c r="L5673" s="42"/>
      <c r="M5673" s="42"/>
      <c r="N5673" s="25"/>
      <c r="O5673" s="54"/>
      <c r="P5673"/>
      <c r="Q5673" s="25"/>
      <c r="R5673" s="54"/>
      <c r="W5673" s="23"/>
      <c r="X5673" s="23"/>
      <c r="Y5673" s="23"/>
      <c r="Z5673" s="43"/>
      <c r="AA5673" s="23"/>
      <c r="AB5673" s="23"/>
      <c r="AC5673" s="23"/>
      <c r="AD5673" s="23"/>
      <c r="AE5673" s="23"/>
      <c r="AF5673" s="23"/>
      <c r="AG5673" s="23"/>
      <c r="AH5673" s="23"/>
      <c r="AI5673" s="48"/>
    </row>
    <row r="5674" spans="1:35">
      <c r="B5674" s="42"/>
      <c r="G5674" s="43"/>
      <c r="H5674" s="44"/>
      <c r="L5674" s="42"/>
      <c r="M5674" s="42"/>
      <c r="N5674" s="25"/>
      <c r="O5674" s="54"/>
      <c r="P5674"/>
      <c r="Q5674" s="25"/>
      <c r="R5674" s="54"/>
      <c r="W5674" s="23"/>
      <c r="X5674" s="23"/>
      <c r="Y5674" s="23"/>
      <c r="Z5674" s="43"/>
      <c r="AA5674" s="23"/>
      <c r="AB5674" s="23"/>
      <c r="AC5674" s="23"/>
      <c r="AD5674" s="23"/>
      <c r="AE5674" s="23"/>
      <c r="AF5674" s="23"/>
      <c r="AG5674" s="23"/>
      <c r="AH5674" s="23"/>
      <c r="AI5674" s="48"/>
    </row>
    <row r="5675" spans="1:35">
      <c r="B5675" s="42"/>
      <c r="G5675" s="43"/>
      <c r="H5675" s="44"/>
      <c r="L5675" s="42"/>
      <c r="M5675" s="42"/>
      <c r="N5675" s="25"/>
      <c r="O5675" s="54"/>
      <c r="P5675"/>
      <c r="Q5675" s="25"/>
      <c r="R5675" s="54"/>
      <c r="W5675" s="23"/>
      <c r="X5675" s="23"/>
      <c r="Y5675" s="23"/>
      <c r="Z5675" s="43"/>
      <c r="AA5675" s="23"/>
      <c r="AB5675" s="23"/>
      <c r="AC5675" s="23"/>
      <c r="AD5675" s="23"/>
      <c r="AE5675" s="23"/>
      <c r="AF5675" s="23"/>
      <c r="AG5675" s="23"/>
      <c r="AH5675" s="23"/>
      <c r="AI5675" s="48"/>
    </row>
    <row r="5676" spans="1:35">
      <c r="B5676" s="42"/>
      <c r="G5676" s="43"/>
      <c r="H5676" s="44"/>
      <c r="L5676" s="42"/>
      <c r="M5676" s="42"/>
      <c r="N5676" s="25"/>
      <c r="O5676" s="54"/>
      <c r="P5676"/>
      <c r="Q5676" s="25"/>
      <c r="R5676" s="54"/>
      <c r="W5676" s="23"/>
      <c r="X5676" s="23"/>
      <c r="Y5676" s="23"/>
      <c r="Z5676" s="43"/>
      <c r="AA5676" s="23"/>
      <c r="AB5676" s="23"/>
      <c r="AC5676" s="23"/>
      <c r="AD5676" s="23"/>
      <c r="AE5676" s="23"/>
      <c r="AF5676" s="23"/>
      <c r="AG5676" s="23"/>
      <c r="AH5676" s="23"/>
      <c r="AI5676" s="48"/>
    </row>
    <row r="5677" spans="1:35">
      <c r="B5677" s="42"/>
      <c r="G5677" s="43"/>
      <c r="H5677" s="44"/>
      <c r="L5677" s="42"/>
      <c r="M5677" s="42"/>
      <c r="N5677" s="25"/>
      <c r="O5677" s="54"/>
      <c r="P5677"/>
      <c r="Q5677" s="25"/>
      <c r="R5677" s="54"/>
      <c r="W5677" s="23"/>
      <c r="X5677" s="23"/>
      <c r="Y5677" s="23"/>
      <c r="Z5677" s="43"/>
      <c r="AA5677" s="23"/>
      <c r="AB5677" s="23"/>
      <c r="AC5677" s="23"/>
      <c r="AD5677" s="23"/>
      <c r="AE5677" s="23"/>
      <c r="AF5677" s="23"/>
      <c r="AG5677" s="23"/>
      <c r="AH5677" s="23"/>
      <c r="AI5677" s="48"/>
    </row>
    <row r="5678" spans="1:35">
      <c r="B5678" s="42"/>
      <c r="G5678" s="43"/>
      <c r="H5678" s="44"/>
      <c r="L5678" s="42"/>
      <c r="M5678" s="42"/>
      <c r="N5678" s="25"/>
      <c r="O5678" s="54"/>
      <c r="P5678"/>
      <c r="Q5678" s="25"/>
      <c r="R5678" s="54"/>
      <c r="W5678" s="23"/>
      <c r="X5678" s="23"/>
      <c r="Y5678" s="23"/>
      <c r="Z5678" s="43"/>
      <c r="AA5678" s="23"/>
      <c r="AB5678" s="23"/>
      <c r="AC5678" s="23"/>
      <c r="AD5678" s="23"/>
      <c r="AE5678" s="23"/>
      <c r="AF5678" s="23"/>
      <c r="AG5678" s="23"/>
      <c r="AH5678" s="23"/>
      <c r="AI5678" s="48"/>
    </row>
    <row r="5679" spans="1:35">
      <c r="A5679" s="23"/>
      <c r="B5679" s="42"/>
      <c r="C5679" s="49"/>
      <c r="E5679" s="49"/>
      <c r="G5679" s="43"/>
      <c r="H5679" s="44"/>
      <c r="L5679" s="42"/>
      <c r="M5679" s="42"/>
      <c r="N5679" s="25"/>
      <c r="O5679" s="54"/>
      <c r="P5679"/>
      <c r="Q5679" s="25"/>
      <c r="R5679" s="54"/>
      <c r="W5679" s="23"/>
      <c r="X5679" s="23"/>
      <c r="Y5679" s="23"/>
      <c r="Z5679" s="43"/>
      <c r="AA5679" s="23"/>
      <c r="AB5679" s="23"/>
      <c r="AC5679" s="23"/>
      <c r="AD5679" s="23"/>
      <c r="AE5679" s="23"/>
      <c r="AF5679" s="23"/>
      <c r="AG5679" s="23"/>
      <c r="AH5679" s="23"/>
      <c r="AI5679" s="49"/>
    </row>
    <row r="5680" spans="1:35">
      <c r="B5680" s="42"/>
      <c r="G5680" s="43"/>
      <c r="H5680" s="44"/>
      <c r="L5680" s="42"/>
      <c r="M5680" s="42"/>
      <c r="N5680" s="25"/>
      <c r="O5680" s="54"/>
      <c r="P5680"/>
      <c r="Q5680" s="25"/>
      <c r="R5680" s="54"/>
      <c r="W5680" s="23"/>
      <c r="X5680" s="23"/>
      <c r="Y5680" s="23"/>
      <c r="Z5680" s="43"/>
      <c r="AA5680" s="23"/>
      <c r="AB5680" s="23"/>
      <c r="AC5680" s="23"/>
      <c r="AD5680" s="23"/>
      <c r="AE5680" s="23"/>
      <c r="AF5680" s="23"/>
      <c r="AG5680" s="23"/>
      <c r="AH5680" s="23"/>
    </row>
    <row r="5681" spans="1:35">
      <c r="A5681" s="23"/>
      <c r="B5681" s="42"/>
      <c r="G5681" s="43"/>
      <c r="H5681" s="44"/>
      <c r="L5681" s="42"/>
      <c r="M5681" s="42"/>
      <c r="N5681" s="25"/>
      <c r="O5681" s="54"/>
      <c r="P5681"/>
      <c r="Q5681" s="25"/>
      <c r="R5681" s="54"/>
      <c r="W5681" s="23"/>
      <c r="X5681" s="23"/>
      <c r="Y5681" s="23"/>
      <c r="Z5681" s="43"/>
      <c r="AA5681" s="23"/>
      <c r="AB5681" s="23"/>
      <c r="AC5681" s="23"/>
      <c r="AD5681" s="23"/>
      <c r="AE5681" s="23"/>
      <c r="AF5681" s="23"/>
      <c r="AG5681" s="23"/>
      <c r="AH5681" s="23"/>
      <c r="AI5681" s="23"/>
    </row>
    <row r="5682" spans="1:35">
      <c r="B5682" s="42"/>
      <c r="G5682" s="43"/>
      <c r="H5682" s="44"/>
      <c r="L5682" s="42"/>
      <c r="M5682" s="42"/>
      <c r="N5682" s="25"/>
      <c r="O5682" s="54"/>
      <c r="P5682"/>
      <c r="Q5682" s="25"/>
      <c r="R5682" s="54"/>
      <c r="W5682" s="23"/>
      <c r="X5682" s="23"/>
      <c r="Y5682" s="23"/>
      <c r="Z5682" s="43"/>
      <c r="AA5682" s="23"/>
      <c r="AB5682" s="23"/>
      <c r="AC5682" s="23"/>
      <c r="AD5682" s="23"/>
      <c r="AE5682" s="23"/>
      <c r="AF5682" s="23"/>
      <c r="AG5682" s="23"/>
      <c r="AH5682" s="23"/>
    </row>
    <row r="5683" spans="1:35">
      <c r="A5683" s="23"/>
      <c r="B5683" s="42"/>
      <c r="G5683" s="43"/>
      <c r="H5683" s="44"/>
      <c r="L5683" s="42"/>
      <c r="M5683" s="42"/>
      <c r="N5683" s="25"/>
      <c r="O5683" s="54"/>
      <c r="P5683"/>
      <c r="Q5683" s="25"/>
      <c r="R5683" s="54"/>
      <c r="W5683" s="23"/>
      <c r="X5683" s="23"/>
      <c r="Y5683" s="23"/>
      <c r="Z5683" s="43"/>
      <c r="AA5683" s="23"/>
      <c r="AB5683" s="23"/>
      <c r="AC5683" s="23"/>
      <c r="AD5683" s="23"/>
      <c r="AE5683" s="23"/>
      <c r="AF5683" s="23"/>
      <c r="AG5683" s="23"/>
      <c r="AH5683" s="23"/>
    </row>
    <row r="5684" spans="1:35">
      <c r="A5684" s="50"/>
      <c r="B5684" s="42"/>
      <c r="C5684" s="49"/>
      <c r="E5684" s="49"/>
      <c r="G5684" s="43"/>
      <c r="H5684" s="44"/>
      <c r="L5684" s="42"/>
      <c r="M5684" s="42"/>
      <c r="N5684" s="25"/>
      <c r="O5684" s="54"/>
      <c r="P5684"/>
      <c r="Q5684" s="25"/>
      <c r="R5684" s="54"/>
      <c r="W5684" s="23"/>
      <c r="X5684" s="23"/>
      <c r="Y5684" s="23"/>
      <c r="Z5684" s="43"/>
      <c r="AA5684" s="23"/>
      <c r="AB5684" s="23"/>
      <c r="AC5684" s="23"/>
      <c r="AD5684" s="23"/>
      <c r="AE5684" s="23"/>
      <c r="AF5684" s="23"/>
      <c r="AG5684" s="23"/>
      <c r="AH5684" s="23"/>
      <c r="AI5684" s="49"/>
    </row>
    <row r="5685" spans="1:35">
      <c r="A5685" s="23"/>
      <c r="B5685" s="42"/>
      <c r="C5685" s="49"/>
      <c r="E5685" s="49"/>
      <c r="G5685" s="43"/>
      <c r="H5685" s="44"/>
      <c r="L5685" s="42"/>
      <c r="M5685" s="42"/>
      <c r="N5685" s="25"/>
      <c r="O5685" s="54"/>
      <c r="P5685"/>
      <c r="Q5685" s="25"/>
      <c r="R5685" s="54"/>
      <c r="W5685" s="23"/>
      <c r="X5685" s="23"/>
      <c r="Y5685" s="23"/>
      <c r="Z5685" s="43"/>
      <c r="AA5685" s="23"/>
      <c r="AB5685" s="23"/>
      <c r="AC5685" s="23"/>
      <c r="AD5685" s="23"/>
      <c r="AE5685" s="23"/>
      <c r="AF5685" s="23"/>
      <c r="AG5685" s="23"/>
      <c r="AH5685" s="23"/>
      <c r="AI5685" s="49"/>
    </row>
    <row r="5686" spans="1:35">
      <c r="B5686" s="42"/>
      <c r="G5686" s="43"/>
      <c r="H5686" s="44"/>
      <c r="L5686" s="42"/>
      <c r="M5686" s="42"/>
      <c r="N5686" s="25"/>
      <c r="O5686" s="54"/>
      <c r="P5686"/>
      <c r="Q5686" s="25"/>
      <c r="R5686" s="54"/>
      <c r="W5686" s="23"/>
      <c r="X5686" s="23"/>
      <c r="Y5686" s="23"/>
      <c r="Z5686" s="43"/>
      <c r="AA5686" s="23"/>
      <c r="AB5686" s="23"/>
      <c r="AC5686" s="23"/>
      <c r="AD5686" s="23"/>
      <c r="AE5686" s="23"/>
      <c r="AF5686" s="23"/>
      <c r="AG5686" s="23"/>
      <c r="AH5686" s="23"/>
      <c r="AI5686" s="48"/>
    </row>
    <row r="5687" spans="1:35">
      <c r="A5687" s="50"/>
      <c r="B5687" s="42"/>
      <c r="C5687" s="49"/>
      <c r="E5687" s="49"/>
      <c r="G5687" s="43"/>
      <c r="H5687" s="44"/>
      <c r="L5687" s="42"/>
      <c r="M5687" s="42"/>
      <c r="N5687" s="25"/>
      <c r="O5687" s="54"/>
      <c r="P5687"/>
      <c r="Q5687" s="25"/>
      <c r="R5687" s="54"/>
      <c r="W5687" s="23"/>
      <c r="X5687" s="23"/>
      <c r="Y5687" s="23"/>
      <c r="Z5687" s="43"/>
      <c r="AA5687" s="23"/>
      <c r="AB5687" s="23"/>
      <c r="AC5687" s="23"/>
      <c r="AD5687" s="23"/>
      <c r="AE5687" s="23"/>
      <c r="AF5687" s="23"/>
      <c r="AG5687" s="23"/>
      <c r="AH5687" s="23"/>
      <c r="AI5687" s="49"/>
    </row>
    <row r="5688" spans="1:35">
      <c r="B5688" s="42"/>
      <c r="C5688" s="49"/>
      <c r="E5688" s="49"/>
      <c r="G5688" s="43"/>
      <c r="H5688" s="44"/>
      <c r="L5688" s="42"/>
      <c r="M5688" s="42"/>
      <c r="N5688" s="25"/>
      <c r="O5688" s="54"/>
      <c r="P5688"/>
      <c r="Q5688" s="25"/>
      <c r="R5688" s="54"/>
      <c r="W5688" s="23"/>
      <c r="X5688" s="23"/>
      <c r="Y5688" s="23"/>
      <c r="Z5688" s="43"/>
      <c r="AA5688" s="23"/>
      <c r="AB5688" s="23"/>
      <c r="AC5688" s="23"/>
      <c r="AD5688" s="23"/>
      <c r="AE5688" s="23"/>
      <c r="AF5688" s="23"/>
      <c r="AG5688" s="23"/>
      <c r="AH5688" s="23"/>
      <c r="AI5688" s="23"/>
    </row>
    <row r="5689" spans="1:35">
      <c r="A5689" s="49"/>
      <c r="B5689" s="42"/>
      <c r="C5689" s="49"/>
      <c r="E5689" s="49"/>
      <c r="G5689" s="43"/>
      <c r="H5689" s="44"/>
      <c r="L5689" s="42"/>
      <c r="M5689" s="42"/>
      <c r="N5689" s="25"/>
      <c r="O5689" s="54"/>
      <c r="P5689"/>
      <c r="Q5689" s="25"/>
      <c r="R5689" s="54"/>
      <c r="W5689" s="23"/>
      <c r="X5689" s="23"/>
      <c r="Y5689" s="23"/>
      <c r="Z5689" s="43"/>
      <c r="AA5689" s="23"/>
      <c r="AB5689" s="23"/>
      <c r="AC5689" s="23"/>
      <c r="AD5689" s="23"/>
      <c r="AE5689" s="23"/>
      <c r="AF5689" s="23"/>
      <c r="AG5689" s="23"/>
      <c r="AH5689" s="23"/>
      <c r="AI5689" s="49"/>
    </row>
    <row r="5690" spans="1:35">
      <c r="A5690" s="23"/>
      <c r="B5690" s="42"/>
      <c r="C5690" s="49"/>
      <c r="E5690" s="49"/>
      <c r="G5690" s="43"/>
      <c r="H5690" s="44"/>
      <c r="L5690" s="42"/>
      <c r="M5690" s="42"/>
      <c r="N5690" s="25"/>
      <c r="O5690" s="54"/>
      <c r="P5690"/>
      <c r="Q5690" s="25"/>
      <c r="R5690" s="54"/>
      <c r="W5690" s="23"/>
      <c r="X5690" s="23"/>
      <c r="Y5690" s="23"/>
      <c r="Z5690" s="43"/>
      <c r="AA5690" s="23"/>
      <c r="AB5690" s="23"/>
      <c r="AC5690" s="23"/>
      <c r="AD5690" s="23"/>
      <c r="AE5690" s="23"/>
      <c r="AF5690" s="23"/>
      <c r="AG5690" s="23"/>
      <c r="AH5690" s="23"/>
      <c r="AI5690" s="49"/>
    </row>
    <row r="5691" spans="1:35">
      <c r="A5691" s="49"/>
      <c r="B5691" s="42"/>
      <c r="C5691" s="49"/>
      <c r="E5691" s="49"/>
      <c r="G5691" s="43"/>
      <c r="H5691" s="44"/>
      <c r="L5691" s="42"/>
      <c r="M5691" s="42"/>
      <c r="N5691" s="25"/>
      <c r="O5691" s="54"/>
      <c r="P5691"/>
      <c r="Q5691" s="25"/>
      <c r="R5691" s="54"/>
      <c r="W5691" s="23"/>
      <c r="X5691" s="23"/>
      <c r="Y5691" s="23"/>
      <c r="Z5691" s="43"/>
      <c r="AA5691" s="23"/>
      <c r="AB5691" s="23"/>
      <c r="AC5691" s="23"/>
      <c r="AD5691" s="23"/>
      <c r="AE5691" s="23"/>
      <c r="AF5691" s="23"/>
      <c r="AG5691" s="23"/>
      <c r="AH5691" s="23"/>
      <c r="AI5691" s="49"/>
    </row>
    <row r="5692" spans="1:35">
      <c r="A5692" s="23"/>
      <c r="B5692" s="42"/>
      <c r="C5692" s="49"/>
      <c r="E5692" s="49"/>
      <c r="G5692" s="43"/>
      <c r="H5692" s="44"/>
      <c r="L5692" s="42"/>
      <c r="M5692" s="42"/>
      <c r="N5692" s="25"/>
      <c r="O5692" s="54"/>
      <c r="P5692"/>
      <c r="Q5692" s="25"/>
      <c r="R5692" s="54"/>
      <c r="W5692" s="23"/>
      <c r="X5692" s="23"/>
      <c r="Y5692" s="23"/>
      <c r="Z5692" s="43"/>
      <c r="AA5692" s="23"/>
      <c r="AB5692" s="23"/>
      <c r="AC5692" s="23"/>
      <c r="AD5692" s="23"/>
      <c r="AE5692" s="23"/>
      <c r="AF5692" s="23"/>
      <c r="AG5692" s="23"/>
      <c r="AH5692" s="23"/>
      <c r="AI5692" s="49"/>
    </row>
    <row r="5693" spans="1:35">
      <c r="B5693" s="42"/>
      <c r="G5693" s="43"/>
      <c r="H5693" s="44"/>
      <c r="L5693" s="42"/>
      <c r="M5693" s="42"/>
      <c r="N5693" s="25"/>
      <c r="O5693" s="54"/>
      <c r="P5693"/>
      <c r="Q5693" s="25"/>
      <c r="R5693" s="54"/>
      <c r="W5693" s="23"/>
      <c r="X5693" s="23"/>
      <c r="Y5693" s="23"/>
      <c r="Z5693" s="43"/>
      <c r="AA5693" s="23"/>
      <c r="AB5693" s="23"/>
      <c r="AC5693" s="23"/>
      <c r="AD5693" s="23"/>
      <c r="AE5693" s="23"/>
      <c r="AF5693" s="23"/>
      <c r="AG5693" s="23"/>
      <c r="AH5693" s="23"/>
      <c r="AI5693" s="48"/>
    </row>
    <row r="5694" spans="1:35">
      <c r="B5694" s="42"/>
      <c r="G5694" s="43"/>
      <c r="H5694" s="44"/>
      <c r="L5694" s="42"/>
      <c r="M5694" s="42"/>
      <c r="N5694" s="25"/>
      <c r="O5694" s="54"/>
      <c r="P5694"/>
      <c r="Q5694" s="25"/>
      <c r="R5694" s="54"/>
      <c r="W5694" s="23"/>
      <c r="X5694" s="23"/>
      <c r="Y5694" s="23"/>
      <c r="Z5694" s="43"/>
      <c r="AA5694" s="23"/>
      <c r="AB5694" s="23"/>
      <c r="AC5694" s="23"/>
      <c r="AD5694" s="23"/>
      <c r="AE5694" s="23"/>
      <c r="AF5694" s="23"/>
      <c r="AG5694" s="23"/>
      <c r="AH5694" s="23"/>
    </row>
    <row r="5695" spans="1:35">
      <c r="A5695" s="49"/>
      <c r="B5695" s="42"/>
      <c r="C5695" s="49"/>
      <c r="E5695" s="49"/>
      <c r="G5695" s="43"/>
      <c r="H5695" s="44"/>
      <c r="L5695" s="42"/>
      <c r="M5695" s="42"/>
      <c r="N5695" s="25"/>
      <c r="O5695" s="54"/>
      <c r="P5695"/>
      <c r="Q5695" s="25"/>
      <c r="R5695" s="54"/>
      <c r="W5695" s="23"/>
      <c r="X5695" s="23"/>
      <c r="Y5695" s="23"/>
      <c r="Z5695" s="43"/>
      <c r="AA5695" s="23"/>
      <c r="AB5695" s="23"/>
      <c r="AC5695" s="23"/>
      <c r="AD5695" s="23"/>
      <c r="AE5695" s="23"/>
      <c r="AF5695" s="23"/>
      <c r="AG5695" s="23"/>
      <c r="AH5695" s="23"/>
      <c r="AI5695" s="49"/>
    </row>
    <row r="5696" spans="1:35">
      <c r="B5696" s="42"/>
      <c r="G5696" s="43"/>
      <c r="H5696" s="44"/>
      <c r="L5696" s="42"/>
      <c r="M5696" s="42"/>
      <c r="N5696" s="25"/>
      <c r="O5696" s="54"/>
      <c r="P5696"/>
      <c r="Q5696" s="25"/>
      <c r="R5696" s="54"/>
      <c r="W5696" s="23"/>
      <c r="X5696" s="23"/>
      <c r="Y5696" s="23"/>
      <c r="Z5696" s="43"/>
      <c r="AA5696" s="23"/>
      <c r="AB5696" s="23"/>
      <c r="AC5696" s="23"/>
      <c r="AD5696" s="23"/>
      <c r="AE5696" s="23"/>
      <c r="AF5696" s="23"/>
      <c r="AG5696" s="23"/>
      <c r="AH5696" s="23"/>
      <c r="AI5696" s="48"/>
    </row>
    <row r="5697" spans="1:35">
      <c r="A5697" s="23"/>
      <c r="B5697" s="42"/>
      <c r="C5697" s="49"/>
      <c r="E5697" s="49"/>
      <c r="G5697" s="43"/>
      <c r="H5697" s="44"/>
      <c r="L5697" s="42"/>
      <c r="M5697" s="42"/>
      <c r="N5697" s="25"/>
      <c r="O5697" s="54"/>
      <c r="P5697"/>
      <c r="Q5697" s="25"/>
      <c r="R5697" s="54"/>
      <c r="W5697" s="23"/>
      <c r="X5697" s="23"/>
      <c r="Y5697" s="23"/>
      <c r="Z5697" s="43"/>
      <c r="AA5697" s="23"/>
      <c r="AB5697" s="23"/>
      <c r="AC5697" s="23"/>
      <c r="AD5697" s="23"/>
      <c r="AE5697" s="23"/>
      <c r="AF5697" s="23"/>
      <c r="AG5697" s="23"/>
      <c r="AH5697" s="23"/>
      <c r="AI5697" s="49"/>
    </row>
    <row r="5698" spans="1:35">
      <c r="B5698" s="42"/>
      <c r="G5698" s="43"/>
      <c r="H5698" s="44"/>
      <c r="L5698" s="42"/>
      <c r="M5698" s="42"/>
      <c r="N5698" s="25"/>
      <c r="O5698" s="54"/>
      <c r="P5698"/>
      <c r="Q5698" s="25"/>
      <c r="R5698" s="54"/>
      <c r="W5698" s="23"/>
      <c r="X5698" s="23"/>
      <c r="Y5698" s="23"/>
      <c r="Z5698" s="43"/>
      <c r="AA5698" s="23"/>
      <c r="AB5698" s="23"/>
      <c r="AC5698" s="23"/>
      <c r="AD5698" s="23"/>
      <c r="AE5698" s="23"/>
      <c r="AF5698" s="23"/>
      <c r="AG5698" s="23"/>
      <c r="AH5698" s="23"/>
      <c r="AI5698" s="48"/>
    </row>
    <row r="5699" spans="1:35">
      <c r="A5699" s="23"/>
      <c r="B5699" s="42"/>
      <c r="C5699" s="49"/>
      <c r="E5699" s="49"/>
      <c r="G5699" s="43"/>
      <c r="H5699" s="44"/>
      <c r="L5699" s="42"/>
      <c r="M5699" s="42"/>
      <c r="N5699" s="25"/>
      <c r="O5699" s="54"/>
      <c r="P5699"/>
      <c r="Q5699" s="25"/>
      <c r="R5699" s="54"/>
      <c r="W5699" s="23"/>
      <c r="X5699" s="23"/>
      <c r="Y5699" s="23"/>
      <c r="Z5699" s="43"/>
      <c r="AA5699" s="23"/>
      <c r="AB5699" s="23"/>
      <c r="AC5699" s="23"/>
      <c r="AD5699" s="23"/>
      <c r="AE5699" s="23"/>
      <c r="AF5699" s="23"/>
      <c r="AG5699" s="23"/>
      <c r="AH5699" s="23"/>
      <c r="AI5699" s="49"/>
    </row>
    <row r="5700" spans="1:35">
      <c r="B5700" s="42"/>
      <c r="G5700" s="43"/>
      <c r="H5700" s="44"/>
      <c r="L5700" s="42"/>
      <c r="M5700" s="42"/>
      <c r="N5700" s="25"/>
      <c r="O5700" s="54"/>
      <c r="P5700"/>
      <c r="Q5700" s="25"/>
      <c r="R5700" s="54"/>
      <c r="W5700" s="23"/>
      <c r="X5700" s="23"/>
      <c r="Y5700" s="23"/>
      <c r="Z5700" s="43"/>
      <c r="AA5700" s="23"/>
      <c r="AB5700" s="23"/>
      <c r="AC5700" s="23"/>
      <c r="AD5700" s="23"/>
      <c r="AE5700" s="23"/>
      <c r="AF5700" s="23"/>
      <c r="AG5700" s="23"/>
      <c r="AH5700" s="23"/>
      <c r="AI5700" s="48"/>
    </row>
    <row r="5701" spans="1:35">
      <c r="B5701" s="42"/>
      <c r="G5701" s="43"/>
      <c r="H5701" s="44"/>
      <c r="L5701" s="42"/>
      <c r="M5701" s="42"/>
      <c r="N5701" s="25"/>
      <c r="O5701" s="54"/>
      <c r="P5701"/>
      <c r="Q5701" s="25"/>
      <c r="R5701" s="54"/>
      <c r="W5701" s="23"/>
      <c r="X5701" s="23"/>
      <c r="Y5701" s="23"/>
      <c r="Z5701" s="43"/>
      <c r="AA5701" s="23"/>
      <c r="AB5701" s="23"/>
      <c r="AC5701" s="23"/>
      <c r="AD5701" s="23"/>
      <c r="AE5701" s="23"/>
      <c r="AF5701" s="23"/>
      <c r="AG5701" s="23"/>
      <c r="AH5701" s="23"/>
      <c r="AI5701" s="48"/>
    </row>
    <row r="5702" spans="1:35">
      <c r="B5702" s="42"/>
      <c r="G5702" s="43"/>
      <c r="H5702" s="44"/>
      <c r="L5702" s="42"/>
      <c r="M5702" s="42"/>
      <c r="N5702" s="25"/>
      <c r="O5702" s="54"/>
      <c r="P5702"/>
      <c r="Q5702" s="25"/>
      <c r="R5702" s="54"/>
      <c r="W5702" s="23"/>
      <c r="X5702" s="23"/>
      <c r="Y5702" s="23"/>
      <c r="Z5702" s="43"/>
      <c r="AA5702" s="23"/>
      <c r="AB5702" s="23"/>
      <c r="AC5702" s="23"/>
      <c r="AD5702" s="23"/>
      <c r="AE5702" s="23"/>
      <c r="AF5702" s="23"/>
      <c r="AG5702" s="23"/>
      <c r="AH5702" s="23"/>
      <c r="AI5702" s="48"/>
    </row>
    <row r="5703" spans="1:35">
      <c r="A5703" s="23"/>
      <c r="B5703" s="42"/>
      <c r="C5703" s="49"/>
      <c r="E5703" s="49"/>
      <c r="G5703" s="43"/>
      <c r="H5703" s="44"/>
      <c r="L5703" s="42"/>
      <c r="M5703" s="42"/>
      <c r="N5703" s="25"/>
      <c r="O5703" s="54"/>
      <c r="P5703"/>
      <c r="Q5703" s="25"/>
      <c r="R5703" s="54"/>
      <c r="W5703" s="23"/>
      <c r="X5703" s="23"/>
      <c r="Y5703" s="23"/>
      <c r="Z5703" s="43"/>
      <c r="AA5703" s="23"/>
      <c r="AB5703" s="23"/>
      <c r="AC5703" s="23"/>
      <c r="AD5703" s="23"/>
      <c r="AE5703" s="23"/>
      <c r="AF5703" s="23"/>
      <c r="AG5703" s="23"/>
      <c r="AH5703" s="23"/>
      <c r="AI5703" s="49"/>
    </row>
    <row r="5704" spans="1:35">
      <c r="A5704" s="23"/>
      <c r="B5704" s="42"/>
      <c r="C5704" s="49"/>
      <c r="E5704" s="49"/>
      <c r="G5704" s="43"/>
      <c r="H5704" s="44"/>
      <c r="L5704" s="42"/>
      <c r="M5704" s="42"/>
      <c r="N5704" s="25"/>
      <c r="O5704" s="54"/>
      <c r="P5704"/>
      <c r="Q5704" s="25"/>
      <c r="R5704" s="54"/>
      <c r="W5704" s="23"/>
      <c r="X5704" s="23"/>
      <c r="Y5704" s="23"/>
      <c r="Z5704" s="43"/>
      <c r="AA5704" s="23"/>
      <c r="AB5704" s="23"/>
      <c r="AC5704" s="23"/>
      <c r="AD5704" s="23"/>
      <c r="AE5704" s="23"/>
      <c r="AF5704" s="23"/>
      <c r="AG5704" s="23"/>
      <c r="AH5704" s="23"/>
      <c r="AI5704" s="49"/>
    </row>
    <row r="5705" spans="1:35">
      <c r="A5705" s="23"/>
      <c r="B5705" s="42"/>
      <c r="C5705" s="49"/>
      <c r="E5705" s="49"/>
      <c r="G5705" s="43"/>
      <c r="H5705" s="44"/>
      <c r="L5705" s="42"/>
      <c r="M5705" s="42"/>
      <c r="N5705" s="25"/>
      <c r="O5705" s="54"/>
      <c r="P5705"/>
      <c r="Q5705" s="25"/>
      <c r="R5705" s="54"/>
      <c r="W5705" s="23"/>
      <c r="X5705" s="23"/>
      <c r="Y5705" s="23"/>
      <c r="Z5705" s="43"/>
      <c r="AA5705" s="23"/>
      <c r="AB5705" s="23"/>
      <c r="AC5705" s="23"/>
      <c r="AD5705" s="23"/>
      <c r="AE5705" s="23"/>
      <c r="AF5705" s="23"/>
      <c r="AG5705" s="23"/>
      <c r="AH5705" s="23"/>
      <c r="AI5705" s="49"/>
    </row>
    <row r="5706" spans="1:35">
      <c r="B5706" s="42"/>
      <c r="G5706" s="43"/>
      <c r="H5706" s="44"/>
      <c r="L5706" s="42"/>
      <c r="M5706" s="42"/>
      <c r="N5706" s="25"/>
      <c r="O5706" s="54"/>
      <c r="P5706"/>
      <c r="Q5706" s="25"/>
      <c r="R5706" s="54"/>
      <c r="W5706" s="23"/>
      <c r="X5706" s="23"/>
      <c r="Y5706" s="23"/>
      <c r="Z5706" s="43"/>
      <c r="AA5706" s="23"/>
      <c r="AB5706" s="23"/>
      <c r="AC5706" s="23"/>
      <c r="AD5706" s="23"/>
      <c r="AE5706" s="23"/>
      <c r="AF5706" s="23"/>
      <c r="AG5706" s="23"/>
      <c r="AH5706" s="23"/>
    </row>
    <row r="5707" spans="1:35">
      <c r="A5707" s="45"/>
      <c r="B5707" s="42"/>
      <c r="C5707" s="45"/>
      <c r="E5707" s="45"/>
      <c r="G5707" s="43"/>
      <c r="H5707" s="44"/>
      <c r="L5707" s="42"/>
      <c r="M5707" s="42"/>
      <c r="N5707" s="25"/>
      <c r="O5707" s="54"/>
      <c r="P5707"/>
      <c r="Q5707" s="25"/>
      <c r="R5707" s="54"/>
      <c r="W5707" s="23"/>
      <c r="X5707" s="23"/>
      <c r="Y5707" s="23"/>
      <c r="Z5707" s="43"/>
      <c r="AA5707" s="23"/>
      <c r="AB5707" s="23"/>
      <c r="AC5707" s="23"/>
      <c r="AD5707" s="23"/>
      <c r="AE5707" s="23"/>
      <c r="AF5707" s="23"/>
      <c r="AG5707" s="23"/>
      <c r="AH5707" s="23"/>
      <c r="AI5707" s="48"/>
    </row>
    <row r="5708" spans="1:35">
      <c r="A5708" s="50"/>
      <c r="B5708" s="42"/>
      <c r="G5708" s="43"/>
      <c r="H5708" s="44"/>
      <c r="L5708" s="42"/>
      <c r="M5708" s="42"/>
      <c r="N5708" s="25"/>
      <c r="O5708" s="54"/>
      <c r="P5708"/>
      <c r="Q5708" s="25"/>
      <c r="R5708" s="54"/>
      <c r="W5708" s="23"/>
      <c r="X5708" s="23"/>
      <c r="Y5708" s="23"/>
      <c r="Z5708" s="43"/>
      <c r="AA5708" s="23"/>
      <c r="AB5708" s="23"/>
      <c r="AC5708" s="23"/>
      <c r="AD5708" s="23"/>
      <c r="AE5708" s="23"/>
      <c r="AF5708" s="23"/>
      <c r="AG5708" s="23"/>
      <c r="AH5708" s="23"/>
    </row>
    <row r="5709" spans="1:35">
      <c r="A5709" s="23"/>
      <c r="B5709" s="42"/>
      <c r="C5709" s="49"/>
      <c r="E5709" s="49"/>
      <c r="G5709" s="43"/>
      <c r="H5709" s="44"/>
      <c r="L5709" s="42"/>
      <c r="M5709" s="42"/>
      <c r="N5709" s="25"/>
      <c r="O5709" s="54"/>
      <c r="P5709"/>
      <c r="Q5709" s="25"/>
      <c r="R5709" s="54"/>
      <c r="W5709" s="23"/>
      <c r="X5709" s="23"/>
      <c r="Y5709" s="23"/>
      <c r="Z5709" s="43"/>
      <c r="AA5709" s="23"/>
      <c r="AB5709" s="23"/>
      <c r="AC5709" s="23"/>
      <c r="AD5709" s="23"/>
      <c r="AE5709" s="23"/>
      <c r="AF5709" s="23"/>
      <c r="AG5709" s="23"/>
      <c r="AH5709" s="23"/>
      <c r="AI5709" s="49"/>
    </row>
    <row r="5710" spans="1:35">
      <c r="A5710" s="23"/>
      <c r="B5710" s="42"/>
      <c r="C5710" s="49"/>
      <c r="E5710" s="49"/>
      <c r="G5710" s="43"/>
      <c r="H5710" s="44"/>
      <c r="L5710" s="42"/>
      <c r="M5710" s="42"/>
      <c r="N5710" s="25"/>
      <c r="O5710" s="54"/>
      <c r="P5710"/>
      <c r="Q5710" s="25"/>
      <c r="R5710" s="54"/>
      <c r="W5710" s="23"/>
      <c r="X5710" s="23"/>
      <c r="Y5710" s="23"/>
      <c r="Z5710" s="43"/>
      <c r="AA5710" s="23"/>
      <c r="AB5710" s="23"/>
      <c r="AC5710" s="23"/>
      <c r="AD5710" s="23"/>
      <c r="AE5710" s="23"/>
      <c r="AF5710" s="23"/>
      <c r="AG5710" s="23"/>
      <c r="AH5710" s="23"/>
      <c r="AI5710" s="49"/>
    </row>
    <row r="5711" spans="1:35">
      <c r="A5711" s="50"/>
      <c r="B5711" s="42"/>
      <c r="G5711" s="43"/>
      <c r="H5711" s="44"/>
      <c r="L5711" s="42"/>
      <c r="M5711" s="42"/>
      <c r="N5711" s="25"/>
      <c r="O5711" s="54"/>
      <c r="P5711"/>
      <c r="Q5711" s="25"/>
      <c r="R5711" s="54"/>
      <c r="W5711" s="23"/>
      <c r="X5711" s="23"/>
      <c r="Y5711" s="23"/>
      <c r="Z5711" s="43"/>
      <c r="AA5711" s="23"/>
      <c r="AB5711" s="23"/>
      <c r="AC5711" s="23"/>
      <c r="AD5711" s="23"/>
      <c r="AE5711" s="23"/>
      <c r="AF5711" s="23"/>
      <c r="AG5711" s="23"/>
      <c r="AH5711" s="23"/>
    </row>
    <row r="5712" spans="1:35">
      <c r="A5712" s="49"/>
      <c r="B5712" s="42"/>
      <c r="C5712" s="49"/>
      <c r="E5712" s="49"/>
      <c r="G5712" s="43"/>
      <c r="H5712" s="44"/>
      <c r="L5712" s="42"/>
      <c r="M5712" s="42"/>
      <c r="N5712" s="25"/>
      <c r="O5712" s="54"/>
      <c r="P5712"/>
      <c r="Q5712" s="25"/>
      <c r="R5712" s="54"/>
      <c r="W5712" s="23"/>
      <c r="X5712" s="23"/>
      <c r="Y5712" s="23"/>
      <c r="Z5712" s="43"/>
      <c r="AA5712" s="23"/>
      <c r="AB5712" s="23"/>
      <c r="AC5712" s="23"/>
      <c r="AD5712" s="23"/>
      <c r="AE5712" s="23"/>
      <c r="AF5712" s="23"/>
      <c r="AG5712" s="23"/>
      <c r="AH5712" s="23"/>
      <c r="AI5712" s="49"/>
    </row>
    <row r="5713" spans="1:35">
      <c r="A5713" s="23"/>
      <c r="B5713" s="42"/>
      <c r="C5713" s="49"/>
      <c r="E5713" s="49"/>
      <c r="G5713" s="43"/>
      <c r="H5713" s="44"/>
      <c r="L5713" s="42"/>
      <c r="M5713" s="42"/>
      <c r="N5713" s="25"/>
      <c r="O5713" s="54"/>
      <c r="P5713"/>
      <c r="Q5713" s="25"/>
      <c r="R5713" s="54"/>
      <c r="W5713" s="23"/>
      <c r="X5713" s="23"/>
      <c r="Y5713" s="23"/>
      <c r="Z5713" s="43"/>
      <c r="AA5713" s="23"/>
      <c r="AB5713" s="23"/>
      <c r="AC5713" s="23"/>
      <c r="AD5713" s="23"/>
      <c r="AE5713" s="23"/>
      <c r="AF5713" s="23"/>
      <c r="AG5713" s="23"/>
      <c r="AH5713" s="23"/>
      <c r="AI5713" s="49"/>
    </row>
    <row r="5714" spans="1:35">
      <c r="A5714" s="23"/>
      <c r="B5714" s="42"/>
      <c r="C5714" s="49"/>
      <c r="E5714" s="49"/>
      <c r="G5714" s="43"/>
      <c r="H5714" s="44"/>
      <c r="L5714" s="42"/>
      <c r="M5714" s="42"/>
      <c r="N5714" s="25"/>
      <c r="O5714" s="54"/>
      <c r="P5714"/>
      <c r="Q5714" s="25"/>
      <c r="R5714" s="54"/>
      <c r="W5714" s="23"/>
      <c r="X5714" s="23"/>
      <c r="Y5714" s="23"/>
      <c r="Z5714" s="43"/>
      <c r="AA5714" s="23"/>
      <c r="AB5714" s="23"/>
      <c r="AC5714" s="23"/>
      <c r="AD5714" s="23"/>
      <c r="AE5714" s="23"/>
      <c r="AF5714" s="23"/>
      <c r="AG5714" s="23"/>
      <c r="AH5714" s="23"/>
      <c r="AI5714" s="49"/>
    </row>
    <row r="5715" spans="1:35">
      <c r="B5715" s="42"/>
      <c r="G5715" s="43"/>
      <c r="H5715" s="44"/>
      <c r="L5715" s="42"/>
      <c r="M5715" s="42"/>
      <c r="N5715" s="25"/>
      <c r="O5715" s="54"/>
      <c r="P5715"/>
      <c r="Q5715" s="25"/>
      <c r="R5715" s="54"/>
      <c r="W5715" s="23"/>
      <c r="X5715" s="23"/>
      <c r="Y5715" s="23"/>
      <c r="Z5715" s="43"/>
      <c r="AA5715" s="23"/>
      <c r="AB5715" s="23"/>
      <c r="AC5715" s="23"/>
      <c r="AD5715" s="23"/>
      <c r="AE5715" s="23"/>
      <c r="AF5715" s="23"/>
      <c r="AG5715" s="23"/>
      <c r="AH5715" s="23"/>
    </row>
    <row r="5716" spans="1:35">
      <c r="A5716" s="23"/>
      <c r="B5716" s="42"/>
      <c r="C5716" s="49"/>
      <c r="E5716" s="49"/>
      <c r="G5716" s="43"/>
      <c r="H5716" s="44"/>
      <c r="L5716" s="42"/>
      <c r="M5716" s="42"/>
      <c r="N5716" s="25"/>
      <c r="O5716" s="54"/>
      <c r="P5716"/>
      <c r="Q5716" s="25"/>
      <c r="R5716" s="54"/>
      <c r="W5716" s="23"/>
      <c r="X5716" s="23"/>
      <c r="Y5716" s="23"/>
      <c r="Z5716" s="43"/>
      <c r="AA5716" s="23"/>
      <c r="AB5716" s="23"/>
      <c r="AC5716" s="23"/>
      <c r="AD5716" s="23"/>
      <c r="AE5716" s="23"/>
      <c r="AF5716" s="23"/>
      <c r="AG5716" s="23"/>
      <c r="AH5716" s="23"/>
      <c r="AI5716" s="49"/>
    </row>
    <row r="5717" spans="1:35">
      <c r="A5717" s="23"/>
      <c r="B5717" s="42"/>
      <c r="G5717" s="43"/>
      <c r="H5717" s="44"/>
      <c r="L5717" s="42"/>
      <c r="M5717" s="42"/>
      <c r="N5717" s="25"/>
      <c r="O5717" s="54"/>
      <c r="P5717"/>
      <c r="Q5717" s="25"/>
      <c r="R5717" s="54"/>
      <c r="W5717" s="23"/>
      <c r="X5717" s="23"/>
      <c r="Y5717" s="23"/>
      <c r="Z5717" s="43"/>
      <c r="AA5717" s="23"/>
      <c r="AB5717" s="23"/>
      <c r="AC5717" s="23"/>
      <c r="AD5717" s="23"/>
      <c r="AE5717" s="23"/>
      <c r="AF5717" s="23"/>
      <c r="AG5717" s="23"/>
      <c r="AH5717" s="23"/>
      <c r="AI5717" s="23"/>
    </row>
    <row r="5718" spans="1:35">
      <c r="B5718" s="42"/>
      <c r="G5718" s="43"/>
      <c r="H5718" s="44"/>
      <c r="L5718" s="42"/>
      <c r="M5718" s="42"/>
      <c r="N5718" s="25"/>
      <c r="O5718" s="54"/>
      <c r="P5718"/>
      <c r="Q5718" s="25"/>
      <c r="R5718" s="54"/>
      <c r="W5718" s="23"/>
      <c r="X5718" s="23"/>
      <c r="Y5718" s="23"/>
      <c r="Z5718" s="43"/>
      <c r="AA5718" s="23"/>
      <c r="AB5718" s="23"/>
      <c r="AC5718" s="23"/>
      <c r="AD5718" s="23"/>
      <c r="AE5718" s="23"/>
      <c r="AF5718" s="23"/>
      <c r="AG5718" s="23"/>
      <c r="AH5718" s="23"/>
      <c r="AI5718" s="48"/>
    </row>
    <row r="5719" spans="1:35">
      <c r="A5719" s="23"/>
      <c r="B5719" s="42"/>
      <c r="G5719" s="43"/>
      <c r="H5719" s="44"/>
      <c r="L5719" s="42"/>
      <c r="M5719" s="42"/>
      <c r="N5719" s="25"/>
      <c r="O5719" s="54"/>
      <c r="P5719"/>
      <c r="Q5719" s="25"/>
      <c r="R5719" s="54"/>
      <c r="W5719" s="23"/>
      <c r="X5719" s="23"/>
      <c r="Y5719" s="23"/>
      <c r="Z5719" s="43"/>
      <c r="AA5719" s="23"/>
      <c r="AB5719" s="23"/>
      <c r="AC5719" s="23"/>
      <c r="AD5719" s="23"/>
      <c r="AE5719" s="23"/>
      <c r="AF5719" s="23"/>
      <c r="AG5719" s="23"/>
      <c r="AH5719" s="23"/>
      <c r="AI5719" s="23"/>
    </row>
    <row r="5720" spans="1:35">
      <c r="B5720" s="42"/>
      <c r="G5720" s="43"/>
      <c r="H5720" s="44"/>
      <c r="L5720" s="42"/>
      <c r="M5720" s="42"/>
      <c r="N5720" s="25"/>
      <c r="O5720" s="54"/>
      <c r="P5720"/>
      <c r="Q5720" s="25"/>
      <c r="R5720" s="54"/>
      <c r="W5720" s="23"/>
      <c r="X5720" s="23"/>
      <c r="Y5720" s="23"/>
      <c r="Z5720" s="43"/>
      <c r="AA5720" s="23"/>
      <c r="AB5720" s="23"/>
      <c r="AC5720" s="23"/>
      <c r="AD5720" s="23"/>
      <c r="AE5720" s="23"/>
      <c r="AF5720" s="23"/>
      <c r="AG5720" s="23"/>
      <c r="AH5720" s="23"/>
    </row>
    <row r="5721" spans="1:35">
      <c r="A5721" s="23"/>
      <c r="B5721" s="42"/>
      <c r="C5721" s="49"/>
      <c r="E5721" s="49"/>
      <c r="G5721" s="43"/>
      <c r="H5721" s="44"/>
      <c r="L5721" s="42"/>
      <c r="M5721" s="42"/>
      <c r="N5721" s="25"/>
      <c r="O5721" s="54"/>
      <c r="P5721"/>
      <c r="Q5721" s="25"/>
      <c r="R5721" s="54"/>
      <c r="W5721" s="23"/>
      <c r="X5721" s="23"/>
      <c r="Y5721" s="23"/>
      <c r="Z5721" s="43"/>
      <c r="AA5721" s="23"/>
      <c r="AB5721" s="23"/>
      <c r="AC5721" s="23"/>
      <c r="AD5721" s="23"/>
      <c r="AE5721" s="23"/>
      <c r="AF5721" s="23"/>
      <c r="AG5721" s="23"/>
      <c r="AH5721" s="23"/>
      <c r="AI5721" s="49"/>
    </row>
    <row r="5722" spans="1:35">
      <c r="B5722" s="42"/>
      <c r="G5722" s="43"/>
      <c r="H5722" s="44"/>
      <c r="L5722" s="42"/>
      <c r="M5722" s="42"/>
      <c r="N5722" s="25"/>
      <c r="O5722" s="54"/>
      <c r="P5722"/>
      <c r="Q5722" s="25"/>
      <c r="R5722" s="54"/>
      <c r="W5722" s="23"/>
      <c r="X5722" s="23"/>
      <c r="Y5722" s="23"/>
      <c r="Z5722" s="43"/>
      <c r="AA5722" s="23"/>
      <c r="AB5722" s="23"/>
      <c r="AC5722" s="23"/>
      <c r="AD5722" s="23"/>
      <c r="AE5722" s="23"/>
      <c r="AF5722" s="23"/>
      <c r="AG5722" s="23"/>
      <c r="AH5722" s="23"/>
    </row>
    <row r="5723" spans="1:35">
      <c r="A5723" s="23"/>
      <c r="B5723" s="42"/>
      <c r="G5723" s="43"/>
      <c r="H5723" s="44"/>
      <c r="L5723" s="42"/>
      <c r="M5723" s="42"/>
      <c r="N5723" s="25"/>
      <c r="O5723" s="54"/>
      <c r="P5723"/>
      <c r="Q5723" s="25"/>
      <c r="R5723" s="54"/>
      <c r="W5723" s="23"/>
      <c r="X5723" s="23"/>
      <c r="Y5723" s="23"/>
      <c r="Z5723" s="43"/>
      <c r="AA5723" s="23"/>
      <c r="AB5723" s="23"/>
      <c r="AC5723" s="23"/>
      <c r="AD5723" s="23"/>
      <c r="AE5723" s="23"/>
      <c r="AF5723" s="23"/>
      <c r="AG5723" s="23"/>
      <c r="AH5723" s="23"/>
    </row>
    <row r="5724" spans="1:35">
      <c r="A5724" s="50"/>
      <c r="B5724" s="42"/>
      <c r="C5724" s="49"/>
      <c r="E5724" s="49"/>
      <c r="G5724" s="43"/>
      <c r="H5724" s="44"/>
      <c r="L5724" s="42"/>
      <c r="M5724" s="42"/>
      <c r="N5724" s="25"/>
      <c r="O5724" s="54"/>
      <c r="P5724"/>
      <c r="Q5724" s="25"/>
      <c r="R5724" s="54"/>
      <c r="W5724" s="23"/>
      <c r="X5724" s="23"/>
      <c r="Y5724" s="23"/>
      <c r="Z5724" s="43"/>
      <c r="AA5724" s="23"/>
      <c r="AB5724" s="23"/>
      <c r="AC5724" s="23"/>
      <c r="AD5724" s="23"/>
      <c r="AE5724" s="23"/>
      <c r="AF5724" s="23"/>
      <c r="AG5724" s="23"/>
      <c r="AH5724" s="23"/>
      <c r="AI5724" s="49"/>
    </row>
    <row r="5725" spans="1:35">
      <c r="B5725" s="42"/>
      <c r="G5725" s="43"/>
      <c r="H5725" s="44"/>
      <c r="L5725" s="42"/>
      <c r="M5725" s="42"/>
      <c r="N5725" s="25"/>
      <c r="O5725" s="54"/>
      <c r="P5725"/>
      <c r="Q5725" s="25"/>
      <c r="R5725" s="54"/>
      <c r="W5725" s="23"/>
      <c r="X5725" s="23"/>
      <c r="Y5725" s="23"/>
      <c r="Z5725" s="43"/>
      <c r="AA5725" s="23"/>
      <c r="AB5725" s="23"/>
      <c r="AC5725" s="23"/>
      <c r="AD5725" s="23"/>
      <c r="AE5725" s="23"/>
      <c r="AF5725" s="23"/>
      <c r="AG5725" s="23"/>
      <c r="AH5725" s="23"/>
      <c r="AI5725" s="48"/>
    </row>
    <row r="5726" spans="1:35">
      <c r="A5726" s="23"/>
      <c r="B5726" s="42"/>
      <c r="C5726" s="49"/>
      <c r="E5726" s="49"/>
      <c r="G5726" s="43"/>
      <c r="H5726" s="44"/>
      <c r="L5726" s="42"/>
      <c r="M5726" s="42"/>
      <c r="N5726" s="25"/>
      <c r="O5726" s="54"/>
      <c r="P5726"/>
      <c r="Q5726" s="25"/>
      <c r="R5726" s="54"/>
      <c r="W5726" s="23"/>
      <c r="X5726" s="23"/>
      <c r="Y5726" s="23"/>
      <c r="Z5726" s="43"/>
      <c r="AA5726" s="23"/>
      <c r="AB5726" s="23"/>
      <c r="AC5726" s="23"/>
      <c r="AD5726" s="23"/>
      <c r="AE5726" s="23"/>
      <c r="AF5726" s="23"/>
      <c r="AG5726" s="23"/>
      <c r="AH5726" s="23"/>
      <c r="AI5726" s="49"/>
    </row>
    <row r="5727" spans="1:35">
      <c r="A5727" s="23"/>
      <c r="B5727" s="42"/>
      <c r="G5727" s="43"/>
      <c r="H5727" s="44"/>
      <c r="L5727" s="42"/>
      <c r="M5727" s="42"/>
      <c r="N5727" s="25"/>
      <c r="O5727" s="54"/>
      <c r="P5727"/>
      <c r="Q5727" s="25"/>
      <c r="R5727" s="54"/>
      <c r="W5727" s="23"/>
      <c r="X5727" s="23"/>
      <c r="Y5727" s="23"/>
      <c r="Z5727" s="43"/>
      <c r="AA5727" s="23"/>
      <c r="AB5727" s="23"/>
      <c r="AC5727" s="23"/>
      <c r="AD5727" s="23"/>
      <c r="AE5727" s="23"/>
      <c r="AF5727" s="23"/>
      <c r="AG5727" s="23"/>
      <c r="AH5727" s="23"/>
      <c r="AI5727" s="23"/>
    </row>
    <row r="5728" spans="1:35">
      <c r="B5728" s="42"/>
      <c r="G5728" s="43"/>
      <c r="H5728" s="44"/>
      <c r="L5728" s="42"/>
      <c r="M5728" s="42"/>
      <c r="N5728" s="25"/>
      <c r="O5728" s="54"/>
      <c r="P5728"/>
      <c r="Q5728" s="25"/>
      <c r="R5728" s="54"/>
      <c r="W5728" s="23"/>
      <c r="X5728" s="23"/>
      <c r="Y5728" s="23"/>
      <c r="Z5728" s="43"/>
      <c r="AA5728" s="23"/>
      <c r="AB5728" s="23"/>
      <c r="AC5728" s="23"/>
      <c r="AD5728" s="23"/>
      <c r="AE5728" s="23"/>
      <c r="AF5728" s="23"/>
      <c r="AG5728" s="23"/>
      <c r="AH5728" s="23"/>
    </row>
    <row r="5729" spans="1:35">
      <c r="B5729" s="42"/>
      <c r="C5729" s="49"/>
      <c r="E5729" s="49"/>
      <c r="G5729" s="43"/>
      <c r="H5729" s="44"/>
      <c r="L5729" s="42"/>
      <c r="M5729" s="42"/>
      <c r="N5729" s="25"/>
      <c r="O5729" s="54"/>
      <c r="P5729"/>
      <c r="Q5729" s="25"/>
      <c r="R5729" s="54"/>
      <c r="W5729" s="23"/>
      <c r="X5729" s="23"/>
      <c r="Y5729" s="23"/>
      <c r="Z5729" s="43"/>
      <c r="AA5729" s="23"/>
      <c r="AB5729" s="23"/>
      <c r="AC5729" s="23"/>
      <c r="AD5729" s="23"/>
      <c r="AE5729" s="23"/>
      <c r="AF5729" s="23"/>
      <c r="AG5729" s="23"/>
      <c r="AH5729" s="23"/>
      <c r="AI5729" s="23"/>
    </row>
    <row r="5730" spans="1:35">
      <c r="B5730" s="42"/>
      <c r="G5730" s="43"/>
      <c r="H5730" s="44"/>
      <c r="L5730" s="42"/>
      <c r="M5730" s="42"/>
      <c r="N5730" s="25"/>
      <c r="O5730" s="54"/>
      <c r="P5730"/>
      <c r="Q5730" s="25"/>
      <c r="R5730" s="54"/>
      <c r="W5730" s="23"/>
      <c r="X5730" s="23"/>
      <c r="Y5730" s="23"/>
      <c r="Z5730" s="43"/>
      <c r="AA5730" s="23"/>
      <c r="AB5730" s="23"/>
      <c r="AC5730" s="23"/>
      <c r="AD5730" s="23"/>
      <c r="AE5730" s="23"/>
      <c r="AF5730" s="23"/>
      <c r="AG5730" s="23"/>
      <c r="AH5730" s="23"/>
      <c r="AI5730" s="48"/>
    </row>
    <row r="5731" spans="1:35">
      <c r="A5731" s="23"/>
      <c r="B5731" s="42"/>
      <c r="G5731" s="43"/>
      <c r="H5731" s="44"/>
      <c r="L5731" s="42"/>
      <c r="M5731" s="42"/>
      <c r="N5731" s="25"/>
      <c r="O5731" s="54"/>
      <c r="P5731"/>
      <c r="Q5731" s="25"/>
      <c r="R5731" s="54"/>
      <c r="W5731" s="23"/>
      <c r="X5731" s="23"/>
      <c r="Y5731" s="23"/>
      <c r="Z5731" s="43"/>
      <c r="AA5731" s="23"/>
      <c r="AB5731" s="23"/>
      <c r="AC5731" s="23"/>
      <c r="AD5731" s="23"/>
      <c r="AE5731" s="23"/>
      <c r="AF5731" s="23"/>
      <c r="AG5731" s="23"/>
      <c r="AH5731" s="23"/>
    </row>
    <row r="5732" spans="1:35">
      <c r="B5732" s="42"/>
      <c r="C5732" s="49"/>
      <c r="E5732" s="49"/>
      <c r="G5732" s="43"/>
      <c r="H5732" s="44"/>
      <c r="L5732" s="42"/>
      <c r="M5732" s="42"/>
      <c r="N5732" s="25"/>
      <c r="O5732" s="54"/>
      <c r="P5732"/>
      <c r="Q5732" s="25"/>
      <c r="R5732" s="54"/>
      <c r="W5732" s="23"/>
      <c r="X5732" s="23"/>
      <c r="Y5732" s="23"/>
      <c r="Z5732" s="43"/>
      <c r="AA5732" s="23"/>
      <c r="AB5732" s="23"/>
      <c r="AC5732" s="23"/>
      <c r="AD5732" s="23"/>
      <c r="AE5732" s="23"/>
      <c r="AF5732" s="23"/>
      <c r="AG5732" s="23"/>
      <c r="AH5732" s="23"/>
      <c r="AI5732" s="23"/>
    </row>
    <row r="5733" spans="1:35">
      <c r="B5733" s="42"/>
      <c r="G5733" s="43"/>
      <c r="H5733" s="44"/>
      <c r="L5733" s="42"/>
      <c r="M5733" s="42"/>
      <c r="N5733" s="25"/>
      <c r="O5733" s="54"/>
      <c r="P5733"/>
      <c r="Q5733" s="25"/>
      <c r="R5733" s="54"/>
      <c r="W5733" s="23"/>
      <c r="X5733" s="23"/>
      <c r="Y5733" s="23"/>
      <c r="Z5733" s="43"/>
      <c r="AA5733" s="23"/>
      <c r="AB5733" s="23"/>
      <c r="AC5733" s="23"/>
      <c r="AD5733" s="23"/>
      <c r="AE5733" s="23"/>
      <c r="AF5733" s="23"/>
      <c r="AG5733" s="23"/>
      <c r="AH5733" s="23"/>
      <c r="AI5733" s="48"/>
    </row>
    <row r="5734" spans="1:35">
      <c r="A5734" s="23"/>
      <c r="B5734" s="42"/>
      <c r="C5734" s="49"/>
      <c r="E5734" s="49"/>
      <c r="G5734" s="43"/>
      <c r="H5734" s="44"/>
      <c r="L5734" s="42"/>
      <c r="M5734" s="42"/>
      <c r="N5734" s="25"/>
      <c r="O5734" s="54"/>
      <c r="P5734"/>
      <c r="Q5734" s="25"/>
      <c r="R5734" s="54"/>
      <c r="W5734" s="23"/>
      <c r="X5734" s="23"/>
      <c r="Y5734" s="23"/>
      <c r="Z5734" s="43"/>
      <c r="AA5734" s="23"/>
      <c r="AB5734" s="23"/>
      <c r="AC5734" s="23"/>
      <c r="AD5734" s="23"/>
      <c r="AE5734" s="23"/>
      <c r="AF5734" s="23"/>
      <c r="AG5734" s="23"/>
      <c r="AH5734" s="23"/>
      <c r="AI5734" s="49"/>
    </row>
    <row r="5735" spans="1:35">
      <c r="B5735" s="42"/>
      <c r="G5735" s="43"/>
      <c r="H5735" s="44"/>
      <c r="L5735" s="42"/>
      <c r="M5735" s="42"/>
      <c r="N5735" s="25"/>
      <c r="O5735" s="54"/>
      <c r="P5735"/>
      <c r="Q5735" s="25"/>
      <c r="R5735" s="54"/>
      <c r="W5735" s="23"/>
      <c r="X5735" s="23"/>
      <c r="Y5735" s="23"/>
      <c r="Z5735" s="43"/>
      <c r="AA5735" s="23"/>
      <c r="AB5735" s="23"/>
      <c r="AC5735" s="23"/>
      <c r="AD5735" s="23"/>
      <c r="AE5735" s="23"/>
      <c r="AF5735" s="23"/>
      <c r="AG5735" s="23"/>
      <c r="AH5735" s="23"/>
    </row>
    <row r="5736" spans="1:35">
      <c r="B5736" s="42"/>
      <c r="C5736" s="49"/>
      <c r="E5736" s="49"/>
      <c r="G5736" s="43"/>
      <c r="H5736" s="44"/>
      <c r="L5736" s="42"/>
      <c r="M5736" s="42"/>
      <c r="N5736" s="25"/>
      <c r="O5736" s="54"/>
      <c r="P5736"/>
      <c r="Q5736" s="25"/>
      <c r="R5736" s="54"/>
      <c r="W5736" s="23"/>
      <c r="X5736" s="23"/>
      <c r="Y5736" s="23"/>
      <c r="Z5736" s="43"/>
      <c r="AA5736" s="23"/>
      <c r="AB5736" s="23"/>
      <c r="AC5736" s="23"/>
      <c r="AD5736" s="23"/>
      <c r="AE5736" s="23"/>
      <c r="AF5736" s="23"/>
      <c r="AG5736" s="23"/>
      <c r="AH5736" s="23"/>
      <c r="AI5736" s="23"/>
    </row>
    <row r="5737" spans="1:35">
      <c r="A5737" s="23"/>
      <c r="B5737" s="42"/>
      <c r="G5737" s="43"/>
      <c r="H5737" s="44"/>
      <c r="L5737" s="42"/>
      <c r="M5737" s="42"/>
      <c r="N5737" s="25"/>
      <c r="O5737" s="54"/>
      <c r="P5737"/>
      <c r="Q5737" s="25"/>
      <c r="R5737" s="54"/>
      <c r="W5737" s="23"/>
      <c r="X5737" s="23"/>
      <c r="Y5737" s="23"/>
      <c r="Z5737" s="43"/>
      <c r="AA5737" s="23"/>
      <c r="AB5737" s="23"/>
      <c r="AC5737" s="23"/>
      <c r="AD5737" s="23"/>
      <c r="AE5737" s="23"/>
      <c r="AF5737" s="23"/>
      <c r="AG5737" s="23"/>
      <c r="AH5737" s="23"/>
    </row>
    <row r="5738" spans="1:35">
      <c r="A5738" s="23"/>
      <c r="B5738" s="42"/>
      <c r="G5738" s="43"/>
      <c r="H5738" s="44"/>
      <c r="L5738" s="42"/>
      <c r="M5738" s="42"/>
      <c r="N5738" s="25"/>
      <c r="O5738" s="54"/>
      <c r="P5738"/>
      <c r="Q5738" s="25"/>
      <c r="R5738" s="54"/>
      <c r="W5738" s="23"/>
      <c r="X5738" s="23"/>
      <c r="Y5738" s="23"/>
      <c r="Z5738" s="43"/>
      <c r="AA5738" s="23"/>
      <c r="AB5738" s="23"/>
      <c r="AC5738" s="23"/>
      <c r="AD5738" s="23"/>
      <c r="AE5738" s="23"/>
      <c r="AF5738" s="23"/>
      <c r="AG5738" s="23"/>
      <c r="AH5738" s="23"/>
      <c r="AI5738" s="23"/>
    </row>
    <row r="5739" spans="1:35">
      <c r="B5739" s="42"/>
      <c r="C5739" s="49"/>
      <c r="E5739" s="49"/>
      <c r="G5739" s="43"/>
      <c r="H5739" s="44"/>
      <c r="L5739" s="42"/>
      <c r="M5739" s="42"/>
      <c r="N5739" s="25"/>
      <c r="O5739" s="54"/>
      <c r="P5739"/>
      <c r="Q5739" s="25"/>
      <c r="R5739" s="54"/>
      <c r="W5739" s="23"/>
      <c r="X5739" s="23"/>
      <c r="Y5739" s="23"/>
      <c r="Z5739" s="43"/>
      <c r="AA5739" s="23"/>
      <c r="AB5739" s="23"/>
      <c r="AC5739" s="23"/>
      <c r="AD5739" s="23"/>
      <c r="AE5739" s="23"/>
      <c r="AF5739" s="23"/>
      <c r="AG5739" s="23"/>
      <c r="AH5739" s="23"/>
      <c r="AI5739" s="23"/>
    </row>
    <row r="5740" spans="1:35">
      <c r="A5740" s="23"/>
      <c r="B5740" s="42"/>
      <c r="C5740" s="49"/>
      <c r="E5740" s="49"/>
      <c r="G5740" s="43"/>
      <c r="H5740" s="44"/>
      <c r="L5740" s="42"/>
      <c r="M5740" s="42"/>
      <c r="N5740" s="25"/>
      <c r="O5740" s="54"/>
      <c r="P5740"/>
      <c r="Q5740" s="25"/>
      <c r="R5740" s="54"/>
      <c r="W5740" s="23"/>
      <c r="X5740" s="23"/>
      <c r="Y5740" s="23"/>
      <c r="Z5740" s="43"/>
      <c r="AA5740" s="23"/>
      <c r="AB5740" s="23"/>
      <c r="AC5740" s="23"/>
      <c r="AD5740" s="23"/>
      <c r="AE5740" s="23"/>
      <c r="AF5740" s="23"/>
      <c r="AG5740" s="23"/>
      <c r="AH5740" s="23"/>
      <c r="AI5740" s="49"/>
    </row>
    <row r="5741" spans="1:35">
      <c r="A5741" s="23"/>
      <c r="B5741" s="42"/>
      <c r="G5741" s="43"/>
      <c r="H5741" s="44"/>
      <c r="L5741" s="42"/>
      <c r="M5741" s="42"/>
      <c r="N5741" s="25"/>
      <c r="O5741" s="54"/>
      <c r="P5741"/>
      <c r="Q5741" s="25"/>
      <c r="R5741" s="54"/>
      <c r="W5741" s="23"/>
      <c r="X5741" s="23"/>
      <c r="Y5741" s="23"/>
      <c r="Z5741" s="43"/>
      <c r="AA5741" s="23"/>
      <c r="AB5741" s="23"/>
      <c r="AC5741" s="23"/>
      <c r="AD5741" s="23"/>
      <c r="AE5741" s="23"/>
      <c r="AF5741" s="23"/>
      <c r="AG5741" s="23"/>
      <c r="AH5741" s="23"/>
    </row>
    <row r="5742" spans="1:35">
      <c r="B5742" s="42"/>
      <c r="G5742" s="43"/>
      <c r="H5742" s="44"/>
      <c r="L5742" s="42"/>
      <c r="M5742" s="42"/>
      <c r="N5742" s="25"/>
      <c r="O5742" s="54"/>
      <c r="P5742"/>
      <c r="Q5742" s="25"/>
      <c r="R5742" s="54"/>
      <c r="W5742" s="23"/>
      <c r="X5742" s="23"/>
      <c r="Y5742" s="23"/>
      <c r="Z5742" s="43"/>
      <c r="AA5742" s="23"/>
      <c r="AB5742" s="23"/>
      <c r="AC5742" s="23"/>
      <c r="AD5742" s="23"/>
      <c r="AE5742" s="23"/>
      <c r="AF5742" s="23"/>
      <c r="AG5742" s="23"/>
      <c r="AH5742" s="23"/>
    </row>
    <row r="5743" spans="1:35">
      <c r="A5743" s="23"/>
      <c r="B5743" s="42"/>
      <c r="G5743" s="43"/>
      <c r="H5743" s="44"/>
      <c r="L5743" s="42"/>
      <c r="M5743" s="42"/>
      <c r="N5743" s="25"/>
      <c r="O5743" s="54"/>
      <c r="P5743"/>
      <c r="Q5743" s="25"/>
      <c r="R5743" s="54"/>
      <c r="W5743" s="23"/>
      <c r="X5743" s="23"/>
      <c r="Y5743" s="23"/>
      <c r="Z5743" s="43"/>
      <c r="AA5743" s="23"/>
      <c r="AB5743" s="23"/>
      <c r="AC5743" s="23"/>
      <c r="AD5743" s="23"/>
      <c r="AE5743" s="23"/>
      <c r="AF5743" s="23"/>
      <c r="AG5743" s="23"/>
      <c r="AH5743" s="23"/>
    </row>
    <row r="5744" spans="1:35">
      <c r="B5744" s="42"/>
      <c r="G5744" s="43"/>
      <c r="H5744" s="44"/>
      <c r="L5744" s="42"/>
      <c r="M5744" s="42"/>
      <c r="N5744" s="25"/>
      <c r="O5744" s="54"/>
      <c r="P5744"/>
      <c r="Q5744" s="25"/>
      <c r="R5744" s="54"/>
      <c r="W5744" s="23"/>
      <c r="X5744" s="23"/>
      <c r="Y5744" s="23"/>
      <c r="Z5744" s="43"/>
      <c r="AA5744" s="23"/>
      <c r="AB5744" s="23"/>
      <c r="AC5744" s="23"/>
      <c r="AD5744" s="23"/>
      <c r="AE5744" s="23"/>
      <c r="AF5744" s="23"/>
      <c r="AG5744" s="23"/>
      <c r="AH5744" s="23"/>
    </row>
    <row r="5745" spans="1:35">
      <c r="A5745" s="23"/>
      <c r="B5745" s="42"/>
      <c r="G5745" s="43"/>
      <c r="H5745" s="44"/>
      <c r="L5745" s="42"/>
      <c r="M5745" s="42"/>
      <c r="N5745" s="25"/>
      <c r="O5745" s="54"/>
      <c r="P5745"/>
      <c r="Q5745" s="25"/>
      <c r="R5745" s="54"/>
      <c r="W5745" s="23"/>
      <c r="X5745" s="23"/>
      <c r="Y5745" s="23"/>
      <c r="Z5745" s="43"/>
      <c r="AA5745" s="23"/>
      <c r="AB5745" s="23"/>
      <c r="AC5745" s="23"/>
      <c r="AD5745" s="23"/>
      <c r="AE5745" s="23"/>
      <c r="AF5745" s="23"/>
      <c r="AG5745" s="23"/>
      <c r="AH5745" s="23"/>
    </row>
    <row r="5746" spans="1:35">
      <c r="A5746" s="23"/>
      <c r="B5746" s="42"/>
      <c r="C5746" s="49"/>
      <c r="E5746" s="49"/>
      <c r="G5746" s="43"/>
      <c r="H5746" s="44"/>
      <c r="L5746" s="42"/>
      <c r="M5746" s="42"/>
      <c r="N5746" s="25"/>
      <c r="O5746" s="54"/>
      <c r="P5746"/>
      <c r="Q5746" s="25"/>
      <c r="R5746" s="54"/>
      <c r="W5746" s="23"/>
      <c r="X5746" s="23"/>
      <c r="Y5746" s="23"/>
      <c r="Z5746" s="43"/>
      <c r="AA5746" s="23"/>
      <c r="AB5746" s="23"/>
      <c r="AC5746" s="23"/>
      <c r="AD5746" s="23"/>
      <c r="AE5746" s="23"/>
      <c r="AF5746" s="23"/>
      <c r="AG5746" s="23"/>
      <c r="AH5746" s="23"/>
      <c r="AI5746" s="49"/>
    </row>
    <row r="5747" spans="1:35">
      <c r="B5747" s="42"/>
      <c r="G5747" s="43"/>
      <c r="H5747" s="44"/>
      <c r="L5747" s="42"/>
      <c r="M5747" s="42"/>
      <c r="N5747" s="25"/>
      <c r="O5747" s="54"/>
      <c r="P5747"/>
      <c r="Q5747" s="25"/>
      <c r="R5747" s="54"/>
      <c r="W5747" s="23"/>
      <c r="X5747" s="23"/>
      <c r="Y5747" s="23"/>
      <c r="Z5747" s="43"/>
      <c r="AA5747" s="23"/>
      <c r="AB5747" s="23"/>
      <c r="AC5747" s="23"/>
      <c r="AD5747" s="23"/>
      <c r="AE5747" s="23"/>
      <c r="AF5747" s="23"/>
      <c r="AG5747" s="23"/>
      <c r="AH5747" s="23"/>
    </row>
    <row r="5748" spans="1:35">
      <c r="A5748" s="23"/>
      <c r="B5748" s="42"/>
      <c r="C5748" s="49"/>
      <c r="E5748" s="49"/>
      <c r="G5748" s="43"/>
      <c r="H5748" s="44"/>
      <c r="L5748" s="42"/>
      <c r="M5748" s="42"/>
      <c r="N5748" s="25"/>
      <c r="O5748" s="54"/>
      <c r="P5748"/>
      <c r="Q5748" s="25"/>
      <c r="R5748" s="54"/>
      <c r="W5748" s="23"/>
      <c r="X5748" s="23"/>
      <c r="Y5748" s="23"/>
      <c r="Z5748" s="43"/>
      <c r="AA5748" s="23"/>
      <c r="AB5748" s="23"/>
      <c r="AC5748" s="23"/>
      <c r="AD5748" s="23"/>
      <c r="AE5748" s="23"/>
      <c r="AF5748" s="23"/>
      <c r="AG5748" s="23"/>
      <c r="AH5748" s="23"/>
      <c r="AI5748" s="49"/>
    </row>
    <row r="5749" spans="1:35">
      <c r="A5749" s="23"/>
      <c r="B5749" s="42"/>
      <c r="G5749" s="43"/>
      <c r="H5749" s="44"/>
      <c r="L5749" s="42"/>
      <c r="M5749" s="42"/>
      <c r="N5749" s="25"/>
      <c r="O5749" s="54"/>
      <c r="P5749"/>
      <c r="Q5749" s="25"/>
      <c r="R5749" s="54"/>
      <c r="W5749" s="23"/>
      <c r="X5749" s="23"/>
      <c r="Y5749" s="23"/>
      <c r="Z5749" s="43"/>
      <c r="AA5749" s="23"/>
      <c r="AB5749" s="23"/>
      <c r="AC5749" s="23"/>
      <c r="AD5749" s="23"/>
      <c r="AE5749" s="23"/>
      <c r="AF5749" s="23"/>
      <c r="AG5749" s="23"/>
      <c r="AH5749" s="23"/>
      <c r="AI5749" s="23"/>
    </row>
    <row r="5750" spans="1:35">
      <c r="B5750" s="42"/>
      <c r="G5750" s="43"/>
      <c r="H5750" s="44"/>
      <c r="L5750" s="42"/>
      <c r="M5750" s="42"/>
      <c r="N5750" s="25"/>
      <c r="O5750" s="54"/>
      <c r="P5750"/>
      <c r="Q5750" s="25"/>
      <c r="R5750" s="54"/>
      <c r="W5750" s="23"/>
      <c r="X5750" s="23"/>
      <c r="Y5750" s="23"/>
      <c r="Z5750" s="43"/>
      <c r="AA5750" s="23"/>
      <c r="AB5750" s="23"/>
      <c r="AC5750" s="23"/>
      <c r="AD5750" s="23"/>
      <c r="AE5750" s="23"/>
      <c r="AF5750" s="23"/>
      <c r="AG5750" s="23"/>
      <c r="AH5750" s="23"/>
      <c r="AI5750" s="48"/>
    </row>
    <row r="5751" spans="1:35">
      <c r="A5751" s="23"/>
      <c r="B5751" s="42"/>
      <c r="G5751" s="43"/>
      <c r="H5751" s="44"/>
      <c r="L5751" s="42"/>
      <c r="M5751" s="42"/>
      <c r="N5751" s="25"/>
      <c r="O5751" s="54"/>
      <c r="P5751"/>
      <c r="Q5751" s="25"/>
      <c r="R5751" s="54"/>
      <c r="W5751" s="23"/>
      <c r="X5751" s="23"/>
      <c r="Y5751" s="23"/>
      <c r="Z5751" s="43"/>
      <c r="AA5751" s="23"/>
      <c r="AB5751" s="23"/>
      <c r="AC5751" s="23"/>
      <c r="AD5751" s="23"/>
      <c r="AE5751" s="23"/>
      <c r="AF5751" s="23"/>
      <c r="AG5751" s="23"/>
      <c r="AH5751" s="23"/>
      <c r="AI5751" s="23"/>
    </row>
    <row r="5752" spans="1:35">
      <c r="A5752" s="23"/>
      <c r="B5752" s="42"/>
      <c r="C5752" s="49"/>
      <c r="E5752" s="49"/>
      <c r="G5752" s="43"/>
      <c r="H5752" s="44"/>
      <c r="L5752" s="42"/>
      <c r="M5752" s="42"/>
      <c r="N5752" s="25"/>
      <c r="O5752" s="54"/>
      <c r="P5752"/>
      <c r="Q5752" s="25"/>
      <c r="R5752" s="54"/>
      <c r="W5752" s="23"/>
      <c r="X5752" s="23"/>
      <c r="Y5752" s="23"/>
      <c r="Z5752" s="43"/>
      <c r="AA5752" s="23"/>
      <c r="AB5752" s="23"/>
      <c r="AC5752" s="23"/>
      <c r="AD5752" s="23"/>
      <c r="AE5752" s="23"/>
      <c r="AF5752" s="23"/>
      <c r="AG5752" s="23"/>
      <c r="AH5752" s="23"/>
      <c r="AI5752" s="49"/>
    </row>
    <row r="5753" spans="1:35">
      <c r="A5753" s="23"/>
      <c r="B5753" s="42"/>
      <c r="G5753" s="43"/>
      <c r="H5753" s="44"/>
      <c r="L5753" s="42"/>
      <c r="M5753" s="42"/>
      <c r="N5753" s="25"/>
      <c r="O5753" s="54"/>
      <c r="P5753"/>
      <c r="Q5753" s="25"/>
      <c r="R5753" s="54"/>
      <c r="W5753" s="23"/>
      <c r="X5753" s="23"/>
      <c r="Y5753" s="23"/>
      <c r="Z5753" s="43"/>
      <c r="AA5753" s="23"/>
      <c r="AB5753" s="23"/>
      <c r="AC5753" s="23"/>
      <c r="AD5753" s="23"/>
      <c r="AE5753" s="23"/>
      <c r="AF5753" s="23"/>
      <c r="AG5753" s="23"/>
      <c r="AH5753" s="23"/>
      <c r="AI5753" s="23"/>
    </row>
    <row r="5754" spans="1:35">
      <c r="A5754" s="23"/>
      <c r="B5754" s="42"/>
      <c r="C5754" s="49"/>
      <c r="E5754" s="49"/>
      <c r="G5754" s="43"/>
      <c r="H5754" s="44"/>
      <c r="L5754" s="42"/>
      <c r="M5754" s="42"/>
      <c r="N5754" s="25"/>
      <c r="O5754" s="54"/>
      <c r="P5754"/>
      <c r="Q5754" s="25"/>
      <c r="R5754" s="54"/>
      <c r="W5754" s="23"/>
      <c r="X5754" s="23"/>
      <c r="Y5754" s="23"/>
      <c r="Z5754" s="43"/>
      <c r="AA5754" s="23"/>
      <c r="AB5754" s="23"/>
      <c r="AC5754" s="23"/>
      <c r="AD5754" s="23"/>
      <c r="AE5754" s="23"/>
      <c r="AF5754" s="23"/>
      <c r="AG5754" s="23"/>
      <c r="AH5754" s="23"/>
      <c r="AI5754" s="49"/>
    </row>
    <row r="5755" spans="1:35">
      <c r="A5755" s="23"/>
      <c r="B5755" s="42"/>
      <c r="G5755" s="43"/>
      <c r="H5755" s="44"/>
      <c r="L5755" s="42"/>
      <c r="M5755" s="42"/>
      <c r="N5755" s="25"/>
      <c r="O5755" s="54"/>
      <c r="P5755"/>
      <c r="Q5755" s="25"/>
      <c r="R5755" s="54"/>
      <c r="W5755" s="23"/>
      <c r="X5755" s="23"/>
      <c r="Y5755" s="23"/>
      <c r="Z5755" s="43"/>
      <c r="AA5755" s="23"/>
      <c r="AB5755" s="23"/>
      <c r="AC5755" s="23"/>
      <c r="AD5755" s="23"/>
      <c r="AE5755" s="23"/>
      <c r="AF5755" s="23"/>
      <c r="AG5755" s="23"/>
      <c r="AH5755" s="23"/>
      <c r="AI5755" s="23"/>
    </row>
    <row r="5756" spans="1:35">
      <c r="A5756" s="50"/>
      <c r="B5756" s="42"/>
      <c r="C5756" s="49"/>
      <c r="E5756" s="49"/>
      <c r="G5756" s="43"/>
      <c r="H5756" s="44"/>
      <c r="L5756" s="42"/>
      <c r="M5756" s="42"/>
      <c r="N5756" s="25"/>
      <c r="O5756" s="54"/>
      <c r="P5756"/>
      <c r="Q5756" s="25"/>
      <c r="R5756" s="54"/>
      <c r="W5756" s="23"/>
      <c r="X5756" s="23"/>
      <c r="Y5756" s="23"/>
      <c r="Z5756" s="43"/>
      <c r="AA5756" s="23"/>
      <c r="AB5756" s="23"/>
      <c r="AC5756" s="23"/>
      <c r="AD5756" s="23"/>
      <c r="AE5756" s="23"/>
      <c r="AF5756" s="23"/>
      <c r="AG5756" s="23"/>
      <c r="AH5756" s="23"/>
      <c r="AI5756" s="49"/>
    </row>
    <row r="5757" spans="1:35">
      <c r="B5757" s="42"/>
      <c r="G5757" s="43"/>
      <c r="H5757" s="44"/>
      <c r="L5757" s="42"/>
      <c r="M5757" s="42"/>
      <c r="N5757" s="25"/>
      <c r="O5757" s="54"/>
      <c r="P5757"/>
      <c r="Q5757" s="25"/>
      <c r="R5757" s="54"/>
      <c r="W5757" s="23"/>
      <c r="X5757" s="23"/>
      <c r="Y5757" s="23"/>
      <c r="Z5757" s="43"/>
      <c r="AA5757" s="23"/>
      <c r="AB5757" s="23"/>
      <c r="AC5757" s="23"/>
      <c r="AD5757" s="23"/>
      <c r="AE5757" s="23"/>
      <c r="AF5757" s="23"/>
      <c r="AG5757" s="23"/>
      <c r="AH5757" s="23"/>
      <c r="AI5757" s="48"/>
    </row>
    <row r="5758" spans="1:35">
      <c r="B5758" s="42"/>
      <c r="G5758" s="43"/>
      <c r="H5758" s="44"/>
      <c r="L5758" s="42"/>
      <c r="M5758" s="42"/>
      <c r="N5758" s="25"/>
      <c r="O5758" s="54"/>
      <c r="P5758"/>
      <c r="Q5758" s="25"/>
      <c r="R5758" s="54"/>
      <c r="W5758" s="23"/>
      <c r="X5758" s="23"/>
      <c r="Y5758" s="23"/>
      <c r="Z5758" s="43"/>
      <c r="AA5758" s="23"/>
      <c r="AB5758" s="23"/>
      <c r="AC5758" s="23"/>
      <c r="AD5758" s="23"/>
      <c r="AE5758" s="23"/>
      <c r="AF5758" s="23"/>
      <c r="AG5758" s="23"/>
      <c r="AH5758" s="23"/>
      <c r="AI5758" s="48"/>
    </row>
    <row r="5759" spans="1:35">
      <c r="A5759" s="23"/>
      <c r="B5759" s="42"/>
      <c r="C5759" s="49"/>
      <c r="E5759" s="49"/>
      <c r="G5759" s="43"/>
      <c r="H5759" s="44"/>
      <c r="L5759" s="42"/>
      <c r="M5759" s="42"/>
      <c r="N5759" s="25"/>
      <c r="O5759" s="54"/>
      <c r="P5759"/>
      <c r="Q5759" s="25"/>
      <c r="R5759" s="54"/>
      <c r="W5759" s="23"/>
      <c r="X5759" s="23"/>
      <c r="Y5759" s="23"/>
      <c r="Z5759" s="43"/>
      <c r="AA5759" s="23"/>
      <c r="AB5759" s="23"/>
      <c r="AC5759" s="23"/>
      <c r="AD5759" s="23"/>
      <c r="AE5759" s="23"/>
      <c r="AF5759" s="23"/>
      <c r="AG5759" s="23"/>
      <c r="AH5759" s="23"/>
      <c r="AI5759" s="49"/>
    </row>
    <row r="5760" spans="1:35">
      <c r="A5760" s="23"/>
      <c r="B5760" s="42"/>
      <c r="G5760" s="43"/>
      <c r="H5760" s="44"/>
      <c r="L5760" s="42"/>
      <c r="M5760" s="42"/>
      <c r="N5760" s="25"/>
      <c r="O5760" s="54"/>
      <c r="P5760"/>
      <c r="Q5760" s="25"/>
      <c r="R5760" s="54"/>
      <c r="W5760" s="23"/>
      <c r="X5760" s="23"/>
      <c r="Y5760" s="23"/>
      <c r="Z5760" s="43"/>
      <c r="AA5760" s="23"/>
      <c r="AB5760" s="23"/>
      <c r="AC5760" s="23"/>
      <c r="AD5760" s="23"/>
      <c r="AE5760" s="23"/>
      <c r="AF5760" s="23"/>
      <c r="AG5760" s="23"/>
      <c r="AH5760" s="23"/>
      <c r="AI5760" s="23"/>
    </row>
    <row r="5761" spans="1:35">
      <c r="A5761" s="23"/>
      <c r="B5761" s="42"/>
      <c r="C5761" s="49"/>
      <c r="E5761" s="49"/>
      <c r="G5761" s="43"/>
      <c r="H5761" s="44"/>
      <c r="L5761" s="42"/>
      <c r="M5761" s="42"/>
      <c r="N5761" s="25"/>
      <c r="O5761" s="54"/>
      <c r="P5761"/>
      <c r="Q5761" s="25"/>
      <c r="R5761" s="54"/>
      <c r="W5761" s="23"/>
      <c r="X5761" s="23"/>
      <c r="Y5761" s="23"/>
      <c r="Z5761" s="43"/>
      <c r="AA5761" s="23"/>
      <c r="AB5761" s="23"/>
      <c r="AC5761" s="23"/>
      <c r="AD5761" s="23"/>
      <c r="AE5761" s="23"/>
      <c r="AF5761" s="23"/>
      <c r="AG5761" s="23"/>
      <c r="AH5761" s="23"/>
      <c r="AI5761" s="49"/>
    </row>
    <row r="5762" spans="1:35">
      <c r="B5762" s="42"/>
      <c r="G5762" s="43"/>
      <c r="H5762" s="44"/>
      <c r="L5762" s="42"/>
      <c r="M5762" s="42"/>
      <c r="N5762" s="25"/>
      <c r="O5762" s="54"/>
      <c r="P5762"/>
      <c r="Q5762" s="25"/>
      <c r="R5762" s="54"/>
      <c r="W5762" s="23"/>
      <c r="X5762" s="23"/>
      <c r="Y5762" s="23"/>
      <c r="Z5762" s="43"/>
      <c r="AA5762" s="23"/>
      <c r="AB5762" s="23"/>
      <c r="AC5762" s="23"/>
      <c r="AD5762" s="23"/>
      <c r="AE5762" s="23"/>
      <c r="AF5762" s="23"/>
      <c r="AG5762" s="23"/>
      <c r="AH5762" s="23"/>
    </row>
    <row r="5763" spans="1:35">
      <c r="A5763" s="23"/>
      <c r="B5763" s="42"/>
      <c r="G5763" s="43"/>
      <c r="H5763" s="44"/>
      <c r="L5763" s="42"/>
      <c r="M5763" s="42"/>
      <c r="N5763" s="25"/>
      <c r="O5763" s="54"/>
      <c r="P5763"/>
      <c r="Q5763" s="25"/>
      <c r="R5763" s="54"/>
      <c r="W5763" s="23"/>
      <c r="X5763" s="23"/>
      <c r="Y5763" s="23"/>
      <c r="Z5763" s="43"/>
      <c r="AA5763" s="23"/>
      <c r="AB5763" s="23"/>
      <c r="AC5763" s="23"/>
      <c r="AD5763" s="23"/>
      <c r="AE5763" s="23"/>
      <c r="AF5763" s="23"/>
      <c r="AG5763" s="23"/>
      <c r="AH5763" s="23"/>
      <c r="AI5763" s="23"/>
    </row>
    <row r="5764" spans="1:35">
      <c r="A5764" s="23"/>
      <c r="B5764" s="42"/>
      <c r="G5764" s="43"/>
      <c r="H5764" s="44"/>
      <c r="L5764" s="42"/>
      <c r="M5764" s="42"/>
      <c r="N5764" s="25"/>
      <c r="O5764" s="54"/>
      <c r="P5764"/>
      <c r="Q5764" s="25"/>
      <c r="R5764" s="54"/>
      <c r="W5764" s="23"/>
      <c r="X5764" s="23"/>
      <c r="Y5764" s="23"/>
      <c r="Z5764" s="43"/>
      <c r="AA5764" s="23"/>
      <c r="AB5764" s="23"/>
      <c r="AC5764" s="23"/>
      <c r="AD5764" s="23"/>
      <c r="AE5764" s="23"/>
      <c r="AF5764" s="23"/>
      <c r="AG5764" s="23"/>
      <c r="AH5764" s="23"/>
      <c r="AI5764" s="23"/>
    </row>
    <row r="5765" spans="1:35">
      <c r="A5765" s="23"/>
      <c r="B5765" s="42"/>
      <c r="G5765" s="43"/>
      <c r="H5765" s="44"/>
      <c r="L5765" s="42"/>
      <c r="M5765" s="42"/>
      <c r="N5765" s="25"/>
      <c r="O5765" s="54"/>
      <c r="P5765"/>
      <c r="Q5765" s="25"/>
      <c r="R5765" s="54"/>
      <c r="W5765" s="23"/>
      <c r="X5765" s="23"/>
      <c r="Y5765" s="23"/>
      <c r="Z5765" s="43"/>
      <c r="AA5765" s="23"/>
      <c r="AB5765" s="23"/>
      <c r="AC5765" s="23"/>
      <c r="AD5765" s="23"/>
      <c r="AE5765" s="23"/>
      <c r="AF5765" s="23"/>
      <c r="AG5765" s="23"/>
      <c r="AH5765" s="23"/>
      <c r="AI5765" s="23"/>
    </row>
    <row r="5766" spans="1:35">
      <c r="A5766" s="50"/>
      <c r="B5766" s="42"/>
      <c r="C5766" s="49"/>
      <c r="E5766" s="49"/>
      <c r="G5766" s="43"/>
      <c r="H5766" s="44"/>
      <c r="L5766" s="42"/>
      <c r="M5766" s="42"/>
      <c r="N5766" s="25"/>
      <c r="O5766" s="54"/>
      <c r="P5766"/>
      <c r="Q5766" s="25"/>
      <c r="R5766" s="54"/>
      <c r="W5766" s="23"/>
      <c r="X5766" s="23"/>
      <c r="Y5766" s="23"/>
      <c r="Z5766" s="43"/>
      <c r="AA5766" s="23"/>
      <c r="AB5766" s="23"/>
      <c r="AC5766" s="23"/>
      <c r="AD5766" s="23"/>
      <c r="AE5766" s="23"/>
      <c r="AF5766" s="23"/>
      <c r="AG5766" s="23"/>
      <c r="AH5766" s="23"/>
      <c r="AI5766" s="49"/>
    </row>
    <row r="5767" spans="1:35">
      <c r="A5767" s="23"/>
      <c r="B5767" s="42"/>
      <c r="C5767" s="49"/>
      <c r="E5767" s="49"/>
      <c r="G5767" s="43"/>
      <c r="H5767" s="44"/>
      <c r="L5767" s="42"/>
      <c r="M5767" s="42"/>
      <c r="N5767" s="25"/>
      <c r="O5767" s="54"/>
      <c r="P5767"/>
      <c r="Q5767" s="25"/>
      <c r="R5767" s="54"/>
      <c r="W5767" s="23"/>
      <c r="X5767" s="23"/>
      <c r="Y5767" s="23"/>
      <c r="Z5767" s="43"/>
      <c r="AA5767" s="23"/>
      <c r="AB5767" s="23"/>
      <c r="AC5767" s="23"/>
      <c r="AD5767" s="23"/>
      <c r="AE5767" s="23"/>
      <c r="AF5767" s="23"/>
      <c r="AG5767" s="23"/>
      <c r="AH5767" s="23"/>
      <c r="AI5767" s="49"/>
    </row>
    <row r="5768" spans="1:35">
      <c r="A5768" s="23"/>
      <c r="B5768" s="42"/>
      <c r="G5768" s="43"/>
      <c r="H5768" s="44"/>
      <c r="L5768" s="42"/>
      <c r="M5768" s="42"/>
      <c r="N5768" s="25"/>
      <c r="O5768" s="54"/>
      <c r="P5768"/>
      <c r="Q5768" s="25"/>
      <c r="R5768" s="54"/>
      <c r="W5768" s="23"/>
      <c r="X5768" s="23"/>
      <c r="Y5768" s="23"/>
      <c r="Z5768" s="43"/>
      <c r="AA5768" s="23"/>
      <c r="AB5768" s="23"/>
      <c r="AC5768" s="23"/>
      <c r="AD5768" s="23"/>
      <c r="AE5768" s="23"/>
      <c r="AF5768" s="23"/>
      <c r="AG5768" s="23"/>
      <c r="AH5768" s="23"/>
      <c r="AI5768" s="23"/>
    </row>
    <row r="5769" spans="1:35">
      <c r="A5769" s="23"/>
      <c r="B5769" s="42"/>
      <c r="C5769" s="49"/>
      <c r="E5769" s="49"/>
      <c r="G5769" s="43"/>
      <c r="H5769" s="44"/>
      <c r="L5769" s="42"/>
      <c r="M5769" s="42"/>
      <c r="N5769" s="25"/>
      <c r="O5769" s="54"/>
      <c r="P5769"/>
      <c r="Q5769" s="25"/>
      <c r="R5769" s="54"/>
      <c r="W5769" s="23"/>
      <c r="X5769" s="23"/>
      <c r="Y5769" s="23"/>
      <c r="Z5769" s="43"/>
      <c r="AA5769" s="23"/>
      <c r="AB5769" s="23"/>
      <c r="AC5769" s="23"/>
      <c r="AD5769" s="23"/>
      <c r="AE5769" s="23"/>
      <c r="AF5769" s="23"/>
      <c r="AG5769" s="23"/>
      <c r="AH5769" s="23"/>
      <c r="AI5769" s="49"/>
    </row>
    <row r="5770" spans="1:35">
      <c r="A5770" s="23"/>
      <c r="B5770" s="42"/>
      <c r="G5770" s="43"/>
      <c r="H5770" s="44"/>
      <c r="L5770" s="42"/>
      <c r="M5770" s="42"/>
      <c r="N5770" s="25"/>
      <c r="O5770" s="54"/>
      <c r="P5770"/>
      <c r="Q5770" s="25"/>
      <c r="R5770" s="54"/>
      <c r="W5770" s="23"/>
      <c r="X5770" s="23"/>
      <c r="Y5770" s="23"/>
      <c r="Z5770" s="43"/>
      <c r="AA5770" s="23"/>
      <c r="AB5770" s="23"/>
      <c r="AC5770" s="23"/>
      <c r="AD5770" s="23"/>
      <c r="AE5770" s="23"/>
      <c r="AF5770" s="23"/>
      <c r="AG5770" s="23"/>
      <c r="AH5770" s="23"/>
      <c r="AI5770" s="23"/>
    </row>
    <row r="5771" spans="1:35">
      <c r="A5771" s="50"/>
      <c r="B5771" s="42"/>
      <c r="C5771" s="49"/>
      <c r="E5771" s="49"/>
      <c r="G5771" s="43"/>
      <c r="H5771" s="44"/>
      <c r="L5771" s="42"/>
      <c r="M5771" s="42"/>
      <c r="N5771" s="25"/>
      <c r="O5771" s="54"/>
      <c r="P5771"/>
      <c r="Q5771" s="25"/>
      <c r="R5771" s="54"/>
      <c r="W5771" s="23"/>
      <c r="X5771" s="23"/>
      <c r="Y5771" s="23"/>
      <c r="Z5771" s="43"/>
      <c r="AA5771" s="23"/>
      <c r="AB5771" s="23"/>
      <c r="AC5771" s="23"/>
      <c r="AD5771" s="23"/>
      <c r="AE5771" s="23"/>
      <c r="AF5771" s="23"/>
      <c r="AG5771" s="23"/>
      <c r="AH5771" s="23"/>
      <c r="AI5771" s="49"/>
    </row>
    <row r="5772" spans="1:35">
      <c r="A5772" s="50"/>
      <c r="B5772" s="42"/>
      <c r="C5772" s="49"/>
      <c r="E5772" s="49"/>
      <c r="G5772" s="43"/>
      <c r="H5772" s="44"/>
      <c r="L5772" s="42"/>
      <c r="M5772" s="42"/>
      <c r="N5772" s="25"/>
      <c r="O5772" s="54"/>
      <c r="P5772"/>
      <c r="Q5772" s="25"/>
      <c r="R5772" s="54"/>
      <c r="W5772" s="23"/>
      <c r="X5772" s="23"/>
      <c r="Y5772" s="23"/>
      <c r="Z5772" s="43"/>
      <c r="AA5772" s="23"/>
      <c r="AB5772" s="23"/>
      <c r="AC5772" s="23"/>
      <c r="AD5772" s="23"/>
      <c r="AE5772" s="23"/>
      <c r="AF5772" s="23"/>
      <c r="AG5772" s="23"/>
      <c r="AH5772" s="23"/>
      <c r="AI5772" s="49"/>
    </row>
    <row r="5773" spans="1:35">
      <c r="B5773" s="42"/>
      <c r="G5773" s="43"/>
      <c r="H5773" s="44"/>
      <c r="L5773" s="42"/>
      <c r="M5773" s="42"/>
      <c r="N5773" s="25"/>
      <c r="O5773" s="54"/>
      <c r="P5773"/>
      <c r="Q5773" s="25"/>
      <c r="R5773" s="54"/>
      <c r="W5773" s="23"/>
      <c r="X5773" s="23"/>
      <c r="Y5773" s="23"/>
      <c r="Z5773" s="43"/>
      <c r="AA5773" s="23"/>
      <c r="AB5773" s="23"/>
      <c r="AC5773" s="23"/>
      <c r="AD5773" s="23"/>
      <c r="AE5773" s="23"/>
      <c r="AF5773" s="23"/>
      <c r="AG5773" s="23"/>
      <c r="AH5773" s="23"/>
    </row>
    <row r="5774" spans="1:35">
      <c r="B5774" s="42"/>
      <c r="G5774" s="43"/>
      <c r="H5774" s="44"/>
      <c r="L5774" s="42"/>
      <c r="M5774" s="42"/>
      <c r="N5774" s="25"/>
      <c r="O5774" s="54"/>
      <c r="P5774"/>
      <c r="Q5774" s="25"/>
      <c r="R5774" s="54"/>
      <c r="W5774" s="23"/>
      <c r="X5774" s="23"/>
      <c r="Y5774" s="23"/>
      <c r="Z5774" s="43"/>
      <c r="AA5774" s="23"/>
      <c r="AB5774" s="23"/>
      <c r="AC5774" s="23"/>
      <c r="AD5774" s="23"/>
      <c r="AE5774" s="23"/>
      <c r="AF5774" s="23"/>
      <c r="AG5774" s="23"/>
      <c r="AH5774" s="23"/>
      <c r="AI5774" s="48"/>
    </row>
    <row r="5775" spans="1:35">
      <c r="A5775" s="49"/>
      <c r="B5775" s="42"/>
      <c r="C5775" s="49"/>
      <c r="E5775" s="49"/>
      <c r="G5775" s="43"/>
      <c r="H5775" s="44"/>
      <c r="L5775" s="42"/>
      <c r="M5775" s="42"/>
      <c r="N5775" s="25"/>
      <c r="O5775" s="54"/>
      <c r="P5775"/>
      <c r="Q5775" s="25"/>
      <c r="R5775" s="54"/>
      <c r="W5775" s="23"/>
      <c r="X5775" s="23"/>
      <c r="Y5775" s="23"/>
      <c r="Z5775" s="43"/>
      <c r="AA5775" s="23"/>
      <c r="AB5775" s="23"/>
      <c r="AC5775" s="23"/>
      <c r="AD5775" s="23"/>
      <c r="AE5775" s="23"/>
      <c r="AF5775" s="23"/>
      <c r="AG5775" s="23"/>
      <c r="AH5775" s="23"/>
      <c r="AI5775" s="49"/>
    </row>
    <row r="5776" spans="1:35">
      <c r="A5776" s="23"/>
      <c r="B5776" s="42"/>
      <c r="C5776" s="49"/>
      <c r="E5776" s="49"/>
      <c r="G5776" s="43"/>
      <c r="H5776" s="44"/>
      <c r="L5776" s="42"/>
      <c r="M5776" s="42"/>
      <c r="N5776" s="25"/>
      <c r="O5776" s="54"/>
      <c r="P5776"/>
      <c r="Q5776" s="25"/>
      <c r="R5776" s="54"/>
      <c r="W5776" s="23"/>
      <c r="X5776" s="23"/>
      <c r="Y5776" s="23"/>
      <c r="Z5776" s="43"/>
      <c r="AA5776" s="23"/>
      <c r="AB5776" s="23"/>
      <c r="AC5776" s="23"/>
      <c r="AD5776" s="23"/>
      <c r="AE5776" s="23"/>
      <c r="AF5776" s="23"/>
      <c r="AG5776" s="23"/>
      <c r="AH5776" s="23"/>
      <c r="AI5776" s="49"/>
    </row>
    <row r="5777" spans="1:35">
      <c r="A5777" s="23"/>
      <c r="B5777" s="42"/>
      <c r="C5777" s="49"/>
      <c r="E5777" s="49"/>
      <c r="G5777" s="43"/>
      <c r="H5777" s="44"/>
      <c r="L5777" s="42"/>
      <c r="M5777" s="42"/>
      <c r="N5777" s="25"/>
      <c r="O5777" s="54"/>
      <c r="P5777"/>
      <c r="Q5777" s="25"/>
      <c r="R5777" s="54"/>
      <c r="W5777" s="23"/>
      <c r="X5777" s="23"/>
      <c r="Y5777" s="23"/>
      <c r="Z5777" s="43"/>
      <c r="AA5777" s="23"/>
      <c r="AB5777" s="23"/>
      <c r="AC5777" s="23"/>
      <c r="AD5777" s="23"/>
      <c r="AE5777" s="23"/>
      <c r="AF5777" s="23"/>
      <c r="AG5777" s="23"/>
      <c r="AH5777" s="23"/>
      <c r="AI5777" s="49"/>
    </row>
    <row r="5778" spans="1:35">
      <c r="A5778" s="23"/>
      <c r="B5778" s="42"/>
      <c r="C5778" s="49"/>
      <c r="E5778" s="49"/>
      <c r="G5778" s="43"/>
      <c r="H5778" s="44"/>
      <c r="L5778" s="42"/>
      <c r="M5778" s="42"/>
      <c r="N5778" s="25"/>
      <c r="O5778" s="54"/>
      <c r="P5778"/>
      <c r="Q5778" s="25"/>
      <c r="R5778" s="54"/>
      <c r="W5778" s="23"/>
      <c r="X5778" s="23"/>
      <c r="Y5778" s="23"/>
      <c r="Z5778" s="43"/>
      <c r="AA5778" s="23"/>
      <c r="AB5778" s="23"/>
      <c r="AC5778" s="23"/>
      <c r="AD5778" s="23"/>
      <c r="AE5778" s="23"/>
      <c r="AF5778" s="23"/>
      <c r="AG5778" s="23"/>
      <c r="AH5778" s="23"/>
      <c r="AI5778" s="49"/>
    </row>
    <row r="5779" spans="1:35">
      <c r="A5779" s="23"/>
      <c r="B5779" s="42"/>
      <c r="C5779" s="49"/>
      <c r="E5779" s="49"/>
      <c r="G5779" s="43"/>
      <c r="H5779" s="44"/>
      <c r="L5779" s="42"/>
      <c r="M5779" s="42"/>
      <c r="N5779" s="25"/>
      <c r="O5779" s="54"/>
      <c r="P5779"/>
      <c r="Q5779" s="25"/>
      <c r="R5779" s="54"/>
      <c r="W5779" s="23"/>
      <c r="X5779" s="23"/>
      <c r="Y5779" s="23"/>
      <c r="Z5779" s="43"/>
      <c r="AA5779" s="23"/>
      <c r="AB5779" s="23"/>
      <c r="AC5779" s="23"/>
      <c r="AD5779" s="23"/>
      <c r="AE5779" s="23"/>
      <c r="AF5779" s="23"/>
      <c r="AG5779" s="23"/>
      <c r="AH5779" s="23"/>
      <c r="AI5779" s="49"/>
    </row>
    <row r="5780" spans="1:35">
      <c r="A5780" s="49"/>
      <c r="B5780" s="42"/>
      <c r="C5780" s="49"/>
      <c r="E5780" s="49"/>
      <c r="G5780" s="43"/>
      <c r="H5780" s="44"/>
      <c r="L5780" s="42"/>
      <c r="M5780" s="42"/>
      <c r="N5780" s="25"/>
      <c r="O5780" s="54"/>
      <c r="P5780"/>
      <c r="Q5780" s="25"/>
      <c r="R5780" s="54"/>
      <c r="W5780" s="23"/>
      <c r="X5780" s="23"/>
      <c r="Y5780" s="23"/>
      <c r="Z5780" s="43"/>
      <c r="AA5780" s="23"/>
      <c r="AB5780" s="23"/>
      <c r="AC5780" s="23"/>
      <c r="AD5780" s="23"/>
      <c r="AE5780" s="23"/>
      <c r="AF5780" s="23"/>
      <c r="AG5780" s="23"/>
      <c r="AH5780" s="23"/>
      <c r="AI5780" s="49"/>
    </row>
    <row r="5781" spans="1:35">
      <c r="B5781" s="42"/>
      <c r="G5781" s="43"/>
      <c r="H5781" s="44"/>
      <c r="L5781" s="42"/>
      <c r="M5781" s="42"/>
      <c r="N5781" s="25"/>
      <c r="O5781" s="54"/>
      <c r="P5781"/>
      <c r="Q5781" s="25"/>
      <c r="R5781" s="54"/>
      <c r="W5781" s="23"/>
      <c r="X5781" s="23"/>
      <c r="Y5781" s="23"/>
      <c r="Z5781" s="43"/>
      <c r="AA5781" s="23"/>
      <c r="AB5781" s="23"/>
      <c r="AC5781" s="23"/>
      <c r="AD5781" s="23"/>
      <c r="AE5781" s="23"/>
      <c r="AF5781" s="23"/>
      <c r="AG5781" s="23"/>
      <c r="AH5781" s="23"/>
    </row>
    <row r="5782" spans="1:35">
      <c r="A5782" s="23"/>
      <c r="B5782" s="42"/>
      <c r="G5782" s="43"/>
      <c r="H5782" s="44"/>
      <c r="L5782" s="42"/>
      <c r="M5782" s="42"/>
      <c r="N5782" s="25"/>
      <c r="O5782" s="54"/>
      <c r="P5782"/>
      <c r="Q5782" s="25"/>
      <c r="R5782" s="54"/>
      <c r="W5782" s="23"/>
      <c r="X5782" s="23"/>
      <c r="Y5782" s="23"/>
      <c r="Z5782" s="43"/>
      <c r="AA5782" s="23"/>
      <c r="AB5782" s="23"/>
      <c r="AC5782" s="23"/>
      <c r="AD5782" s="23"/>
      <c r="AE5782" s="23"/>
      <c r="AF5782" s="23"/>
      <c r="AG5782" s="23"/>
      <c r="AH5782" s="23"/>
      <c r="AI5782" s="23"/>
    </row>
    <row r="5783" spans="1:35">
      <c r="A5783" s="23"/>
      <c r="B5783" s="42"/>
      <c r="C5783" s="49"/>
      <c r="E5783" s="49"/>
      <c r="G5783" s="43"/>
      <c r="H5783" s="44"/>
      <c r="L5783" s="42"/>
      <c r="M5783" s="42"/>
      <c r="N5783" s="25"/>
      <c r="O5783" s="54"/>
      <c r="P5783"/>
      <c r="Q5783" s="25"/>
      <c r="R5783" s="54"/>
      <c r="W5783" s="23"/>
      <c r="X5783" s="23"/>
      <c r="Y5783" s="23"/>
      <c r="Z5783" s="43"/>
      <c r="AA5783" s="23"/>
      <c r="AB5783" s="23"/>
      <c r="AC5783" s="23"/>
      <c r="AD5783" s="23"/>
      <c r="AE5783" s="23"/>
      <c r="AF5783" s="23"/>
      <c r="AG5783" s="23"/>
      <c r="AH5783" s="23"/>
      <c r="AI5783" s="49"/>
    </row>
    <row r="5784" spans="1:35">
      <c r="A5784" s="23"/>
      <c r="B5784" s="42"/>
      <c r="C5784" s="49"/>
      <c r="E5784" s="49"/>
      <c r="G5784" s="43"/>
      <c r="H5784" s="44"/>
      <c r="L5784" s="42"/>
      <c r="M5784" s="42"/>
      <c r="N5784" s="25"/>
      <c r="O5784" s="54"/>
      <c r="P5784"/>
      <c r="Q5784" s="25"/>
      <c r="R5784" s="54"/>
      <c r="W5784" s="23"/>
      <c r="X5784" s="23"/>
      <c r="Y5784" s="23"/>
      <c r="Z5784" s="43"/>
      <c r="AA5784" s="23"/>
      <c r="AB5784" s="23"/>
      <c r="AC5784" s="23"/>
      <c r="AD5784" s="23"/>
      <c r="AE5784" s="23"/>
      <c r="AF5784" s="23"/>
      <c r="AG5784" s="23"/>
      <c r="AH5784" s="23"/>
      <c r="AI5784" s="49"/>
    </row>
    <row r="5785" spans="1:35">
      <c r="A5785" s="23"/>
      <c r="B5785" s="42"/>
      <c r="C5785" s="49"/>
      <c r="E5785" s="49"/>
      <c r="G5785" s="43"/>
      <c r="H5785" s="44"/>
      <c r="L5785" s="42"/>
      <c r="M5785" s="42"/>
      <c r="N5785" s="25"/>
      <c r="O5785" s="54"/>
      <c r="P5785"/>
      <c r="Q5785" s="25"/>
      <c r="R5785" s="54"/>
      <c r="W5785" s="23"/>
      <c r="X5785" s="23"/>
      <c r="Y5785" s="23"/>
      <c r="Z5785" s="43"/>
      <c r="AA5785" s="23"/>
      <c r="AB5785" s="23"/>
      <c r="AC5785" s="23"/>
      <c r="AD5785" s="23"/>
      <c r="AE5785" s="23"/>
      <c r="AF5785" s="23"/>
      <c r="AG5785" s="23"/>
      <c r="AH5785" s="23"/>
      <c r="AI5785" s="49"/>
    </row>
    <row r="5786" spans="1:35">
      <c r="A5786" s="23"/>
      <c r="B5786" s="42"/>
      <c r="G5786" s="43"/>
      <c r="H5786" s="44"/>
      <c r="L5786" s="42"/>
      <c r="M5786" s="42"/>
      <c r="N5786" s="25"/>
      <c r="O5786" s="54"/>
      <c r="P5786"/>
      <c r="Q5786" s="25"/>
      <c r="R5786" s="54"/>
      <c r="W5786" s="23"/>
      <c r="X5786" s="23"/>
      <c r="Y5786" s="23"/>
      <c r="Z5786" s="43"/>
      <c r="AA5786" s="23"/>
      <c r="AB5786" s="23"/>
      <c r="AC5786" s="23"/>
      <c r="AD5786" s="23"/>
      <c r="AE5786" s="23"/>
      <c r="AF5786" s="23"/>
      <c r="AG5786" s="23"/>
      <c r="AH5786" s="23"/>
      <c r="AI5786" s="23"/>
    </row>
    <row r="5787" spans="1:35">
      <c r="B5787" s="42"/>
      <c r="C5787" s="49"/>
      <c r="E5787" s="49"/>
      <c r="G5787" s="43"/>
      <c r="H5787" s="44"/>
      <c r="L5787" s="42"/>
      <c r="M5787" s="42"/>
      <c r="N5787" s="25"/>
      <c r="O5787" s="54"/>
      <c r="P5787"/>
      <c r="Q5787" s="25"/>
      <c r="R5787" s="54"/>
      <c r="W5787" s="23"/>
      <c r="X5787" s="23"/>
      <c r="Y5787" s="23"/>
      <c r="Z5787" s="43"/>
      <c r="AA5787" s="23"/>
      <c r="AB5787" s="23"/>
      <c r="AC5787" s="23"/>
      <c r="AD5787" s="23"/>
      <c r="AE5787" s="23"/>
      <c r="AF5787" s="23"/>
      <c r="AG5787" s="23"/>
      <c r="AH5787" s="23"/>
      <c r="AI5787" s="23"/>
    </row>
    <row r="5788" spans="1:35">
      <c r="A5788" s="23"/>
      <c r="B5788" s="42"/>
      <c r="C5788" s="49"/>
      <c r="E5788" s="49"/>
      <c r="G5788" s="43"/>
      <c r="H5788" s="44"/>
      <c r="L5788" s="42"/>
      <c r="M5788" s="42"/>
      <c r="N5788" s="25"/>
      <c r="O5788" s="54"/>
      <c r="P5788"/>
      <c r="Q5788" s="25"/>
      <c r="R5788" s="54"/>
      <c r="W5788" s="23"/>
      <c r="X5788" s="23"/>
      <c r="Y5788" s="23"/>
      <c r="Z5788" s="43"/>
      <c r="AA5788" s="23"/>
      <c r="AB5788" s="23"/>
      <c r="AC5788" s="23"/>
      <c r="AD5788" s="23"/>
      <c r="AE5788" s="23"/>
      <c r="AF5788" s="23"/>
      <c r="AG5788" s="23"/>
      <c r="AH5788" s="23"/>
      <c r="AI5788" s="49"/>
    </row>
    <row r="5789" spans="1:35">
      <c r="B5789" s="42"/>
      <c r="G5789" s="43"/>
      <c r="H5789" s="44"/>
      <c r="L5789" s="42"/>
      <c r="M5789" s="42"/>
      <c r="N5789" s="25"/>
      <c r="O5789" s="54"/>
      <c r="P5789"/>
      <c r="Q5789" s="25"/>
      <c r="R5789" s="54"/>
      <c r="W5789" s="23"/>
      <c r="X5789" s="23"/>
      <c r="Y5789" s="23"/>
      <c r="Z5789" s="43"/>
      <c r="AA5789" s="23"/>
      <c r="AB5789" s="23"/>
      <c r="AC5789" s="23"/>
      <c r="AD5789" s="23"/>
      <c r="AE5789" s="23"/>
      <c r="AF5789" s="23"/>
      <c r="AG5789" s="23"/>
      <c r="AH5789" s="23"/>
    </row>
    <row r="5790" spans="1:35">
      <c r="A5790" s="23"/>
      <c r="B5790" s="42"/>
      <c r="C5790" s="49"/>
      <c r="E5790" s="49"/>
      <c r="G5790" s="43"/>
      <c r="H5790" s="44"/>
      <c r="L5790" s="42"/>
      <c r="M5790" s="42"/>
      <c r="N5790" s="25"/>
      <c r="O5790" s="54"/>
      <c r="P5790"/>
      <c r="Q5790" s="25"/>
      <c r="R5790" s="54"/>
      <c r="W5790" s="23"/>
      <c r="X5790" s="23"/>
      <c r="Y5790" s="23"/>
      <c r="Z5790" s="43"/>
      <c r="AA5790" s="23"/>
      <c r="AB5790" s="23"/>
      <c r="AC5790" s="23"/>
      <c r="AD5790" s="23"/>
      <c r="AE5790" s="23"/>
      <c r="AF5790" s="23"/>
      <c r="AG5790" s="23"/>
      <c r="AH5790" s="23"/>
      <c r="AI5790" s="49"/>
    </row>
    <row r="5791" spans="1:35">
      <c r="A5791" s="50"/>
      <c r="B5791" s="42"/>
      <c r="C5791" s="49"/>
      <c r="E5791" s="49"/>
      <c r="G5791" s="43"/>
      <c r="H5791" s="44"/>
      <c r="L5791" s="42"/>
      <c r="M5791" s="42"/>
      <c r="N5791" s="25"/>
      <c r="O5791" s="54"/>
      <c r="P5791"/>
      <c r="Q5791" s="25"/>
      <c r="R5791" s="54"/>
      <c r="W5791" s="23"/>
      <c r="X5791" s="23"/>
      <c r="Y5791" s="23"/>
      <c r="Z5791" s="43"/>
      <c r="AA5791" s="23"/>
      <c r="AB5791" s="23"/>
      <c r="AC5791" s="23"/>
      <c r="AD5791" s="23"/>
      <c r="AE5791" s="23"/>
      <c r="AF5791" s="23"/>
      <c r="AG5791" s="23"/>
      <c r="AH5791" s="23"/>
      <c r="AI5791" s="49"/>
    </row>
    <row r="5792" spans="1:35">
      <c r="A5792" s="23"/>
      <c r="B5792" s="42"/>
      <c r="C5792" s="49"/>
      <c r="E5792" s="49"/>
      <c r="G5792" s="43"/>
      <c r="H5792" s="44"/>
      <c r="L5792" s="42"/>
      <c r="M5792" s="42"/>
      <c r="N5792" s="25"/>
      <c r="O5792" s="54"/>
      <c r="P5792"/>
      <c r="Q5792" s="25"/>
      <c r="R5792" s="54"/>
      <c r="W5792" s="23"/>
      <c r="X5792" s="23"/>
      <c r="Y5792" s="23"/>
      <c r="Z5792" s="43"/>
      <c r="AA5792" s="23"/>
      <c r="AB5792" s="23"/>
      <c r="AC5792" s="23"/>
      <c r="AD5792" s="23"/>
      <c r="AE5792" s="23"/>
      <c r="AF5792" s="23"/>
      <c r="AG5792" s="23"/>
      <c r="AH5792" s="23"/>
      <c r="AI5792" s="49"/>
    </row>
    <row r="5793" spans="1:35">
      <c r="A5793" s="23"/>
      <c r="B5793" s="42"/>
      <c r="C5793" s="49"/>
      <c r="E5793" s="49"/>
      <c r="G5793" s="43"/>
      <c r="H5793" s="44"/>
      <c r="L5793" s="42"/>
      <c r="M5793" s="42"/>
      <c r="N5793" s="25"/>
      <c r="O5793" s="54"/>
      <c r="P5793"/>
      <c r="Q5793" s="25"/>
      <c r="R5793" s="54"/>
      <c r="W5793" s="23"/>
      <c r="X5793" s="23"/>
      <c r="Y5793" s="23"/>
      <c r="Z5793" s="43"/>
      <c r="AA5793" s="23"/>
      <c r="AB5793" s="23"/>
      <c r="AC5793" s="23"/>
      <c r="AD5793" s="23"/>
      <c r="AE5793" s="23"/>
      <c r="AF5793" s="23"/>
      <c r="AG5793" s="23"/>
      <c r="AH5793" s="23"/>
      <c r="AI5793" s="49"/>
    </row>
    <row r="5794" spans="1:35">
      <c r="A5794" s="23"/>
      <c r="B5794" s="42"/>
      <c r="G5794" s="43"/>
      <c r="H5794" s="44"/>
      <c r="L5794" s="42"/>
      <c r="M5794" s="42"/>
      <c r="N5794" s="25"/>
      <c r="O5794" s="54"/>
      <c r="P5794"/>
      <c r="Q5794" s="25"/>
      <c r="R5794" s="54"/>
      <c r="W5794" s="23"/>
      <c r="X5794" s="23"/>
      <c r="Y5794" s="23"/>
      <c r="Z5794" s="43"/>
      <c r="AA5794" s="23"/>
      <c r="AB5794" s="23"/>
      <c r="AC5794" s="23"/>
      <c r="AD5794" s="23"/>
      <c r="AE5794" s="23"/>
      <c r="AF5794" s="23"/>
      <c r="AG5794" s="23"/>
      <c r="AH5794" s="23"/>
      <c r="AI5794" s="23"/>
    </row>
    <row r="5795" spans="1:35">
      <c r="A5795" s="23"/>
      <c r="B5795" s="42"/>
      <c r="G5795" s="43"/>
      <c r="H5795" s="44"/>
      <c r="L5795" s="42"/>
      <c r="M5795" s="42"/>
      <c r="N5795" s="25"/>
      <c r="O5795" s="54"/>
      <c r="P5795"/>
      <c r="Q5795" s="25"/>
      <c r="R5795" s="54"/>
      <c r="W5795" s="23"/>
      <c r="X5795" s="23"/>
      <c r="Y5795" s="23"/>
      <c r="Z5795" s="43"/>
      <c r="AA5795" s="23"/>
      <c r="AB5795" s="23"/>
      <c r="AC5795" s="23"/>
      <c r="AD5795" s="23"/>
      <c r="AE5795" s="23"/>
      <c r="AF5795" s="23"/>
      <c r="AG5795" s="23"/>
      <c r="AH5795" s="23"/>
      <c r="AI5795" s="23"/>
    </row>
    <row r="5796" spans="1:35">
      <c r="B5796" s="42"/>
      <c r="G5796" s="43"/>
      <c r="H5796" s="44"/>
      <c r="L5796" s="42"/>
      <c r="M5796" s="42"/>
      <c r="N5796" s="25"/>
      <c r="O5796" s="54"/>
      <c r="P5796"/>
      <c r="Q5796" s="25"/>
      <c r="R5796" s="54"/>
      <c r="W5796" s="23"/>
      <c r="X5796" s="23"/>
      <c r="Y5796" s="23"/>
      <c r="Z5796" s="43"/>
      <c r="AA5796" s="23"/>
      <c r="AB5796" s="23"/>
      <c r="AC5796" s="23"/>
      <c r="AD5796" s="23"/>
      <c r="AE5796" s="23"/>
      <c r="AF5796" s="23"/>
      <c r="AG5796" s="23"/>
      <c r="AH5796" s="23"/>
    </row>
    <row r="5797" spans="1:35">
      <c r="B5797" s="42"/>
      <c r="G5797" s="43"/>
      <c r="H5797" s="44"/>
      <c r="L5797" s="42"/>
      <c r="M5797" s="42"/>
      <c r="N5797" s="25"/>
      <c r="O5797" s="54"/>
      <c r="P5797"/>
      <c r="Q5797" s="25"/>
      <c r="R5797" s="54"/>
      <c r="W5797" s="23"/>
      <c r="X5797" s="23"/>
      <c r="Y5797" s="23"/>
      <c r="Z5797" s="43"/>
      <c r="AA5797" s="23"/>
      <c r="AB5797" s="23"/>
      <c r="AC5797" s="23"/>
      <c r="AD5797" s="23"/>
      <c r="AE5797" s="23"/>
      <c r="AF5797" s="23"/>
      <c r="AG5797" s="23"/>
      <c r="AH5797" s="23"/>
    </row>
    <row r="5798" spans="1:35">
      <c r="A5798" s="23"/>
      <c r="B5798" s="42"/>
      <c r="C5798" s="49"/>
      <c r="E5798" s="49"/>
      <c r="G5798" s="43"/>
      <c r="H5798" s="44"/>
      <c r="L5798" s="42"/>
      <c r="M5798" s="42"/>
      <c r="N5798" s="25"/>
      <c r="O5798" s="54"/>
      <c r="P5798"/>
      <c r="Q5798" s="25"/>
      <c r="R5798" s="54"/>
      <c r="W5798" s="23"/>
      <c r="X5798" s="23"/>
      <c r="Y5798" s="23"/>
      <c r="Z5798" s="43"/>
      <c r="AA5798" s="23"/>
      <c r="AB5798" s="23"/>
      <c r="AC5798" s="23"/>
      <c r="AD5798" s="23"/>
      <c r="AE5798" s="23"/>
      <c r="AF5798" s="23"/>
      <c r="AG5798" s="23"/>
      <c r="AH5798" s="23"/>
      <c r="AI5798" s="49"/>
    </row>
    <row r="5799" spans="1:35">
      <c r="A5799" s="23"/>
      <c r="B5799" s="42"/>
      <c r="G5799" s="43"/>
      <c r="H5799" s="44"/>
      <c r="L5799" s="42"/>
      <c r="M5799" s="42"/>
      <c r="N5799" s="25"/>
      <c r="O5799" s="54"/>
      <c r="P5799"/>
      <c r="Q5799" s="25"/>
      <c r="R5799" s="54"/>
      <c r="W5799" s="23"/>
      <c r="X5799" s="23"/>
      <c r="Y5799" s="23"/>
      <c r="Z5799" s="43"/>
      <c r="AA5799" s="23"/>
      <c r="AB5799" s="23"/>
      <c r="AC5799" s="23"/>
      <c r="AD5799" s="23"/>
      <c r="AE5799" s="23"/>
      <c r="AF5799" s="23"/>
      <c r="AG5799" s="23"/>
      <c r="AH5799" s="23"/>
    </row>
    <row r="5800" spans="1:35">
      <c r="B5800" s="42"/>
      <c r="G5800" s="43"/>
      <c r="H5800" s="44"/>
      <c r="L5800" s="42"/>
      <c r="M5800" s="42"/>
      <c r="N5800" s="25"/>
      <c r="O5800" s="54"/>
      <c r="P5800"/>
      <c r="Q5800" s="25"/>
      <c r="R5800" s="54"/>
      <c r="W5800" s="23"/>
      <c r="X5800" s="23"/>
      <c r="Y5800" s="23"/>
      <c r="Z5800" s="43"/>
      <c r="AA5800" s="23"/>
      <c r="AB5800" s="23"/>
      <c r="AC5800" s="23"/>
      <c r="AD5800" s="23"/>
      <c r="AE5800" s="23"/>
      <c r="AF5800" s="23"/>
      <c r="AG5800" s="23"/>
      <c r="AH5800" s="23"/>
    </row>
    <row r="5801" spans="1:35">
      <c r="A5801" s="23"/>
      <c r="B5801" s="42"/>
      <c r="C5801" s="49"/>
      <c r="E5801" s="49"/>
      <c r="G5801" s="43"/>
      <c r="H5801" s="44"/>
      <c r="L5801" s="42"/>
      <c r="M5801" s="42"/>
      <c r="N5801" s="25"/>
      <c r="O5801" s="54"/>
      <c r="P5801"/>
      <c r="Q5801" s="25"/>
      <c r="R5801" s="54"/>
      <c r="W5801" s="23"/>
      <c r="X5801" s="23"/>
      <c r="Y5801" s="23"/>
      <c r="Z5801" s="43"/>
      <c r="AA5801" s="23"/>
      <c r="AB5801" s="23"/>
      <c r="AC5801" s="23"/>
      <c r="AD5801" s="23"/>
      <c r="AE5801" s="23"/>
      <c r="AF5801" s="23"/>
      <c r="AG5801" s="23"/>
      <c r="AH5801" s="23"/>
      <c r="AI5801" s="49"/>
    </row>
    <row r="5802" spans="1:35">
      <c r="A5802" s="23"/>
      <c r="B5802" s="42"/>
      <c r="C5802" s="49"/>
      <c r="E5802" s="49"/>
      <c r="G5802" s="43"/>
      <c r="H5802" s="44"/>
      <c r="L5802" s="42"/>
      <c r="M5802" s="42"/>
      <c r="N5802" s="25"/>
      <c r="O5802" s="54"/>
      <c r="P5802"/>
      <c r="Q5802" s="25"/>
      <c r="R5802" s="54"/>
      <c r="W5802" s="23"/>
      <c r="X5802" s="23"/>
      <c r="Y5802" s="23"/>
      <c r="Z5802" s="43"/>
      <c r="AA5802" s="23"/>
      <c r="AB5802" s="23"/>
      <c r="AC5802" s="23"/>
      <c r="AD5802" s="23"/>
      <c r="AE5802" s="23"/>
      <c r="AF5802" s="23"/>
      <c r="AG5802" s="23"/>
      <c r="AH5802" s="23"/>
      <c r="AI5802" s="49"/>
    </row>
    <row r="5803" spans="1:35">
      <c r="A5803" s="50"/>
      <c r="B5803" s="42"/>
      <c r="C5803" s="49"/>
      <c r="E5803" s="49"/>
      <c r="G5803" s="43"/>
      <c r="H5803" s="44"/>
      <c r="L5803" s="42"/>
      <c r="M5803" s="42"/>
      <c r="N5803" s="25"/>
      <c r="O5803" s="54"/>
      <c r="P5803"/>
      <c r="Q5803" s="25"/>
      <c r="R5803" s="54"/>
      <c r="W5803" s="23"/>
      <c r="X5803" s="23"/>
      <c r="Y5803" s="23"/>
      <c r="Z5803" s="43"/>
      <c r="AA5803" s="23"/>
      <c r="AB5803" s="23"/>
      <c r="AC5803" s="23"/>
      <c r="AD5803" s="23"/>
      <c r="AE5803" s="23"/>
      <c r="AF5803" s="23"/>
      <c r="AG5803" s="23"/>
      <c r="AH5803" s="23"/>
      <c r="AI5803" s="49"/>
    </row>
    <row r="5804" spans="1:35">
      <c r="A5804" s="23"/>
      <c r="B5804" s="42"/>
      <c r="C5804" s="49"/>
      <c r="E5804" s="49"/>
      <c r="G5804" s="43"/>
      <c r="H5804" s="44"/>
      <c r="L5804" s="42"/>
      <c r="M5804" s="42"/>
      <c r="N5804" s="25"/>
      <c r="O5804" s="54"/>
      <c r="P5804"/>
      <c r="Q5804" s="25"/>
      <c r="R5804" s="54"/>
      <c r="W5804" s="23"/>
      <c r="X5804" s="23"/>
      <c r="Y5804" s="23"/>
      <c r="Z5804" s="43"/>
      <c r="AA5804" s="23"/>
      <c r="AB5804" s="23"/>
      <c r="AC5804" s="23"/>
      <c r="AD5804" s="23"/>
      <c r="AE5804" s="23"/>
      <c r="AF5804" s="23"/>
      <c r="AG5804" s="23"/>
      <c r="AH5804" s="23"/>
      <c r="AI5804" s="49"/>
    </row>
    <row r="5805" spans="1:35">
      <c r="A5805" s="23"/>
      <c r="B5805" s="42"/>
      <c r="C5805" s="49"/>
      <c r="E5805" s="49"/>
      <c r="G5805" s="43"/>
      <c r="H5805" s="44"/>
      <c r="L5805" s="42"/>
      <c r="M5805" s="42"/>
      <c r="N5805" s="25"/>
      <c r="O5805" s="54"/>
      <c r="P5805"/>
      <c r="Q5805" s="25"/>
      <c r="R5805" s="54"/>
      <c r="W5805" s="23"/>
      <c r="X5805" s="23"/>
      <c r="Y5805" s="23"/>
      <c r="Z5805" s="43"/>
      <c r="AA5805" s="23"/>
      <c r="AB5805" s="23"/>
      <c r="AC5805" s="23"/>
      <c r="AD5805" s="23"/>
      <c r="AE5805" s="23"/>
      <c r="AF5805" s="23"/>
      <c r="AG5805" s="23"/>
      <c r="AH5805" s="23"/>
      <c r="AI5805" s="49"/>
    </row>
    <row r="5806" spans="1:35">
      <c r="A5806" s="23"/>
      <c r="B5806" s="42"/>
      <c r="C5806" s="49"/>
      <c r="E5806" s="49"/>
      <c r="G5806" s="43"/>
      <c r="H5806" s="44"/>
      <c r="L5806" s="42"/>
      <c r="M5806" s="42"/>
      <c r="N5806" s="25"/>
      <c r="O5806" s="54"/>
      <c r="P5806"/>
      <c r="Q5806" s="25"/>
      <c r="R5806" s="54"/>
      <c r="W5806" s="23"/>
      <c r="X5806" s="23"/>
      <c r="Y5806" s="23"/>
      <c r="Z5806" s="43"/>
      <c r="AA5806" s="23"/>
      <c r="AB5806" s="23"/>
      <c r="AC5806" s="23"/>
      <c r="AD5806" s="23"/>
      <c r="AE5806" s="23"/>
      <c r="AF5806" s="23"/>
      <c r="AG5806" s="23"/>
      <c r="AH5806" s="23"/>
      <c r="AI5806" s="49"/>
    </row>
    <row r="5807" spans="1:35">
      <c r="A5807" s="23"/>
      <c r="B5807" s="42"/>
      <c r="G5807" s="43"/>
      <c r="H5807" s="44"/>
      <c r="L5807" s="42"/>
      <c r="M5807" s="42"/>
      <c r="N5807" s="25"/>
      <c r="O5807" s="54"/>
      <c r="P5807"/>
      <c r="Q5807" s="25"/>
      <c r="R5807" s="54"/>
      <c r="W5807" s="23"/>
      <c r="X5807" s="23"/>
      <c r="Y5807" s="23"/>
      <c r="Z5807" s="43"/>
      <c r="AA5807" s="23"/>
      <c r="AB5807" s="23"/>
      <c r="AC5807" s="23"/>
      <c r="AD5807" s="23"/>
      <c r="AE5807" s="23"/>
      <c r="AF5807" s="23"/>
      <c r="AG5807" s="23"/>
      <c r="AH5807" s="23"/>
      <c r="AI5807" s="23"/>
    </row>
    <row r="5808" spans="1:35">
      <c r="A5808" s="23"/>
      <c r="B5808" s="42"/>
      <c r="C5808" s="49"/>
      <c r="E5808" s="49"/>
      <c r="G5808" s="43"/>
      <c r="H5808" s="44"/>
      <c r="L5808" s="42"/>
      <c r="M5808" s="42"/>
      <c r="N5808" s="25"/>
      <c r="O5808" s="54"/>
      <c r="P5808"/>
      <c r="Q5808" s="25"/>
      <c r="R5808" s="54"/>
      <c r="W5808" s="23"/>
      <c r="X5808" s="23"/>
      <c r="Y5808" s="23"/>
      <c r="Z5808" s="43"/>
      <c r="AA5808" s="23"/>
      <c r="AB5808" s="23"/>
      <c r="AC5808" s="23"/>
      <c r="AD5808" s="23"/>
      <c r="AE5808" s="23"/>
      <c r="AF5808" s="23"/>
      <c r="AG5808" s="23"/>
      <c r="AH5808" s="23"/>
      <c r="AI5808" s="49"/>
    </row>
    <row r="5809" spans="1:35">
      <c r="B5809" s="42"/>
      <c r="G5809" s="43"/>
      <c r="H5809" s="44"/>
      <c r="L5809" s="42"/>
      <c r="M5809" s="42"/>
      <c r="N5809" s="25"/>
      <c r="O5809" s="54"/>
      <c r="P5809"/>
      <c r="Q5809" s="25"/>
      <c r="R5809" s="54"/>
      <c r="W5809" s="23"/>
      <c r="X5809" s="23"/>
      <c r="Y5809" s="23"/>
      <c r="Z5809" s="43"/>
      <c r="AA5809" s="23"/>
      <c r="AB5809" s="23"/>
      <c r="AC5809" s="23"/>
      <c r="AD5809" s="23"/>
      <c r="AE5809" s="23"/>
      <c r="AF5809" s="23"/>
      <c r="AG5809" s="23"/>
      <c r="AH5809" s="23"/>
    </row>
    <row r="5810" spans="1:35">
      <c r="A5810" s="23"/>
      <c r="B5810" s="42"/>
      <c r="C5810" s="49"/>
      <c r="E5810" s="49"/>
      <c r="G5810" s="43"/>
      <c r="H5810" s="44"/>
      <c r="L5810" s="42"/>
      <c r="M5810" s="42"/>
      <c r="N5810" s="25"/>
      <c r="O5810" s="54"/>
      <c r="P5810"/>
      <c r="Q5810" s="25"/>
      <c r="R5810" s="54"/>
      <c r="W5810" s="23"/>
      <c r="X5810" s="23"/>
      <c r="Y5810" s="23"/>
      <c r="Z5810" s="43"/>
      <c r="AA5810" s="23"/>
      <c r="AB5810" s="23"/>
      <c r="AC5810" s="23"/>
      <c r="AD5810" s="23"/>
      <c r="AE5810" s="23"/>
      <c r="AF5810" s="23"/>
      <c r="AG5810" s="23"/>
      <c r="AH5810" s="23"/>
      <c r="AI5810" s="49"/>
    </row>
    <row r="5811" spans="1:35">
      <c r="A5811" s="49"/>
      <c r="B5811" s="42"/>
      <c r="C5811" s="49"/>
      <c r="E5811" s="49"/>
      <c r="G5811" s="43"/>
      <c r="H5811" s="44"/>
      <c r="L5811" s="42"/>
      <c r="M5811" s="42"/>
      <c r="N5811" s="25"/>
      <c r="O5811" s="54"/>
      <c r="P5811"/>
      <c r="Q5811" s="25"/>
      <c r="R5811" s="54"/>
      <c r="W5811" s="23"/>
      <c r="X5811" s="23"/>
      <c r="Y5811" s="23"/>
      <c r="Z5811" s="43"/>
      <c r="AA5811" s="23"/>
      <c r="AB5811" s="23"/>
      <c r="AC5811" s="23"/>
      <c r="AD5811" s="23"/>
      <c r="AE5811" s="23"/>
      <c r="AF5811" s="23"/>
      <c r="AG5811" s="23"/>
      <c r="AH5811" s="23"/>
      <c r="AI5811" s="49"/>
    </row>
    <row r="5812" spans="1:35">
      <c r="A5812" s="23"/>
      <c r="B5812" s="42"/>
      <c r="C5812" s="49"/>
      <c r="E5812" s="49"/>
      <c r="G5812" s="43"/>
      <c r="H5812" s="44"/>
      <c r="L5812" s="42"/>
      <c r="M5812" s="42"/>
      <c r="N5812" s="25"/>
      <c r="O5812" s="54"/>
      <c r="P5812"/>
      <c r="Q5812" s="25"/>
      <c r="R5812" s="54"/>
      <c r="W5812" s="23"/>
      <c r="X5812" s="23"/>
      <c r="Y5812" s="23"/>
      <c r="Z5812" s="43"/>
      <c r="AA5812" s="23"/>
      <c r="AB5812" s="23"/>
      <c r="AC5812" s="23"/>
      <c r="AD5812" s="23"/>
      <c r="AE5812" s="23"/>
      <c r="AF5812" s="23"/>
      <c r="AG5812" s="23"/>
      <c r="AH5812" s="23"/>
      <c r="AI5812" s="49"/>
    </row>
    <row r="5813" spans="1:35">
      <c r="A5813" s="23"/>
      <c r="B5813" s="42"/>
      <c r="C5813" s="49"/>
      <c r="E5813" s="49"/>
      <c r="G5813" s="43"/>
      <c r="H5813" s="44"/>
      <c r="L5813" s="42"/>
      <c r="M5813" s="42"/>
      <c r="N5813" s="25"/>
      <c r="O5813" s="54"/>
      <c r="P5813"/>
      <c r="Q5813" s="25"/>
      <c r="R5813" s="54"/>
      <c r="W5813" s="23"/>
      <c r="X5813" s="23"/>
      <c r="Y5813" s="23"/>
      <c r="Z5813" s="43"/>
      <c r="AA5813" s="23"/>
      <c r="AB5813" s="23"/>
      <c r="AC5813" s="23"/>
      <c r="AD5813" s="23"/>
      <c r="AE5813" s="23"/>
      <c r="AF5813" s="23"/>
      <c r="AG5813" s="23"/>
      <c r="AH5813" s="23"/>
      <c r="AI5813" s="49"/>
    </row>
    <row r="5814" spans="1:35">
      <c r="B5814" s="42"/>
      <c r="G5814" s="43"/>
      <c r="H5814" s="44"/>
      <c r="L5814" s="42"/>
      <c r="M5814" s="42"/>
      <c r="N5814" s="25"/>
      <c r="O5814" s="54"/>
      <c r="P5814"/>
      <c r="Q5814" s="25"/>
      <c r="R5814" s="54"/>
      <c r="W5814" s="23"/>
      <c r="X5814" s="23"/>
      <c r="Y5814" s="23"/>
      <c r="Z5814" s="43"/>
      <c r="AA5814" s="23"/>
      <c r="AB5814" s="23"/>
      <c r="AC5814" s="23"/>
      <c r="AD5814" s="23"/>
      <c r="AE5814" s="23"/>
      <c r="AF5814" s="23"/>
      <c r="AG5814" s="23"/>
      <c r="AH5814" s="23"/>
    </row>
    <row r="5815" spans="1:35">
      <c r="B5815" s="42"/>
      <c r="C5815" s="49"/>
      <c r="E5815" s="49"/>
      <c r="G5815" s="43"/>
      <c r="H5815" s="44"/>
      <c r="L5815" s="42"/>
      <c r="M5815" s="42"/>
      <c r="N5815" s="25"/>
      <c r="O5815" s="54"/>
      <c r="P5815"/>
      <c r="Q5815" s="25"/>
      <c r="R5815" s="54"/>
      <c r="W5815" s="23"/>
      <c r="X5815" s="23"/>
      <c r="Y5815" s="23"/>
      <c r="Z5815" s="43"/>
      <c r="AA5815" s="23"/>
      <c r="AB5815" s="23"/>
      <c r="AC5815" s="23"/>
      <c r="AD5815" s="23"/>
      <c r="AE5815" s="23"/>
      <c r="AF5815" s="23"/>
      <c r="AG5815" s="23"/>
      <c r="AH5815" s="23"/>
      <c r="AI5815" s="23"/>
    </row>
    <row r="5816" spans="1:35">
      <c r="B5816" s="42"/>
      <c r="G5816" s="43"/>
      <c r="H5816" s="44"/>
      <c r="L5816" s="42"/>
      <c r="M5816" s="42"/>
      <c r="N5816" s="25"/>
      <c r="O5816" s="54"/>
      <c r="P5816"/>
      <c r="Q5816" s="25"/>
      <c r="R5816" s="54"/>
      <c r="W5816" s="23"/>
      <c r="X5816" s="23"/>
      <c r="Y5816" s="23"/>
      <c r="Z5816" s="43"/>
      <c r="AA5816" s="23"/>
      <c r="AB5816" s="23"/>
      <c r="AC5816" s="23"/>
      <c r="AD5816" s="23"/>
      <c r="AE5816" s="23"/>
      <c r="AF5816" s="23"/>
      <c r="AG5816" s="23"/>
      <c r="AH5816" s="23"/>
      <c r="AI5816" s="48"/>
    </row>
    <row r="5817" spans="1:35">
      <c r="A5817" s="23"/>
      <c r="B5817" s="42"/>
      <c r="C5817" s="49"/>
      <c r="E5817" s="49"/>
      <c r="G5817" s="43"/>
      <c r="H5817" s="44"/>
      <c r="L5817" s="42"/>
      <c r="M5817" s="42"/>
      <c r="N5817" s="25"/>
      <c r="O5817" s="54"/>
      <c r="P5817"/>
      <c r="Q5817" s="25"/>
      <c r="R5817" s="54"/>
      <c r="W5817" s="23"/>
      <c r="X5817" s="23"/>
      <c r="Y5817" s="23"/>
      <c r="Z5817" s="43"/>
      <c r="AA5817" s="23"/>
      <c r="AB5817" s="23"/>
      <c r="AC5817" s="23"/>
      <c r="AD5817" s="23"/>
      <c r="AE5817" s="23"/>
      <c r="AF5817" s="23"/>
      <c r="AG5817" s="23"/>
      <c r="AH5817" s="23"/>
      <c r="AI5817" s="49"/>
    </row>
    <row r="5818" spans="1:35">
      <c r="A5818" s="50"/>
      <c r="B5818" s="42"/>
      <c r="C5818" s="49"/>
      <c r="E5818" s="49"/>
      <c r="G5818" s="43"/>
      <c r="H5818" s="44"/>
      <c r="L5818" s="42"/>
      <c r="M5818" s="42"/>
      <c r="N5818" s="25"/>
      <c r="O5818" s="54"/>
      <c r="P5818"/>
      <c r="Q5818" s="25"/>
      <c r="R5818" s="54"/>
      <c r="W5818" s="23"/>
      <c r="X5818" s="23"/>
      <c r="Y5818" s="23"/>
      <c r="Z5818" s="43"/>
      <c r="AA5818" s="23"/>
      <c r="AB5818" s="23"/>
      <c r="AC5818" s="23"/>
      <c r="AD5818" s="23"/>
      <c r="AE5818" s="23"/>
      <c r="AF5818" s="23"/>
      <c r="AG5818" s="23"/>
      <c r="AH5818" s="23"/>
      <c r="AI5818" s="49"/>
    </row>
    <row r="5819" spans="1:35">
      <c r="A5819" s="23"/>
      <c r="B5819" s="42"/>
      <c r="C5819" s="49"/>
      <c r="E5819" s="49"/>
      <c r="G5819" s="43"/>
      <c r="H5819" s="44"/>
      <c r="L5819" s="42"/>
      <c r="M5819" s="42"/>
      <c r="N5819" s="25"/>
      <c r="O5819" s="54"/>
      <c r="P5819"/>
      <c r="Q5819" s="25"/>
      <c r="R5819" s="54"/>
      <c r="W5819" s="23"/>
      <c r="X5819" s="23"/>
      <c r="Y5819" s="23"/>
      <c r="Z5819" s="43"/>
      <c r="AA5819" s="23"/>
      <c r="AB5819" s="23"/>
      <c r="AC5819" s="23"/>
      <c r="AD5819" s="23"/>
      <c r="AE5819" s="23"/>
      <c r="AF5819" s="23"/>
      <c r="AG5819" s="23"/>
      <c r="AH5819" s="23"/>
      <c r="AI5819" s="49"/>
    </row>
    <row r="5820" spans="1:35">
      <c r="B5820" s="42"/>
      <c r="C5820" s="49"/>
      <c r="E5820" s="49"/>
      <c r="G5820" s="43"/>
      <c r="H5820" s="44"/>
      <c r="L5820" s="42"/>
      <c r="M5820" s="42"/>
      <c r="N5820" s="25"/>
      <c r="O5820" s="54"/>
      <c r="P5820"/>
      <c r="Q5820" s="25"/>
      <c r="R5820" s="54"/>
      <c r="W5820" s="23"/>
      <c r="X5820" s="23"/>
      <c r="Y5820" s="23"/>
      <c r="Z5820" s="43"/>
      <c r="AA5820" s="23"/>
      <c r="AB5820" s="23"/>
      <c r="AC5820" s="23"/>
      <c r="AD5820" s="23"/>
      <c r="AE5820" s="23"/>
      <c r="AF5820" s="23"/>
      <c r="AG5820" s="23"/>
      <c r="AH5820" s="23"/>
      <c r="AI5820" s="23"/>
    </row>
    <row r="5821" spans="1:35">
      <c r="A5821" s="23"/>
      <c r="B5821" s="42"/>
      <c r="C5821" s="49"/>
      <c r="E5821" s="49"/>
      <c r="G5821" s="43"/>
      <c r="H5821" s="44"/>
      <c r="L5821" s="42"/>
      <c r="M5821" s="42"/>
      <c r="N5821" s="25"/>
      <c r="O5821" s="54"/>
      <c r="P5821"/>
      <c r="Q5821" s="25"/>
      <c r="R5821" s="54"/>
      <c r="W5821" s="23"/>
      <c r="X5821" s="23"/>
      <c r="Y5821" s="23"/>
      <c r="Z5821" s="43"/>
      <c r="AA5821" s="23"/>
      <c r="AB5821" s="23"/>
      <c r="AC5821" s="23"/>
      <c r="AD5821" s="23"/>
      <c r="AE5821" s="23"/>
      <c r="AF5821" s="23"/>
      <c r="AG5821" s="23"/>
      <c r="AH5821" s="23"/>
      <c r="AI5821" s="49"/>
    </row>
    <row r="5822" spans="1:35">
      <c r="A5822" s="50"/>
      <c r="B5822" s="42"/>
      <c r="C5822" s="49"/>
      <c r="E5822" s="49"/>
      <c r="G5822" s="43"/>
      <c r="H5822" s="44"/>
      <c r="L5822" s="42"/>
      <c r="M5822" s="42"/>
      <c r="N5822" s="25"/>
      <c r="O5822" s="54"/>
      <c r="P5822"/>
      <c r="Q5822" s="25"/>
      <c r="R5822" s="54"/>
      <c r="W5822" s="23"/>
      <c r="X5822" s="23"/>
      <c r="Y5822" s="23"/>
      <c r="Z5822" s="43"/>
      <c r="AA5822" s="23"/>
      <c r="AB5822" s="23"/>
      <c r="AC5822" s="23"/>
      <c r="AD5822" s="23"/>
      <c r="AE5822" s="23"/>
      <c r="AF5822" s="23"/>
      <c r="AG5822" s="23"/>
      <c r="AH5822" s="23"/>
      <c r="AI5822" s="49"/>
    </row>
    <row r="5823" spans="1:35">
      <c r="B5823" s="42"/>
      <c r="G5823" s="43"/>
      <c r="H5823" s="44"/>
      <c r="L5823" s="42"/>
      <c r="M5823" s="42"/>
      <c r="N5823" s="25"/>
      <c r="O5823" s="54"/>
      <c r="P5823"/>
      <c r="Q5823" s="25"/>
      <c r="R5823" s="54"/>
      <c r="W5823" s="23"/>
      <c r="X5823" s="23"/>
      <c r="Y5823" s="23"/>
      <c r="Z5823" s="43"/>
      <c r="AA5823" s="23"/>
      <c r="AB5823" s="23"/>
      <c r="AC5823" s="23"/>
      <c r="AD5823" s="23"/>
      <c r="AE5823" s="23"/>
      <c r="AF5823" s="23"/>
      <c r="AG5823" s="23"/>
      <c r="AH5823" s="23"/>
    </row>
    <row r="5824" spans="1:35">
      <c r="A5824" s="45"/>
      <c r="B5824" s="42"/>
      <c r="C5824" s="45"/>
      <c r="E5824" s="45"/>
      <c r="G5824" s="43"/>
      <c r="H5824" s="44"/>
      <c r="L5824" s="42"/>
      <c r="M5824" s="42"/>
      <c r="N5824" s="25"/>
      <c r="O5824" s="54"/>
      <c r="P5824"/>
      <c r="Q5824" s="25"/>
      <c r="R5824" s="54"/>
      <c r="W5824" s="23"/>
      <c r="X5824" s="23"/>
      <c r="Y5824" s="23"/>
      <c r="Z5824" s="43"/>
      <c r="AA5824" s="23"/>
      <c r="AB5824" s="23"/>
      <c r="AC5824" s="23"/>
      <c r="AD5824" s="23"/>
      <c r="AE5824" s="23"/>
      <c r="AF5824" s="23"/>
      <c r="AG5824" s="23"/>
      <c r="AH5824" s="23"/>
      <c r="AI5824" s="48"/>
    </row>
    <row r="5825" spans="1:35">
      <c r="A5825" s="49"/>
      <c r="B5825" s="42"/>
      <c r="C5825" s="49"/>
      <c r="E5825" s="49"/>
      <c r="G5825" s="43"/>
      <c r="H5825" s="44"/>
      <c r="L5825" s="42"/>
      <c r="M5825" s="42"/>
      <c r="N5825" s="25"/>
      <c r="O5825" s="54"/>
      <c r="P5825"/>
      <c r="Q5825" s="25"/>
      <c r="R5825" s="54"/>
      <c r="W5825" s="23"/>
      <c r="X5825" s="23"/>
      <c r="Y5825" s="23"/>
      <c r="Z5825" s="43"/>
      <c r="AA5825" s="23"/>
      <c r="AB5825" s="23"/>
      <c r="AC5825" s="23"/>
      <c r="AD5825" s="23"/>
      <c r="AE5825" s="23"/>
      <c r="AF5825" s="23"/>
      <c r="AG5825" s="23"/>
      <c r="AH5825" s="23"/>
      <c r="AI5825" s="49"/>
    </row>
    <row r="5826" spans="1:35">
      <c r="A5826" s="23"/>
      <c r="B5826" s="42"/>
      <c r="C5826" s="49"/>
      <c r="E5826" s="49"/>
      <c r="G5826" s="43"/>
      <c r="H5826" s="44"/>
      <c r="L5826" s="42"/>
      <c r="M5826" s="42"/>
      <c r="N5826" s="25"/>
      <c r="O5826" s="54"/>
      <c r="P5826"/>
      <c r="Q5826" s="25"/>
      <c r="R5826" s="54"/>
      <c r="W5826" s="23"/>
      <c r="X5826" s="23"/>
      <c r="Y5826" s="23"/>
      <c r="Z5826" s="43"/>
      <c r="AA5826" s="23"/>
      <c r="AB5826" s="23"/>
      <c r="AC5826" s="23"/>
      <c r="AD5826" s="23"/>
      <c r="AE5826" s="23"/>
      <c r="AF5826" s="23"/>
      <c r="AG5826" s="23"/>
      <c r="AH5826" s="23"/>
      <c r="AI5826" s="49"/>
    </row>
    <row r="5827" spans="1:35">
      <c r="A5827" s="23"/>
      <c r="B5827" s="42"/>
      <c r="C5827" s="49"/>
      <c r="E5827" s="49"/>
      <c r="G5827" s="43"/>
      <c r="H5827" s="44"/>
      <c r="L5827" s="42"/>
      <c r="M5827" s="42"/>
      <c r="N5827" s="25"/>
      <c r="O5827" s="54"/>
      <c r="P5827"/>
      <c r="Q5827" s="25"/>
      <c r="R5827" s="54"/>
      <c r="W5827" s="23"/>
      <c r="X5827" s="23"/>
      <c r="Y5827" s="23"/>
      <c r="Z5827" s="43"/>
      <c r="AA5827" s="23"/>
      <c r="AB5827" s="23"/>
      <c r="AC5827" s="23"/>
      <c r="AD5827" s="23"/>
      <c r="AE5827" s="23"/>
      <c r="AF5827" s="23"/>
      <c r="AG5827" s="23"/>
      <c r="AH5827" s="23"/>
      <c r="AI5827" s="49"/>
    </row>
    <row r="5828" spans="1:35">
      <c r="B5828" s="42"/>
      <c r="C5828" s="49"/>
      <c r="E5828" s="49"/>
      <c r="G5828" s="43"/>
      <c r="H5828" s="44"/>
      <c r="L5828" s="42"/>
      <c r="M5828" s="42"/>
      <c r="N5828" s="25"/>
      <c r="O5828" s="54"/>
      <c r="P5828"/>
      <c r="Q5828" s="25"/>
      <c r="R5828" s="54"/>
      <c r="W5828" s="23"/>
      <c r="X5828" s="23"/>
      <c r="Y5828" s="23"/>
      <c r="Z5828" s="43"/>
      <c r="AA5828" s="23"/>
      <c r="AB5828" s="23"/>
      <c r="AC5828" s="23"/>
      <c r="AD5828" s="23"/>
      <c r="AE5828" s="23"/>
      <c r="AF5828" s="23"/>
      <c r="AG5828" s="23"/>
      <c r="AH5828" s="23"/>
      <c r="AI5828" s="23"/>
    </row>
    <row r="5829" spans="1:35">
      <c r="A5829" s="23"/>
      <c r="B5829" s="42"/>
      <c r="C5829" s="49"/>
      <c r="E5829" s="49"/>
      <c r="G5829" s="43"/>
      <c r="H5829" s="44"/>
      <c r="L5829" s="42"/>
      <c r="M5829" s="42"/>
      <c r="N5829" s="25"/>
      <c r="O5829" s="54"/>
      <c r="P5829"/>
      <c r="Q5829" s="25"/>
      <c r="R5829" s="54"/>
      <c r="W5829" s="23"/>
      <c r="X5829" s="23"/>
      <c r="Y5829" s="23"/>
      <c r="Z5829" s="43"/>
      <c r="AA5829" s="23"/>
      <c r="AB5829" s="23"/>
      <c r="AC5829" s="23"/>
      <c r="AD5829" s="23"/>
      <c r="AE5829" s="23"/>
      <c r="AF5829" s="23"/>
      <c r="AG5829" s="23"/>
      <c r="AH5829" s="23"/>
      <c r="AI5829" s="49"/>
    </row>
    <row r="5830" spans="1:35">
      <c r="A5830" s="50"/>
      <c r="B5830" s="42"/>
      <c r="C5830" s="49"/>
      <c r="E5830" s="49"/>
      <c r="G5830" s="43"/>
      <c r="H5830" s="44"/>
      <c r="L5830" s="42"/>
      <c r="M5830" s="42"/>
      <c r="N5830" s="25"/>
      <c r="O5830" s="54"/>
      <c r="P5830"/>
      <c r="Q5830" s="25"/>
      <c r="R5830" s="54"/>
      <c r="W5830" s="23"/>
      <c r="X5830" s="23"/>
      <c r="Y5830" s="23"/>
      <c r="Z5830" s="43"/>
      <c r="AA5830" s="23"/>
      <c r="AB5830" s="23"/>
      <c r="AC5830" s="23"/>
      <c r="AD5830" s="23"/>
      <c r="AE5830" s="23"/>
      <c r="AF5830" s="23"/>
      <c r="AG5830" s="23"/>
      <c r="AH5830" s="23"/>
      <c r="AI5830" s="49"/>
    </row>
    <row r="5831" spans="1:35">
      <c r="A5831" s="23"/>
      <c r="B5831" s="42"/>
      <c r="G5831" s="43"/>
      <c r="H5831" s="44"/>
      <c r="L5831" s="42"/>
      <c r="M5831" s="42"/>
      <c r="N5831" s="25"/>
      <c r="O5831" s="54"/>
      <c r="P5831"/>
      <c r="Q5831" s="25"/>
      <c r="R5831" s="54"/>
      <c r="W5831" s="23"/>
      <c r="X5831" s="23"/>
      <c r="Y5831" s="23"/>
      <c r="Z5831" s="43"/>
      <c r="AA5831" s="23"/>
      <c r="AB5831" s="23"/>
      <c r="AC5831" s="23"/>
      <c r="AD5831" s="23"/>
      <c r="AE5831" s="23"/>
      <c r="AF5831" s="23"/>
      <c r="AG5831" s="23"/>
      <c r="AH5831" s="23"/>
      <c r="AI5831" s="23"/>
    </row>
    <row r="5832" spans="1:35">
      <c r="A5832" s="45"/>
      <c r="B5832" s="42"/>
      <c r="C5832" s="45"/>
      <c r="E5832" s="45"/>
      <c r="G5832" s="43"/>
      <c r="H5832" s="44"/>
      <c r="L5832" s="42"/>
      <c r="M5832" s="42"/>
      <c r="N5832" s="25"/>
      <c r="O5832" s="54"/>
      <c r="P5832"/>
      <c r="Q5832" s="25"/>
      <c r="R5832" s="54"/>
      <c r="W5832" s="23"/>
      <c r="X5832" s="23"/>
      <c r="Y5832" s="23"/>
      <c r="Z5832" s="43"/>
      <c r="AA5832" s="23"/>
      <c r="AB5832" s="23"/>
      <c r="AC5832" s="23"/>
      <c r="AD5832" s="23"/>
      <c r="AE5832" s="23"/>
      <c r="AF5832" s="23"/>
      <c r="AG5832" s="23"/>
      <c r="AH5832" s="23"/>
      <c r="AI5832" s="48"/>
    </row>
    <row r="5833" spans="1:35">
      <c r="A5833" s="45"/>
      <c r="B5833" s="42"/>
      <c r="C5833" s="45"/>
      <c r="E5833" s="45"/>
      <c r="G5833" s="43"/>
      <c r="H5833" s="44"/>
      <c r="L5833" s="42"/>
      <c r="M5833" s="42"/>
      <c r="N5833" s="25"/>
      <c r="O5833" s="54"/>
      <c r="P5833"/>
      <c r="Q5833" s="25"/>
      <c r="R5833" s="54"/>
      <c r="W5833" s="23"/>
      <c r="X5833" s="23"/>
      <c r="Y5833" s="23"/>
      <c r="Z5833" s="43"/>
      <c r="AA5833" s="23"/>
      <c r="AB5833" s="23"/>
      <c r="AC5833" s="23"/>
      <c r="AD5833" s="23"/>
      <c r="AE5833" s="23"/>
      <c r="AF5833" s="23"/>
      <c r="AG5833" s="23"/>
      <c r="AH5833" s="23"/>
      <c r="AI5833" s="48"/>
    </row>
    <row r="5834" spans="1:35">
      <c r="A5834" s="50"/>
      <c r="B5834" s="42"/>
      <c r="C5834" s="49"/>
      <c r="E5834" s="49"/>
      <c r="G5834" s="43"/>
      <c r="H5834" s="44"/>
      <c r="L5834" s="42"/>
      <c r="M5834" s="42"/>
      <c r="N5834" s="25"/>
      <c r="O5834" s="54"/>
      <c r="P5834"/>
      <c r="Q5834" s="25"/>
      <c r="R5834" s="54"/>
      <c r="W5834" s="23"/>
      <c r="X5834" s="23"/>
      <c r="Y5834" s="23"/>
      <c r="Z5834" s="43"/>
      <c r="AA5834" s="23"/>
      <c r="AB5834" s="23"/>
      <c r="AC5834" s="23"/>
      <c r="AD5834" s="23"/>
      <c r="AE5834" s="23"/>
      <c r="AF5834" s="23"/>
      <c r="AG5834" s="23"/>
      <c r="AH5834" s="23"/>
      <c r="AI5834" s="49"/>
    </row>
    <row r="5835" spans="1:35">
      <c r="A5835" s="23"/>
      <c r="B5835" s="42"/>
      <c r="C5835" s="49"/>
      <c r="E5835" s="49"/>
      <c r="G5835" s="43"/>
      <c r="H5835" s="44"/>
      <c r="L5835" s="42"/>
      <c r="M5835" s="42"/>
      <c r="N5835" s="25"/>
      <c r="O5835" s="54"/>
      <c r="P5835"/>
      <c r="Q5835" s="25"/>
      <c r="R5835" s="54"/>
      <c r="W5835" s="23"/>
      <c r="X5835" s="23"/>
      <c r="Y5835" s="23"/>
      <c r="Z5835" s="43"/>
      <c r="AA5835" s="23"/>
      <c r="AB5835" s="23"/>
      <c r="AC5835" s="23"/>
      <c r="AD5835" s="23"/>
      <c r="AE5835" s="23"/>
      <c r="AF5835" s="23"/>
      <c r="AG5835" s="23"/>
      <c r="AH5835" s="23"/>
      <c r="AI5835" s="49"/>
    </row>
    <row r="5836" spans="1:35">
      <c r="A5836" s="45"/>
      <c r="B5836" s="42"/>
      <c r="C5836" s="45"/>
      <c r="E5836" s="45"/>
      <c r="G5836" s="43"/>
      <c r="H5836" s="44"/>
      <c r="L5836" s="42"/>
      <c r="M5836" s="42"/>
      <c r="N5836" s="25"/>
      <c r="O5836" s="54"/>
      <c r="P5836"/>
      <c r="Q5836" s="25"/>
      <c r="R5836" s="54"/>
      <c r="W5836" s="23"/>
      <c r="X5836" s="23"/>
      <c r="Y5836" s="23"/>
      <c r="Z5836" s="43"/>
      <c r="AA5836" s="23"/>
      <c r="AB5836" s="23"/>
      <c r="AC5836" s="23"/>
      <c r="AD5836" s="23"/>
      <c r="AE5836" s="23"/>
      <c r="AF5836" s="23"/>
      <c r="AG5836" s="23"/>
      <c r="AH5836" s="23"/>
      <c r="AI5836" s="45"/>
    </row>
    <row r="5837" spans="1:35">
      <c r="B5837" s="42"/>
      <c r="G5837" s="43"/>
      <c r="H5837" s="44"/>
      <c r="L5837" s="42"/>
      <c r="M5837" s="42"/>
      <c r="N5837" s="25"/>
      <c r="O5837" s="54"/>
      <c r="P5837"/>
      <c r="Q5837" s="25"/>
      <c r="R5837" s="54"/>
      <c r="W5837" s="23"/>
      <c r="X5837" s="23"/>
      <c r="Y5837" s="23"/>
      <c r="Z5837" s="43"/>
      <c r="AA5837" s="23"/>
      <c r="AB5837" s="23"/>
      <c r="AC5837" s="23"/>
      <c r="AD5837" s="23"/>
      <c r="AE5837" s="23"/>
      <c r="AF5837" s="23"/>
      <c r="AG5837" s="23"/>
      <c r="AH5837" s="23"/>
    </row>
    <row r="5838" spans="1:35">
      <c r="A5838" s="23"/>
      <c r="B5838" s="42"/>
      <c r="G5838" s="43"/>
      <c r="H5838" s="44"/>
      <c r="L5838" s="42"/>
      <c r="M5838" s="42"/>
      <c r="N5838" s="25"/>
      <c r="O5838" s="54"/>
      <c r="P5838"/>
      <c r="Q5838" s="25"/>
      <c r="R5838" s="54"/>
      <c r="W5838" s="23"/>
      <c r="X5838" s="23"/>
      <c r="Y5838" s="23"/>
      <c r="Z5838" s="43"/>
      <c r="AA5838" s="23"/>
      <c r="AB5838" s="23"/>
      <c r="AC5838" s="23"/>
      <c r="AD5838" s="23"/>
      <c r="AE5838" s="23"/>
      <c r="AF5838" s="23"/>
      <c r="AG5838" s="23"/>
      <c r="AH5838" s="23"/>
      <c r="AI5838" s="23"/>
    </row>
    <row r="5839" spans="1:35">
      <c r="A5839" s="23"/>
      <c r="B5839" s="42"/>
      <c r="C5839" s="49"/>
      <c r="E5839" s="49"/>
      <c r="G5839" s="43"/>
      <c r="H5839" s="44"/>
      <c r="L5839" s="42"/>
      <c r="M5839" s="42"/>
      <c r="N5839" s="25"/>
      <c r="O5839" s="54"/>
      <c r="P5839"/>
      <c r="Q5839" s="25"/>
      <c r="R5839" s="54"/>
      <c r="W5839" s="23"/>
      <c r="X5839" s="23"/>
      <c r="Y5839" s="23"/>
      <c r="Z5839" s="43"/>
      <c r="AA5839" s="23"/>
      <c r="AB5839" s="23"/>
      <c r="AC5839" s="23"/>
      <c r="AD5839" s="23"/>
      <c r="AE5839" s="23"/>
      <c r="AF5839" s="23"/>
      <c r="AG5839" s="23"/>
      <c r="AH5839" s="23"/>
      <c r="AI5839" s="49"/>
    </row>
    <row r="5840" spans="1:35">
      <c r="A5840" s="23"/>
      <c r="B5840" s="42"/>
      <c r="C5840" s="49"/>
      <c r="E5840" s="49"/>
      <c r="G5840" s="43"/>
      <c r="H5840" s="44"/>
      <c r="L5840" s="42"/>
      <c r="M5840" s="42"/>
      <c r="N5840" s="25"/>
      <c r="O5840" s="54"/>
      <c r="P5840"/>
      <c r="Q5840" s="25"/>
      <c r="R5840" s="54"/>
      <c r="W5840" s="23"/>
      <c r="X5840" s="23"/>
      <c r="Y5840" s="23"/>
      <c r="Z5840" s="43"/>
      <c r="AA5840" s="23"/>
      <c r="AB5840" s="23"/>
      <c r="AC5840" s="23"/>
      <c r="AD5840" s="23"/>
      <c r="AE5840" s="23"/>
      <c r="AF5840" s="23"/>
      <c r="AG5840" s="23"/>
      <c r="AH5840" s="23"/>
      <c r="AI5840" s="49"/>
    </row>
    <row r="5841" spans="1:35">
      <c r="A5841" s="23"/>
      <c r="B5841" s="42"/>
      <c r="C5841" s="49"/>
      <c r="E5841" s="49"/>
      <c r="G5841" s="43"/>
      <c r="H5841" s="44"/>
      <c r="L5841" s="42"/>
      <c r="M5841" s="42"/>
      <c r="N5841" s="25"/>
      <c r="O5841" s="54"/>
      <c r="P5841"/>
      <c r="Q5841" s="25"/>
      <c r="R5841" s="54"/>
      <c r="W5841" s="23"/>
      <c r="X5841" s="23"/>
      <c r="Y5841" s="23"/>
      <c r="Z5841" s="43"/>
      <c r="AA5841" s="23"/>
      <c r="AB5841" s="23"/>
      <c r="AC5841" s="23"/>
      <c r="AD5841" s="23"/>
      <c r="AE5841" s="23"/>
      <c r="AF5841" s="23"/>
      <c r="AG5841" s="23"/>
      <c r="AH5841" s="23"/>
      <c r="AI5841" s="49"/>
    </row>
    <row r="5842" spans="1:35">
      <c r="A5842" s="23"/>
      <c r="B5842" s="42"/>
      <c r="C5842" s="49"/>
      <c r="E5842" s="49"/>
      <c r="G5842" s="43"/>
      <c r="H5842" s="44"/>
      <c r="L5842" s="42"/>
      <c r="M5842" s="42"/>
      <c r="N5842" s="25"/>
      <c r="O5842" s="54"/>
      <c r="P5842"/>
      <c r="Q5842" s="25"/>
      <c r="R5842" s="54"/>
      <c r="W5842" s="23"/>
      <c r="X5842" s="23"/>
      <c r="Y5842" s="23"/>
      <c r="Z5842" s="43"/>
      <c r="AA5842" s="23"/>
      <c r="AB5842" s="23"/>
      <c r="AC5842" s="23"/>
      <c r="AD5842" s="23"/>
      <c r="AE5842" s="23"/>
      <c r="AF5842" s="23"/>
      <c r="AG5842" s="23"/>
      <c r="AH5842" s="23"/>
      <c r="AI5842" s="49"/>
    </row>
    <row r="5843" spans="1:35">
      <c r="A5843" s="23"/>
      <c r="B5843" s="42"/>
      <c r="C5843" s="49"/>
      <c r="E5843" s="49"/>
      <c r="G5843" s="43"/>
      <c r="H5843" s="44"/>
      <c r="L5843" s="42"/>
      <c r="M5843" s="42"/>
      <c r="N5843" s="25"/>
      <c r="O5843" s="54"/>
      <c r="P5843"/>
      <c r="Q5843" s="25"/>
      <c r="R5843" s="54"/>
      <c r="W5843" s="23"/>
      <c r="X5843" s="23"/>
      <c r="Y5843" s="23"/>
      <c r="Z5843" s="43"/>
      <c r="AA5843" s="23"/>
      <c r="AB5843" s="23"/>
      <c r="AC5843" s="23"/>
      <c r="AD5843" s="23"/>
      <c r="AE5843" s="23"/>
      <c r="AF5843" s="23"/>
      <c r="AG5843" s="23"/>
      <c r="AH5843" s="23"/>
      <c r="AI5843" s="49"/>
    </row>
    <row r="5844" spans="1:35">
      <c r="A5844" s="50"/>
      <c r="B5844" s="42"/>
      <c r="C5844" s="49"/>
      <c r="E5844" s="49"/>
      <c r="G5844" s="43"/>
      <c r="H5844" s="44"/>
      <c r="L5844" s="42"/>
      <c r="M5844" s="42"/>
      <c r="N5844" s="25"/>
      <c r="O5844" s="54"/>
      <c r="P5844"/>
      <c r="Q5844" s="25"/>
      <c r="R5844" s="54"/>
      <c r="W5844" s="23"/>
      <c r="X5844" s="23"/>
      <c r="Y5844" s="23"/>
      <c r="Z5844" s="43"/>
      <c r="AA5844" s="23"/>
      <c r="AB5844" s="23"/>
      <c r="AC5844" s="23"/>
      <c r="AD5844" s="23"/>
      <c r="AE5844" s="23"/>
      <c r="AF5844" s="23"/>
      <c r="AG5844" s="23"/>
      <c r="AH5844" s="23"/>
      <c r="AI5844" s="49"/>
    </row>
    <row r="5845" spans="1:35">
      <c r="A5845" s="23"/>
      <c r="B5845" s="42"/>
      <c r="C5845" s="49"/>
      <c r="E5845" s="49"/>
      <c r="G5845" s="43"/>
      <c r="H5845" s="44"/>
      <c r="L5845" s="42"/>
      <c r="M5845" s="42"/>
      <c r="N5845" s="25"/>
      <c r="O5845" s="54"/>
      <c r="P5845"/>
      <c r="Q5845" s="25"/>
      <c r="R5845" s="54"/>
      <c r="W5845" s="23"/>
      <c r="X5845" s="23"/>
      <c r="Y5845" s="23"/>
      <c r="Z5845" s="43"/>
      <c r="AA5845" s="23"/>
      <c r="AB5845" s="23"/>
      <c r="AC5845" s="23"/>
      <c r="AD5845" s="23"/>
      <c r="AE5845" s="23"/>
      <c r="AF5845" s="23"/>
      <c r="AG5845" s="23"/>
      <c r="AH5845" s="23"/>
      <c r="AI5845" s="49"/>
    </row>
    <row r="5846" spans="1:35">
      <c r="A5846" s="23"/>
      <c r="B5846" s="42"/>
      <c r="C5846" s="49"/>
      <c r="E5846" s="49"/>
      <c r="G5846" s="43"/>
      <c r="H5846" s="44"/>
      <c r="L5846" s="42"/>
      <c r="M5846" s="42"/>
      <c r="N5846" s="25"/>
      <c r="O5846" s="54"/>
      <c r="P5846"/>
      <c r="Q5846" s="25"/>
      <c r="R5846" s="54"/>
      <c r="W5846" s="23"/>
      <c r="X5846" s="23"/>
      <c r="Y5846" s="23"/>
      <c r="Z5846" s="43"/>
      <c r="AA5846" s="23"/>
      <c r="AB5846" s="23"/>
      <c r="AC5846" s="23"/>
      <c r="AD5846" s="23"/>
      <c r="AE5846" s="23"/>
      <c r="AF5846" s="23"/>
      <c r="AG5846" s="23"/>
      <c r="AH5846" s="23"/>
      <c r="AI5846" s="49"/>
    </row>
    <row r="5847" spans="1:35">
      <c r="A5847" s="23"/>
      <c r="B5847" s="42"/>
      <c r="C5847" s="49"/>
      <c r="E5847" s="49"/>
      <c r="G5847" s="43"/>
      <c r="H5847" s="44"/>
      <c r="L5847" s="42"/>
      <c r="M5847" s="42"/>
      <c r="N5847" s="25"/>
      <c r="O5847" s="54"/>
      <c r="P5847"/>
      <c r="Q5847" s="25"/>
      <c r="R5847" s="54"/>
      <c r="W5847" s="23"/>
      <c r="X5847" s="23"/>
      <c r="Y5847" s="23"/>
      <c r="Z5847" s="43"/>
      <c r="AA5847" s="23"/>
      <c r="AB5847" s="23"/>
      <c r="AC5847" s="23"/>
      <c r="AD5847" s="23"/>
      <c r="AE5847" s="23"/>
      <c r="AF5847" s="23"/>
      <c r="AG5847" s="23"/>
      <c r="AH5847" s="23"/>
      <c r="AI5847" s="49"/>
    </row>
    <row r="5848" spans="1:35">
      <c r="A5848" s="23"/>
      <c r="B5848" s="42"/>
      <c r="C5848" s="49"/>
      <c r="E5848" s="49"/>
      <c r="G5848" s="43"/>
      <c r="H5848" s="44"/>
      <c r="L5848" s="42"/>
      <c r="M5848" s="42"/>
      <c r="N5848" s="25"/>
      <c r="O5848" s="54"/>
      <c r="P5848"/>
      <c r="Q5848" s="25"/>
      <c r="R5848" s="54"/>
      <c r="W5848" s="23"/>
      <c r="X5848" s="23"/>
      <c r="Y5848" s="23"/>
      <c r="Z5848" s="43"/>
      <c r="AA5848" s="23"/>
      <c r="AB5848" s="23"/>
      <c r="AC5848" s="23"/>
      <c r="AD5848" s="23"/>
      <c r="AE5848" s="23"/>
      <c r="AF5848" s="23"/>
      <c r="AG5848" s="23"/>
      <c r="AH5848" s="23"/>
      <c r="AI5848" s="49"/>
    </row>
    <row r="5849" spans="1:35">
      <c r="A5849" s="23"/>
      <c r="B5849" s="42"/>
      <c r="C5849" s="49"/>
      <c r="E5849" s="49"/>
      <c r="G5849" s="43"/>
      <c r="H5849" s="44"/>
      <c r="L5849" s="42"/>
      <c r="M5849" s="42"/>
      <c r="N5849" s="25"/>
      <c r="O5849" s="54"/>
      <c r="P5849"/>
      <c r="Q5849" s="25"/>
      <c r="R5849" s="54"/>
      <c r="W5849" s="23"/>
      <c r="X5849" s="23"/>
      <c r="Y5849" s="23"/>
      <c r="Z5849" s="43"/>
      <c r="AA5849" s="23"/>
      <c r="AB5849" s="23"/>
      <c r="AC5849" s="23"/>
      <c r="AD5849" s="23"/>
      <c r="AE5849" s="23"/>
      <c r="AF5849" s="23"/>
      <c r="AG5849" s="23"/>
      <c r="AH5849" s="23"/>
      <c r="AI5849" s="49"/>
    </row>
    <row r="5850" spans="1:35">
      <c r="A5850" s="23"/>
      <c r="B5850" s="42"/>
      <c r="C5850" s="49"/>
      <c r="E5850" s="49"/>
      <c r="G5850" s="43"/>
      <c r="H5850" s="44"/>
      <c r="L5850" s="42"/>
      <c r="M5850" s="42"/>
      <c r="N5850" s="25"/>
      <c r="O5850" s="54"/>
      <c r="P5850"/>
      <c r="Q5850" s="25"/>
      <c r="R5850" s="54"/>
      <c r="W5850" s="23"/>
      <c r="X5850" s="23"/>
      <c r="Y5850" s="23"/>
      <c r="Z5850" s="43"/>
      <c r="AA5850" s="23"/>
      <c r="AB5850" s="23"/>
      <c r="AC5850" s="23"/>
      <c r="AD5850" s="23"/>
      <c r="AE5850" s="23"/>
      <c r="AF5850" s="23"/>
      <c r="AG5850" s="23"/>
      <c r="AH5850" s="23"/>
      <c r="AI5850" s="49"/>
    </row>
    <row r="5851" spans="1:35">
      <c r="A5851" s="23"/>
      <c r="B5851" s="42"/>
      <c r="C5851" s="49"/>
      <c r="E5851" s="49"/>
      <c r="G5851" s="43"/>
      <c r="H5851" s="44"/>
      <c r="L5851" s="42"/>
      <c r="M5851" s="42"/>
      <c r="N5851" s="25"/>
      <c r="O5851" s="54"/>
      <c r="P5851"/>
      <c r="Q5851" s="25"/>
      <c r="R5851" s="54"/>
      <c r="W5851" s="23"/>
      <c r="X5851" s="23"/>
      <c r="Y5851" s="23"/>
      <c r="Z5851" s="43"/>
      <c r="AA5851" s="23"/>
      <c r="AB5851" s="23"/>
      <c r="AC5851" s="23"/>
      <c r="AD5851" s="23"/>
      <c r="AE5851" s="23"/>
      <c r="AF5851" s="23"/>
      <c r="AG5851" s="23"/>
      <c r="AH5851" s="23"/>
      <c r="AI5851" s="49"/>
    </row>
    <row r="5852" spans="1:35">
      <c r="A5852" s="23"/>
      <c r="B5852" s="42"/>
      <c r="C5852" s="49"/>
      <c r="E5852" s="49"/>
      <c r="G5852" s="43"/>
      <c r="H5852" s="44"/>
      <c r="L5852" s="42"/>
      <c r="M5852" s="42"/>
      <c r="N5852" s="25"/>
      <c r="O5852" s="54"/>
      <c r="P5852"/>
      <c r="Q5852" s="25"/>
      <c r="R5852" s="54"/>
      <c r="W5852" s="23"/>
      <c r="X5852" s="23"/>
      <c r="Y5852" s="23"/>
      <c r="Z5852" s="43"/>
      <c r="AA5852" s="23"/>
      <c r="AB5852" s="23"/>
      <c r="AC5852" s="23"/>
      <c r="AD5852" s="23"/>
      <c r="AE5852" s="23"/>
      <c r="AF5852" s="23"/>
      <c r="AG5852" s="23"/>
      <c r="AH5852" s="23"/>
      <c r="AI5852" s="49"/>
    </row>
    <row r="5853" spans="1:35">
      <c r="A5853" s="23"/>
      <c r="B5853" s="42"/>
      <c r="C5853" s="49"/>
      <c r="E5853" s="49"/>
      <c r="G5853" s="43"/>
      <c r="H5853" s="44"/>
      <c r="L5853" s="42"/>
      <c r="M5853" s="42"/>
      <c r="N5853" s="25"/>
      <c r="O5853" s="54"/>
      <c r="P5853"/>
      <c r="Q5853" s="25"/>
      <c r="R5853" s="54"/>
      <c r="W5853" s="23"/>
      <c r="X5853" s="23"/>
      <c r="Y5853" s="23"/>
      <c r="Z5853" s="43"/>
      <c r="AA5853" s="23"/>
      <c r="AB5853" s="23"/>
      <c r="AC5853" s="23"/>
      <c r="AD5853" s="23"/>
      <c r="AE5853" s="23"/>
      <c r="AF5853" s="23"/>
      <c r="AG5853" s="23"/>
      <c r="AH5853" s="23"/>
      <c r="AI5853" s="49"/>
    </row>
    <row r="5854" spans="1:35">
      <c r="A5854" s="23"/>
      <c r="B5854" s="42"/>
      <c r="C5854" s="49"/>
      <c r="E5854" s="49"/>
      <c r="G5854" s="43"/>
      <c r="H5854" s="44"/>
      <c r="L5854" s="42"/>
      <c r="M5854" s="42"/>
      <c r="N5854" s="25"/>
      <c r="O5854" s="54"/>
      <c r="P5854"/>
      <c r="Q5854" s="25"/>
      <c r="R5854" s="54"/>
      <c r="W5854" s="23"/>
      <c r="X5854" s="23"/>
      <c r="Y5854" s="23"/>
      <c r="Z5854" s="43"/>
      <c r="AA5854" s="23"/>
      <c r="AB5854" s="23"/>
      <c r="AC5854" s="23"/>
      <c r="AD5854" s="23"/>
      <c r="AE5854" s="23"/>
      <c r="AF5854" s="23"/>
      <c r="AG5854" s="23"/>
      <c r="AH5854" s="23"/>
      <c r="AI5854" s="49"/>
    </row>
    <row r="5855" spans="1:35">
      <c r="B5855" s="42"/>
      <c r="G5855" s="43"/>
      <c r="H5855" s="44"/>
      <c r="L5855" s="42"/>
      <c r="M5855" s="42"/>
      <c r="N5855" s="25"/>
      <c r="O5855" s="54"/>
      <c r="P5855"/>
      <c r="Q5855" s="25"/>
      <c r="R5855" s="54"/>
      <c r="W5855" s="23"/>
      <c r="X5855" s="23"/>
      <c r="Y5855" s="23"/>
      <c r="Z5855" s="43"/>
      <c r="AA5855" s="23"/>
      <c r="AB5855" s="23"/>
      <c r="AC5855" s="23"/>
      <c r="AD5855" s="23"/>
      <c r="AE5855" s="23"/>
      <c r="AF5855" s="23"/>
      <c r="AG5855" s="23"/>
      <c r="AH5855" s="23"/>
    </row>
    <row r="5856" spans="1:35">
      <c r="A5856" s="50"/>
      <c r="B5856" s="42"/>
      <c r="C5856" s="49"/>
      <c r="E5856" s="49"/>
      <c r="G5856" s="43"/>
      <c r="H5856" s="44"/>
      <c r="L5856" s="42"/>
      <c r="M5856" s="42"/>
      <c r="N5856" s="25"/>
      <c r="O5856" s="54"/>
      <c r="P5856"/>
      <c r="Q5856" s="25"/>
      <c r="R5856" s="54"/>
      <c r="W5856" s="23"/>
      <c r="X5856" s="23"/>
      <c r="Y5856" s="23"/>
      <c r="Z5856" s="43"/>
      <c r="AA5856" s="23"/>
      <c r="AB5856" s="23"/>
      <c r="AC5856" s="23"/>
      <c r="AD5856" s="23"/>
      <c r="AE5856" s="23"/>
      <c r="AF5856" s="23"/>
      <c r="AG5856" s="23"/>
      <c r="AH5856" s="23"/>
      <c r="AI5856" s="49"/>
    </row>
    <row r="5857" spans="1:35">
      <c r="A5857" s="50"/>
      <c r="B5857" s="42"/>
      <c r="C5857" s="49"/>
      <c r="E5857" s="49"/>
      <c r="G5857" s="43"/>
      <c r="H5857" s="44"/>
      <c r="L5857" s="42"/>
      <c r="M5857" s="42"/>
      <c r="N5857" s="25"/>
      <c r="O5857" s="54"/>
      <c r="P5857"/>
      <c r="Q5857" s="25"/>
      <c r="R5857" s="54"/>
      <c r="W5857" s="23"/>
      <c r="X5857" s="23"/>
      <c r="Y5857" s="23"/>
      <c r="Z5857" s="43"/>
      <c r="AA5857" s="23"/>
      <c r="AB5857" s="23"/>
      <c r="AC5857" s="23"/>
      <c r="AD5857" s="23"/>
      <c r="AE5857" s="23"/>
      <c r="AF5857" s="23"/>
      <c r="AG5857" s="23"/>
      <c r="AH5857" s="23"/>
      <c r="AI5857" s="49"/>
    </row>
    <row r="5858" spans="1:35">
      <c r="A5858" s="50"/>
      <c r="B5858" s="42"/>
      <c r="C5858" s="49"/>
      <c r="E5858" s="49"/>
      <c r="G5858" s="43"/>
      <c r="H5858" s="44"/>
      <c r="L5858" s="42"/>
      <c r="M5858" s="42"/>
      <c r="N5858" s="25"/>
      <c r="O5858" s="54"/>
      <c r="P5858"/>
      <c r="Q5858" s="25"/>
      <c r="R5858" s="54"/>
      <c r="W5858" s="23"/>
      <c r="X5858" s="23"/>
      <c r="Y5858" s="23"/>
      <c r="Z5858" s="43"/>
      <c r="AA5858" s="23"/>
      <c r="AB5858" s="23"/>
      <c r="AC5858" s="23"/>
      <c r="AD5858" s="23"/>
      <c r="AE5858" s="23"/>
      <c r="AF5858" s="23"/>
      <c r="AG5858" s="23"/>
      <c r="AH5858" s="23"/>
      <c r="AI5858" s="49"/>
    </row>
    <row r="5859" spans="1:35">
      <c r="A5859" s="23"/>
      <c r="B5859" s="42"/>
      <c r="C5859" s="49"/>
      <c r="E5859" s="49"/>
      <c r="G5859" s="43"/>
      <c r="H5859" s="44"/>
      <c r="L5859" s="42"/>
      <c r="M5859" s="42"/>
      <c r="N5859" s="25"/>
      <c r="O5859" s="54"/>
      <c r="P5859"/>
      <c r="Q5859" s="25"/>
      <c r="R5859" s="54"/>
      <c r="W5859" s="23"/>
      <c r="X5859" s="23"/>
      <c r="Y5859" s="23"/>
      <c r="Z5859" s="43"/>
      <c r="AA5859" s="23"/>
      <c r="AB5859" s="23"/>
      <c r="AC5859" s="23"/>
      <c r="AD5859" s="23"/>
      <c r="AE5859" s="23"/>
      <c r="AF5859" s="23"/>
      <c r="AG5859" s="23"/>
      <c r="AH5859" s="23"/>
      <c r="AI5859" s="49"/>
    </row>
    <row r="5860" spans="1:35">
      <c r="A5860" s="23"/>
      <c r="B5860" s="42"/>
      <c r="C5860" s="49"/>
      <c r="E5860" s="49"/>
      <c r="G5860" s="43"/>
      <c r="H5860" s="44"/>
      <c r="L5860" s="42"/>
      <c r="M5860" s="42"/>
      <c r="N5860" s="25"/>
      <c r="O5860" s="54"/>
      <c r="P5860"/>
      <c r="Q5860" s="25"/>
      <c r="R5860" s="54"/>
      <c r="W5860" s="23"/>
      <c r="X5860" s="23"/>
      <c r="Y5860" s="23"/>
      <c r="Z5860" s="43"/>
      <c r="AA5860" s="23"/>
      <c r="AB5860" s="23"/>
      <c r="AC5860" s="23"/>
      <c r="AD5860" s="23"/>
      <c r="AE5860" s="23"/>
      <c r="AF5860" s="23"/>
      <c r="AG5860" s="23"/>
      <c r="AH5860" s="23"/>
      <c r="AI5860" s="49"/>
    </row>
    <row r="5861" spans="1:35">
      <c r="A5861" s="23"/>
      <c r="B5861" s="42"/>
      <c r="C5861" s="49"/>
      <c r="E5861" s="49"/>
      <c r="G5861" s="43"/>
      <c r="H5861" s="44"/>
      <c r="L5861" s="42"/>
      <c r="M5861" s="42"/>
      <c r="N5861" s="25"/>
      <c r="O5861" s="54"/>
      <c r="P5861"/>
      <c r="Q5861" s="25"/>
      <c r="R5861" s="54"/>
      <c r="W5861" s="23"/>
      <c r="X5861" s="23"/>
      <c r="Y5861" s="23"/>
      <c r="Z5861" s="43"/>
      <c r="AA5861" s="23"/>
      <c r="AB5861" s="23"/>
      <c r="AC5861" s="23"/>
      <c r="AD5861" s="23"/>
      <c r="AE5861" s="23"/>
      <c r="AF5861" s="23"/>
      <c r="AG5861" s="23"/>
      <c r="AH5861" s="23"/>
      <c r="AI5861" s="49"/>
    </row>
    <row r="5862" spans="1:35">
      <c r="A5862" s="45"/>
      <c r="B5862" s="42"/>
      <c r="C5862" s="45"/>
      <c r="E5862" s="45"/>
      <c r="G5862" s="43"/>
      <c r="H5862" s="44"/>
      <c r="L5862" s="42"/>
      <c r="M5862" s="42"/>
      <c r="N5862" s="25"/>
      <c r="O5862" s="54"/>
      <c r="P5862"/>
      <c r="Q5862" s="25"/>
      <c r="R5862" s="54"/>
      <c r="W5862" s="23"/>
      <c r="X5862" s="23"/>
      <c r="Y5862" s="23"/>
      <c r="Z5862" s="43"/>
      <c r="AA5862" s="23"/>
      <c r="AB5862" s="23"/>
      <c r="AC5862" s="23"/>
      <c r="AD5862" s="23"/>
      <c r="AE5862" s="23"/>
      <c r="AF5862" s="23"/>
      <c r="AG5862" s="23"/>
      <c r="AH5862" s="23"/>
      <c r="AI5862" s="45"/>
    </row>
    <row r="5863" spans="1:35">
      <c r="A5863" s="49"/>
      <c r="B5863" s="42"/>
      <c r="G5863" s="43"/>
      <c r="H5863" s="44"/>
      <c r="L5863" s="42"/>
      <c r="M5863" s="42"/>
      <c r="N5863" s="25"/>
      <c r="O5863" s="54"/>
      <c r="P5863"/>
      <c r="Q5863" s="25"/>
      <c r="R5863" s="54"/>
      <c r="W5863" s="23"/>
      <c r="X5863" s="23"/>
      <c r="Y5863" s="23"/>
      <c r="Z5863" s="43"/>
      <c r="AA5863" s="23"/>
      <c r="AB5863" s="23"/>
      <c r="AC5863" s="23"/>
      <c r="AD5863" s="23"/>
      <c r="AE5863" s="23"/>
      <c r="AF5863" s="23"/>
      <c r="AG5863" s="23"/>
      <c r="AH5863" s="23"/>
    </row>
    <row r="5864" spans="1:35">
      <c r="A5864" s="23"/>
      <c r="B5864" s="42"/>
      <c r="C5864" s="49"/>
      <c r="E5864" s="49"/>
      <c r="G5864" s="43"/>
      <c r="H5864" s="44"/>
      <c r="L5864" s="42"/>
      <c r="M5864" s="42"/>
      <c r="N5864" s="25"/>
      <c r="O5864" s="54"/>
      <c r="P5864"/>
      <c r="Q5864" s="25"/>
      <c r="R5864" s="54"/>
      <c r="W5864" s="23"/>
      <c r="X5864" s="23"/>
      <c r="Y5864" s="23"/>
      <c r="Z5864" s="43"/>
      <c r="AA5864" s="23"/>
      <c r="AB5864" s="23"/>
      <c r="AC5864" s="23"/>
      <c r="AD5864" s="23"/>
      <c r="AE5864" s="23"/>
      <c r="AF5864" s="23"/>
      <c r="AG5864" s="23"/>
      <c r="AH5864" s="23"/>
      <c r="AI5864" s="49"/>
    </row>
    <row r="5865" spans="1:35">
      <c r="A5865" s="23"/>
      <c r="B5865" s="42"/>
      <c r="C5865" s="49"/>
      <c r="E5865" s="49"/>
      <c r="G5865" s="43"/>
      <c r="H5865" s="44"/>
      <c r="L5865" s="42"/>
      <c r="M5865" s="42"/>
      <c r="N5865" s="25"/>
      <c r="O5865" s="54"/>
      <c r="P5865"/>
      <c r="Q5865" s="25"/>
      <c r="R5865" s="54"/>
      <c r="W5865" s="23"/>
      <c r="X5865" s="23"/>
      <c r="Y5865" s="23"/>
      <c r="Z5865" s="43"/>
      <c r="AA5865" s="23"/>
      <c r="AB5865" s="23"/>
      <c r="AC5865" s="23"/>
      <c r="AD5865" s="23"/>
      <c r="AE5865" s="23"/>
      <c r="AF5865" s="23"/>
      <c r="AG5865" s="23"/>
      <c r="AH5865" s="23"/>
      <c r="AI5865" s="49"/>
    </row>
    <row r="5866" spans="1:35">
      <c r="A5866" s="23"/>
      <c r="B5866" s="42"/>
      <c r="C5866" s="49"/>
      <c r="E5866" s="49"/>
      <c r="G5866" s="43"/>
      <c r="H5866" s="44"/>
      <c r="L5866" s="42"/>
      <c r="M5866" s="42"/>
      <c r="N5866" s="25"/>
      <c r="O5866" s="54"/>
      <c r="P5866"/>
      <c r="Q5866" s="25"/>
      <c r="R5866" s="54"/>
      <c r="W5866" s="23"/>
      <c r="X5866" s="23"/>
      <c r="Y5866" s="23"/>
      <c r="Z5866" s="43"/>
      <c r="AA5866" s="23"/>
      <c r="AB5866" s="23"/>
      <c r="AC5866" s="23"/>
      <c r="AD5866" s="23"/>
      <c r="AE5866" s="23"/>
      <c r="AF5866" s="23"/>
      <c r="AG5866" s="23"/>
      <c r="AH5866" s="23"/>
      <c r="AI5866" s="49"/>
    </row>
    <row r="5867" spans="1:35">
      <c r="A5867" s="45"/>
      <c r="B5867" s="42"/>
      <c r="C5867" s="45"/>
      <c r="E5867" s="45"/>
      <c r="G5867" s="43"/>
      <c r="H5867" s="44"/>
      <c r="L5867" s="42"/>
      <c r="M5867" s="42"/>
      <c r="N5867" s="25"/>
      <c r="O5867" s="54"/>
      <c r="P5867"/>
      <c r="Q5867" s="25"/>
      <c r="R5867" s="54"/>
      <c r="W5867" s="23"/>
      <c r="X5867" s="23"/>
      <c r="Y5867" s="23"/>
      <c r="Z5867" s="43"/>
      <c r="AA5867" s="23"/>
      <c r="AB5867" s="23"/>
      <c r="AC5867" s="23"/>
      <c r="AD5867" s="23"/>
      <c r="AE5867" s="23"/>
      <c r="AF5867" s="23"/>
      <c r="AG5867" s="23"/>
      <c r="AH5867" s="23"/>
      <c r="AI5867" s="48"/>
    </row>
    <row r="5868" spans="1:35">
      <c r="A5868" s="23"/>
      <c r="B5868" s="42"/>
      <c r="C5868" s="49"/>
      <c r="E5868" s="49"/>
      <c r="G5868" s="43"/>
      <c r="H5868" s="44"/>
      <c r="L5868" s="42"/>
      <c r="M5868" s="42"/>
      <c r="N5868" s="25"/>
      <c r="O5868" s="54"/>
      <c r="P5868"/>
      <c r="Q5868" s="25"/>
      <c r="R5868" s="54"/>
      <c r="W5868" s="23"/>
      <c r="X5868" s="23"/>
      <c r="Y5868" s="23"/>
      <c r="Z5868" s="43"/>
      <c r="AA5868" s="23"/>
      <c r="AB5868" s="23"/>
      <c r="AC5868" s="23"/>
      <c r="AD5868" s="23"/>
      <c r="AE5868" s="23"/>
      <c r="AF5868" s="23"/>
      <c r="AG5868" s="23"/>
      <c r="AH5868" s="23"/>
      <c r="AI5868" s="49"/>
    </row>
    <row r="5869" spans="1:35">
      <c r="A5869" s="23"/>
      <c r="B5869" s="42"/>
      <c r="C5869" s="49"/>
      <c r="E5869" s="49"/>
      <c r="G5869" s="43"/>
      <c r="H5869" s="44"/>
      <c r="L5869" s="42"/>
      <c r="M5869" s="42"/>
      <c r="N5869" s="25"/>
      <c r="O5869" s="54"/>
      <c r="P5869"/>
      <c r="Q5869" s="25"/>
      <c r="R5869" s="54"/>
      <c r="W5869" s="23"/>
      <c r="X5869" s="23"/>
      <c r="Y5869" s="23"/>
      <c r="Z5869" s="43"/>
      <c r="AA5869" s="23"/>
      <c r="AB5869" s="23"/>
      <c r="AC5869" s="23"/>
      <c r="AD5869" s="23"/>
      <c r="AE5869" s="23"/>
      <c r="AF5869" s="23"/>
      <c r="AG5869" s="23"/>
      <c r="AH5869" s="23"/>
      <c r="AI5869" s="49"/>
    </row>
    <row r="5870" spans="1:35">
      <c r="A5870" s="23"/>
      <c r="B5870" s="42"/>
      <c r="C5870" s="49"/>
      <c r="E5870" s="49"/>
      <c r="G5870" s="43"/>
      <c r="H5870" s="44"/>
      <c r="L5870" s="42"/>
      <c r="M5870" s="42"/>
      <c r="N5870" s="25"/>
      <c r="O5870" s="54"/>
      <c r="P5870"/>
      <c r="Q5870" s="25"/>
      <c r="R5870" s="54"/>
      <c r="W5870" s="23"/>
      <c r="X5870" s="23"/>
      <c r="Y5870" s="23"/>
      <c r="Z5870" s="43"/>
      <c r="AA5870" s="23"/>
      <c r="AB5870" s="23"/>
      <c r="AC5870" s="23"/>
      <c r="AD5870" s="23"/>
      <c r="AE5870" s="23"/>
      <c r="AF5870" s="23"/>
      <c r="AG5870" s="23"/>
      <c r="AH5870" s="23"/>
      <c r="AI5870" s="49"/>
    </row>
    <row r="5871" spans="1:35">
      <c r="A5871" s="23"/>
      <c r="B5871" s="42"/>
      <c r="G5871" s="43"/>
      <c r="H5871" s="44"/>
      <c r="L5871" s="42"/>
      <c r="M5871" s="42"/>
      <c r="N5871" s="25"/>
      <c r="O5871" s="54"/>
      <c r="P5871"/>
      <c r="Q5871" s="25"/>
      <c r="R5871" s="54"/>
      <c r="W5871" s="23"/>
      <c r="X5871" s="23"/>
      <c r="Y5871" s="23"/>
      <c r="Z5871" s="43"/>
      <c r="AA5871" s="23"/>
      <c r="AB5871" s="23"/>
      <c r="AC5871" s="23"/>
      <c r="AD5871" s="23"/>
      <c r="AE5871" s="23"/>
      <c r="AF5871" s="23"/>
      <c r="AG5871" s="23"/>
      <c r="AH5871" s="23"/>
    </row>
    <row r="5872" spans="1:35">
      <c r="A5872" s="23"/>
      <c r="B5872" s="42"/>
      <c r="C5872" s="49"/>
      <c r="E5872" s="49"/>
      <c r="G5872" s="43"/>
      <c r="H5872" s="44"/>
      <c r="L5872" s="42"/>
      <c r="M5872" s="42"/>
      <c r="N5872" s="25"/>
      <c r="O5872" s="54"/>
      <c r="P5872"/>
      <c r="Q5872" s="25"/>
      <c r="R5872" s="54"/>
      <c r="W5872" s="23"/>
      <c r="X5872" s="23"/>
      <c r="Y5872" s="23"/>
      <c r="Z5872" s="43"/>
      <c r="AA5872" s="23"/>
      <c r="AB5872" s="23"/>
      <c r="AC5872" s="23"/>
      <c r="AD5872" s="23"/>
      <c r="AE5872" s="23"/>
      <c r="AF5872" s="23"/>
      <c r="AG5872" s="23"/>
      <c r="AH5872" s="23"/>
      <c r="AI5872" s="49"/>
    </row>
    <row r="5873" spans="1:34">
      <c r="A5873" s="50"/>
      <c r="B5873" s="42"/>
      <c r="G5873" s="43"/>
      <c r="H5873" s="44"/>
      <c r="L5873" s="42"/>
      <c r="M5873" s="42"/>
      <c r="N5873" s="25"/>
      <c r="O5873" s="54"/>
      <c r="P5873"/>
      <c r="Q5873" s="25"/>
      <c r="R5873" s="54"/>
      <c r="W5873" s="23"/>
      <c r="X5873" s="23"/>
      <c r="Y5873" s="23"/>
      <c r="Z5873" s="43"/>
      <c r="AA5873" s="23"/>
      <c r="AB5873" s="23"/>
      <c r="AC5873" s="23"/>
      <c r="AD5873" s="23"/>
      <c r="AE5873" s="23"/>
      <c r="AF5873" s="23"/>
      <c r="AG5873" s="23"/>
      <c r="AH5873" s="23"/>
    </row>
    <row r="5874" spans="1:34">
      <c r="A5874" s="50"/>
      <c r="B5874" s="42"/>
      <c r="G5874" s="43"/>
      <c r="H5874" s="44"/>
      <c r="L5874" s="42"/>
      <c r="M5874" s="42"/>
      <c r="N5874" s="25"/>
      <c r="O5874" s="54"/>
      <c r="P5874"/>
      <c r="Q5874" s="25"/>
      <c r="R5874" s="54"/>
      <c r="W5874" s="23"/>
      <c r="X5874" s="23"/>
      <c r="Y5874" s="23"/>
      <c r="Z5874" s="43"/>
      <c r="AA5874" s="23"/>
      <c r="AB5874" s="23"/>
      <c r="AC5874" s="23"/>
      <c r="AD5874" s="23"/>
      <c r="AE5874" s="23"/>
      <c r="AF5874" s="23"/>
      <c r="AG5874" s="23"/>
      <c r="AH5874" s="23"/>
    </row>
    <row r="5875" spans="1:34">
      <c r="A5875" s="50"/>
      <c r="B5875" s="42"/>
      <c r="G5875" s="43"/>
      <c r="H5875" s="44"/>
      <c r="L5875" s="42"/>
      <c r="M5875" s="42"/>
      <c r="N5875" s="25"/>
      <c r="O5875" s="54"/>
      <c r="P5875"/>
      <c r="Q5875" s="25"/>
      <c r="R5875" s="54"/>
      <c r="W5875" s="23"/>
      <c r="X5875" s="23"/>
      <c r="Y5875" s="23"/>
      <c r="Z5875" s="43"/>
      <c r="AA5875" s="23"/>
      <c r="AB5875" s="23"/>
      <c r="AC5875" s="23"/>
      <c r="AD5875" s="23"/>
      <c r="AE5875" s="23"/>
      <c r="AF5875" s="23"/>
      <c r="AG5875" s="23"/>
      <c r="AH5875" s="23"/>
    </row>
    <row r="5876" spans="1:34">
      <c r="A5876" s="50"/>
      <c r="B5876" s="42"/>
      <c r="G5876" s="43"/>
      <c r="H5876" s="44"/>
      <c r="L5876" s="42"/>
      <c r="M5876" s="42"/>
      <c r="N5876" s="25"/>
      <c r="O5876" s="54"/>
      <c r="P5876"/>
      <c r="Q5876" s="25"/>
      <c r="R5876" s="54"/>
      <c r="W5876" s="23"/>
      <c r="X5876" s="23"/>
      <c r="Y5876" s="23"/>
      <c r="Z5876" s="43"/>
      <c r="AA5876" s="23"/>
      <c r="AB5876" s="23"/>
      <c r="AC5876" s="23"/>
      <c r="AD5876" s="23"/>
      <c r="AE5876" s="23"/>
      <c r="AF5876" s="23"/>
      <c r="AG5876" s="23"/>
      <c r="AH5876" s="23"/>
    </row>
    <row r="5877" spans="1:34">
      <c r="A5877" s="50"/>
      <c r="B5877" s="42"/>
      <c r="G5877" s="43"/>
      <c r="H5877" s="44"/>
      <c r="L5877" s="42"/>
      <c r="M5877" s="42"/>
      <c r="N5877" s="25"/>
      <c r="O5877" s="54"/>
      <c r="P5877"/>
      <c r="Q5877" s="25"/>
      <c r="R5877" s="54"/>
      <c r="W5877" s="23"/>
      <c r="X5877" s="23"/>
      <c r="Y5877" s="23"/>
      <c r="Z5877" s="43"/>
      <c r="AA5877" s="23"/>
      <c r="AB5877" s="23"/>
      <c r="AC5877" s="23"/>
      <c r="AD5877" s="23"/>
      <c r="AE5877" s="23"/>
      <c r="AF5877" s="23"/>
      <c r="AG5877" s="23"/>
      <c r="AH5877" s="23"/>
    </row>
    <row r="5878" spans="1:34">
      <c r="A5878" s="50"/>
      <c r="B5878" s="42"/>
      <c r="G5878" s="43"/>
      <c r="H5878" s="44"/>
      <c r="L5878" s="42"/>
      <c r="M5878" s="42"/>
      <c r="N5878" s="25"/>
      <c r="O5878" s="54"/>
      <c r="P5878"/>
      <c r="Q5878" s="25"/>
      <c r="R5878" s="54"/>
      <c r="W5878" s="23"/>
      <c r="X5878" s="23"/>
      <c r="Y5878" s="23"/>
      <c r="Z5878" s="43"/>
      <c r="AA5878" s="23"/>
      <c r="AB5878" s="23"/>
      <c r="AC5878" s="23"/>
      <c r="AD5878" s="23"/>
      <c r="AE5878" s="23"/>
      <c r="AF5878" s="23"/>
      <c r="AG5878" s="23"/>
      <c r="AH5878" s="23"/>
    </row>
    <row r="5879" spans="1:34">
      <c r="A5879" s="50"/>
      <c r="B5879" s="42"/>
      <c r="G5879" s="43"/>
      <c r="H5879" s="44"/>
      <c r="L5879" s="42"/>
      <c r="M5879" s="42"/>
      <c r="N5879" s="25"/>
      <c r="O5879" s="54"/>
      <c r="P5879"/>
      <c r="Q5879" s="25"/>
      <c r="R5879" s="54"/>
      <c r="W5879" s="23"/>
      <c r="X5879" s="23"/>
      <c r="Y5879" s="23"/>
      <c r="Z5879" s="43"/>
      <c r="AA5879" s="23"/>
      <c r="AB5879" s="23"/>
      <c r="AC5879" s="23"/>
      <c r="AD5879" s="23"/>
      <c r="AE5879" s="23"/>
      <c r="AF5879" s="23"/>
      <c r="AG5879" s="23"/>
      <c r="AH5879" s="23"/>
    </row>
    <row r="5880" spans="1:34">
      <c r="A5880" s="50"/>
      <c r="B5880" s="42"/>
      <c r="G5880" s="43"/>
      <c r="H5880" s="44"/>
      <c r="L5880" s="42"/>
      <c r="M5880" s="42"/>
      <c r="N5880" s="25"/>
      <c r="O5880" s="54"/>
      <c r="P5880"/>
      <c r="Q5880" s="25"/>
      <c r="R5880" s="54"/>
      <c r="W5880" s="23"/>
      <c r="X5880" s="23"/>
      <c r="Y5880" s="23"/>
      <c r="Z5880" s="43"/>
      <c r="AA5880" s="23"/>
      <c r="AB5880" s="23"/>
      <c r="AC5880" s="23"/>
      <c r="AD5880" s="23"/>
      <c r="AE5880" s="23"/>
      <c r="AF5880" s="23"/>
      <c r="AG5880" s="23"/>
      <c r="AH5880" s="23"/>
    </row>
    <row r="5881" spans="1:34">
      <c r="A5881" s="50"/>
      <c r="B5881" s="42"/>
      <c r="G5881" s="43"/>
      <c r="H5881" s="44"/>
      <c r="L5881" s="42"/>
      <c r="M5881" s="42"/>
      <c r="N5881" s="25"/>
      <c r="O5881" s="54"/>
      <c r="P5881"/>
      <c r="Q5881" s="25"/>
      <c r="R5881" s="54"/>
      <c r="W5881" s="23"/>
      <c r="X5881" s="23"/>
      <c r="Y5881" s="23"/>
      <c r="Z5881" s="43"/>
      <c r="AA5881" s="23"/>
      <c r="AB5881" s="23"/>
      <c r="AC5881" s="23"/>
      <c r="AD5881" s="23"/>
      <c r="AE5881" s="23"/>
      <c r="AF5881" s="23"/>
      <c r="AG5881" s="23"/>
      <c r="AH5881" s="23"/>
    </row>
    <row r="5882" spans="1:34">
      <c r="A5882" s="50"/>
      <c r="B5882" s="42"/>
      <c r="G5882" s="43"/>
      <c r="H5882" s="44"/>
      <c r="L5882" s="42"/>
      <c r="M5882" s="42"/>
      <c r="N5882" s="25"/>
      <c r="O5882" s="54"/>
      <c r="P5882"/>
      <c r="Q5882" s="25"/>
      <c r="R5882" s="54"/>
      <c r="W5882" s="23"/>
      <c r="X5882" s="23"/>
      <c r="Y5882" s="23"/>
      <c r="Z5882" s="43"/>
      <c r="AA5882" s="23"/>
      <c r="AB5882" s="23"/>
      <c r="AC5882" s="23"/>
      <c r="AD5882" s="23"/>
      <c r="AE5882" s="23"/>
      <c r="AF5882" s="23"/>
      <c r="AG5882" s="23"/>
      <c r="AH5882" s="23"/>
    </row>
    <row r="5883" spans="1:34">
      <c r="A5883" s="50"/>
      <c r="B5883" s="42"/>
      <c r="G5883" s="43"/>
      <c r="H5883" s="44"/>
      <c r="L5883" s="42"/>
      <c r="M5883" s="42"/>
      <c r="N5883" s="25"/>
      <c r="O5883" s="54"/>
      <c r="P5883"/>
      <c r="Q5883" s="25"/>
      <c r="R5883" s="54"/>
      <c r="W5883" s="23"/>
      <c r="X5883" s="23"/>
      <c r="Y5883" s="23"/>
      <c r="Z5883" s="43"/>
      <c r="AA5883" s="23"/>
      <c r="AB5883" s="23"/>
      <c r="AC5883" s="23"/>
      <c r="AD5883" s="23"/>
      <c r="AE5883" s="23"/>
      <c r="AF5883" s="23"/>
      <c r="AG5883" s="23"/>
      <c r="AH5883" s="23"/>
    </row>
    <row r="5884" spans="1:34">
      <c r="A5884" s="50"/>
      <c r="B5884" s="42"/>
      <c r="G5884" s="43"/>
      <c r="H5884" s="44"/>
      <c r="L5884" s="42"/>
      <c r="M5884" s="42"/>
      <c r="N5884" s="25"/>
      <c r="O5884" s="54"/>
      <c r="P5884"/>
      <c r="Q5884" s="25"/>
      <c r="R5884" s="54"/>
      <c r="W5884" s="23"/>
      <c r="X5884" s="23"/>
      <c r="Y5884" s="23"/>
      <c r="Z5884" s="43"/>
      <c r="AA5884" s="23"/>
      <c r="AB5884" s="23"/>
      <c r="AC5884" s="23"/>
      <c r="AD5884" s="23"/>
      <c r="AE5884" s="23"/>
      <c r="AF5884" s="23"/>
      <c r="AG5884" s="23"/>
      <c r="AH5884" s="23"/>
    </row>
    <row r="5885" spans="1:34">
      <c r="A5885" s="50"/>
      <c r="B5885" s="42"/>
      <c r="G5885" s="43"/>
      <c r="H5885" s="44"/>
      <c r="L5885" s="42"/>
      <c r="M5885" s="42"/>
      <c r="N5885" s="25"/>
      <c r="O5885" s="54"/>
      <c r="P5885"/>
      <c r="Q5885" s="25"/>
      <c r="R5885" s="54"/>
      <c r="W5885" s="23"/>
      <c r="X5885" s="23"/>
      <c r="Y5885" s="23"/>
      <c r="Z5885" s="43"/>
      <c r="AA5885" s="23"/>
      <c r="AB5885" s="23"/>
      <c r="AC5885" s="23"/>
      <c r="AD5885" s="23"/>
      <c r="AE5885" s="23"/>
      <c r="AF5885" s="23"/>
      <c r="AG5885" s="23"/>
      <c r="AH5885" s="23"/>
    </row>
    <row r="5886" spans="1:34">
      <c r="A5886" s="50"/>
      <c r="B5886" s="42"/>
      <c r="G5886" s="43"/>
      <c r="H5886" s="44"/>
      <c r="L5886" s="42"/>
      <c r="M5886" s="42"/>
      <c r="N5886" s="25"/>
      <c r="O5886" s="54"/>
      <c r="P5886"/>
      <c r="Q5886" s="25"/>
      <c r="R5886" s="54"/>
      <c r="W5886" s="23"/>
      <c r="X5886" s="23"/>
      <c r="Y5886" s="23"/>
      <c r="Z5886" s="43"/>
      <c r="AA5886" s="23"/>
      <c r="AB5886" s="23"/>
      <c r="AC5886" s="23"/>
      <c r="AD5886" s="23"/>
      <c r="AE5886" s="23"/>
      <c r="AF5886" s="23"/>
      <c r="AG5886" s="23"/>
      <c r="AH5886" s="23"/>
    </row>
    <row r="5887" spans="1:34">
      <c r="A5887" s="50"/>
      <c r="B5887" s="42"/>
      <c r="G5887" s="43"/>
      <c r="H5887" s="44"/>
      <c r="L5887" s="42"/>
      <c r="M5887" s="42"/>
      <c r="N5887" s="25"/>
      <c r="O5887" s="54"/>
      <c r="P5887"/>
      <c r="Q5887" s="25"/>
      <c r="R5887" s="54"/>
      <c r="W5887" s="23"/>
      <c r="X5887" s="23"/>
      <c r="Y5887" s="23"/>
      <c r="Z5887" s="43"/>
      <c r="AA5887" s="23"/>
      <c r="AB5887" s="23"/>
      <c r="AC5887" s="23"/>
      <c r="AD5887" s="23"/>
      <c r="AE5887" s="23"/>
      <c r="AF5887" s="23"/>
      <c r="AG5887" s="23"/>
      <c r="AH5887" s="23"/>
    </row>
    <row r="5888" spans="1:34">
      <c r="A5888" s="50"/>
      <c r="B5888" s="42"/>
      <c r="G5888" s="43"/>
      <c r="H5888" s="44"/>
      <c r="L5888" s="42"/>
      <c r="M5888" s="42"/>
      <c r="N5888" s="25"/>
      <c r="O5888" s="54"/>
      <c r="P5888"/>
      <c r="Q5888" s="25"/>
      <c r="R5888" s="54"/>
      <c r="W5888" s="23"/>
      <c r="X5888" s="23"/>
      <c r="Y5888" s="23"/>
      <c r="Z5888" s="43"/>
      <c r="AA5888" s="23"/>
      <c r="AB5888" s="23"/>
      <c r="AC5888" s="23"/>
      <c r="AD5888" s="23"/>
      <c r="AE5888" s="23"/>
      <c r="AF5888" s="23"/>
      <c r="AG5888" s="23"/>
      <c r="AH5888" s="23"/>
    </row>
    <row r="5889" spans="1:34">
      <c r="A5889" s="50"/>
      <c r="B5889" s="42"/>
      <c r="G5889" s="43"/>
      <c r="H5889" s="44"/>
      <c r="L5889" s="42"/>
      <c r="M5889" s="42"/>
      <c r="N5889" s="25"/>
      <c r="O5889" s="54"/>
      <c r="P5889"/>
      <c r="Q5889" s="25"/>
      <c r="R5889" s="54"/>
      <c r="W5889" s="23"/>
      <c r="X5889" s="23"/>
      <c r="Y5889" s="23"/>
      <c r="Z5889" s="43"/>
      <c r="AA5889" s="23"/>
      <c r="AB5889" s="23"/>
      <c r="AC5889" s="23"/>
      <c r="AD5889" s="23"/>
      <c r="AE5889" s="23"/>
      <c r="AF5889" s="23"/>
      <c r="AG5889" s="23"/>
      <c r="AH5889" s="23"/>
    </row>
    <row r="5890" spans="1:34">
      <c r="A5890" s="50"/>
      <c r="B5890" s="42"/>
      <c r="G5890" s="43"/>
      <c r="H5890" s="44"/>
      <c r="L5890" s="42"/>
      <c r="M5890" s="42"/>
      <c r="N5890" s="25"/>
      <c r="O5890" s="54"/>
      <c r="P5890"/>
      <c r="Q5890" s="25"/>
      <c r="R5890" s="54"/>
      <c r="W5890" s="23"/>
      <c r="X5890" s="23"/>
      <c r="Y5890" s="23"/>
      <c r="Z5890" s="43"/>
      <c r="AA5890" s="23"/>
      <c r="AB5890" s="23"/>
      <c r="AC5890" s="23"/>
      <c r="AD5890" s="23"/>
      <c r="AE5890" s="23"/>
      <c r="AF5890" s="23"/>
      <c r="AG5890" s="23"/>
      <c r="AH5890" s="23"/>
    </row>
    <row r="5891" spans="1:34">
      <c r="A5891" s="50"/>
      <c r="B5891" s="42"/>
      <c r="G5891" s="43"/>
      <c r="H5891" s="44"/>
      <c r="L5891" s="42"/>
      <c r="M5891" s="42"/>
      <c r="N5891" s="25"/>
      <c r="O5891" s="54"/>
      <c r="P5891"/>
      <c r="Q5891" s="25"/>
      <c r="R5891" s="54"/>
      <c r="W5891" s="23"/>
      <c r="X5891" s="23"/>
      <c r="Y5891" s="23"/>
      <c r="Z5891" s="43"/>
      <c r="AA5891" s="23"/>
      <c r="AB5891" s="23"/>
      <c r="AC5891" s="23"/>
      <c r="AD5891" s="23"/>
      <c r="AE5891" s="23"/>
      <c r="AF5891" s="23"/>
      <c r="AG5891" s="23"/>
      <c r="AH5891" s="23"/>
    </row>
    <row r="5892" spans="1:34">
      <c r="A5892" s="49"/>
      <c r="B5892" s="42"/>
      <c r="G5892" s="43"/>
      <c r="H5892" s="44"/>
      <c r="L5892" s="42"/>
      <c r="M5892" s="42"/>
      <c r="N5892" s="25"/>
      <c r="O5892" s="54"/>
      <c r="P5892"/>
      <c r="Q5892" s="25"/>
      <c r="R5892" s="54"/>
      <c r="W5892" s="23"/>
      <c r="X5892" s="23"/>
      <c r="Y5892" s="23"/>
      <c r="Z5892" s="43"/>
      <c r="AA5892" s="23"/>
      <c r="AB5892" s="23"/>
      <c r="AC5892" s="23"/>
      <c r="AD5892" s="23"/>
      <c r="AE5892" s="23"/>
      <c r="AF5892" s="23"/>
      <c r="AG5892" s="23"/>
      <c r="AH5892" s="23"/>
    </row>
    <row r="5893" spans="1:34">
      <c r="A5893" s="49"/>
      <c r="B5893" s="42"/>
      <c r="G5893" s="43"/>
      <c r="H5893" s="44"/>
      <c r="L5893" s="42"/>
      <c r="M5893" s="42"/>
      <c r="N5893" s="25"/>
      <c r="O5893" s="54"/>
      <c r="P5893"/>
      <c r="Q5893" s="25"/>
      <c r="R5893" s="54"/>
      <c r="W5893" s="23"/>
      <c r="X5893" s="23"/>
      <c r="Y5893" s="23"/>
      <c r="Z5893" s="43"/>
      <c r="AA5893" s="23"/>
      <c r="AB5893" s="23"/>
      <c r="AC5893" s="23"/>
      <c r="AD5893" s="23"/>
      <c r="AE5893" s="23"/>
      <c r="AF5893" s="23"/>
      <c r="AG5893" s="23"/>
      <c r="AH5893" s="23"/>
    </row>
    <row r="5894" spans="1:34">
      <c r="A5894" s="49"/>
      <c r="B5894" s="42"/>
      <c r="G5894" s="43"/>
      <c r="H5894" s="44"/>
      <c r="L5894" s="42"/>
      <c r="M5894" s="42"/>
      <c r="N5894" s="25"/>
      <c r="O5894" s="54"/>
      <c r="P5894"/>
      <c r="Q5894" s="25"/>
      <c r="R5894" s="54"/>
      <c r="W5894" s="23"/>
      <c r="X5894" s="23"/>
      <c r="Y5894" s="23"/>
      <c r="Z5894" s="43"/>
      <c r="AA5894" s="23"/>
      <c r="AB5894" s="23"/>
      <c r="AC5894" s="23"/>
      <c r="AD5894" s="23"/>
      <c r="AE5894" s="23"/>
      <c r="AF5894" s="23"/>
      <c r="AG5894" s="23"/>
      <c r="AH5894" s="23"/>
    </row>
    <row r="5895" spans="1:34">
      <c r="A5895" s="49"/>
      <c r="B5895" s="42"/>
      <c r="G5895" s="43"/>
      <c r="H5895" s="44"/>
      <c r="L5895" s="42"/>
      <c r="M5895" s="42"/>
      <c r="N5895" s="25"/>
      <c r="O5895" s="54"/>
      <c r="P5895"/>
      <c r="Q5895" s="25"/>
      <c r="R5895" s="54"/>
      <c r="W5895" s="23"/>
      <c r="X5895" s="23"/>
      <c r="Y5895" s="23"/>
      <c r="Z5895" s="43"/>
      <c r="AA5895" s="23"/>
      <c r="AB5895" s="23"/>
      <c r="AC5895" s="23"/>
      <c r="AD5895" s="23"/>
      <c r="AE5895" s="23"/>
      <c r="AF5895" s="23"/>
      <c r="AG5895" s="23"/>
      <c r="AH5895" s="23"/>
    </row>
    <row r="5896" spans="1:34">
      <c r="A5896" s="49"/>
      <c r="B5896" s="42"/>
      <c r="G5896" s="43"/>
      <c r="H5896" s="44"/>
      <c r="L5896" s="42"/>
      <c r="M5896" s="42"/>
      <c r="N5896" s="25"/>
      <c r="O5896" s="54"/>
      <c r="P5896"/>
      <c r="Q5896" s="25"/>
      <c r="R5896" s="54"/>
      <c r="W5896" s="23"/>
      <c r="X5896" s="23"/>
      <c r="Y5896" s="23"/>
      <c r="Z5896" s="43"/>
      <c r="AA5896" s="23"/>
      <c r="AB5896" s="23"/>
      <c r="AC5896" s="23"/>
      <c r="AD5896" s="23"/>
      <c r="AE5896" s="23"/>
      <c r="AF5896" s="23"/>
      <c r="AG5896" s="23"/>
      <c r="AH5896" s="23"/>
    </row>
    <row r="5897" spans="1:34">
      <c r="A5897" s="49"/>
      <c r="B5897" s="42"/>
      <c r="G5897" s="43"/>
      <c r="H5897" s="44"/>
      <c r="L5897" s="42"/>
      <c r="M5897" s="42"/>
      <c r="N5897" s="25"/>
      <c r="O5897" s="54"/>
      <c r="P5897"/>
      <c r="Q5897" s="25"/>
      <c r="R5897" s="54"/>
      <c r="W5897" s="23"/>
      <c r="X5897" s="23"/>
      <c r="Y5897" s="23"/>
      <c r="Z5897" s="43"/>
      <c r="AA5897" s="23"/>
      <c r="AB5897" s="23"/>
      <c r="AC5897" s="23"/>
      <c r="AD5897" s="23"/>
      <c r="AE5897" s="23"/>
      <c r="AF5897" s="23"/>
      <c r="AG5897" s="23"/>
      <c r="AH5897" s="23"/>
    </row>
    <row r="5898" spans="1:34">
      <c r="A5898" s="49"/>
      <c r="B5898" s="42"/>
      <c r="G5898" s="43"/>
      <c r="H5898" s="44"/>
      <c r="L5898" s="42"/>
      <c r="M5898" s="42"/>
      <c r="N5898" s="25"/>
      <c r="O5898" s="54"/>
      <c r="P5898"/>
      <c r="Q5898" s="25"/>
      <c r="R5898" s="54"/>
      <c r="W5898" s="23"/>
      <c r="X5898" s="23"/>
      <c r="Y5898" s="23"/>
      <c r="Z5898" s="43"/>
      <c r="AA5898" s="23"/>
      <c r="AB5898" s="23"/>
      <c r="AC5898" s="23"/>
      <c r="AD5898" s="23"/>
      <c r="AE5898" s="23"/>
      <c r="AF5898" s="23"/>
      <c r="AG5898" s="23"/>
      <c r="AH5898" s="23"/>
    </row>
    <row r="5899" spans="1:34">
      <c r="A5899" s="50"/>
      <c r="B5899" s="42"/>
      <c r="G5899" s="43"/>
      <c r="H5899" s="44"/>
      <c r="L5899" s="42"/>
      <c r="M5899" s="42"/>
      <c r="N5899" s="25"/>
      <c r="O5899" s="54"/>
      <c r="P5899"/>
      <c r="Q5899" s="25"/>
      <c r="R5899" s="54"/>
      <c r="W5899" s="23"/>
      <c r="X5899" s="23"/>
      <c r="Y5899" s="23"/>
      <c r="Z5899" s="43"/>
      <c r="AA5899" s="23"/>
      <c r="AB5899" s="23"/>
      <c r="AC5899" s="23"/>
      <c r="AD5899" s="23"/>
      <c r="AE5899" s="23"/>
      <c r="AF5899" s="23"/>
      <c r="AG5899" s="23"/>
      <c r="AH5899" s="23"/>
    </row>
    <row r="5900" spans="1:34">
      <c r="A5900" s="50"/>
      <c r="B5900" s="42"/>
      <c r="G5900" s="43"/>
      <c r="H5900" s="44"/>
      <c r="L5900" s="42"/>
      <c r="M5900" s="42"/>
      <c r="N5900" s="25"/>
      <c r="O5900" s="54"/>
      <c r="P5900"/>
      <c r="Q5900" s="25"/>
      <c r="R5900" s="54"/>
      <c r="W5900" s="23"/>
      <c r="X5900" s="23"/>
      <c r="Y5900" s="23"/>
      <c r="Z5900" s="43"/>
      <c r="AA5900" s="23"/>
      <c r="AB5900" s="23"/>
      <c r="AC5900" s="23"/>
      <c r="AD5900" s="23"/>
      <c r="AE5900" s="23"/>
      <c r="AF5900" s="23"/>
      <c r="AG5900" s="23"/>
      <c r="AH5900" s="23"/>
    </row>
    <row r="5901" spans="1:34">
      <c r="A5901" s="50"/>
      <c r="B5901" s="42"/>
      <c r="G5901" s="43"/>
      <c r="H5901" s="44"/>
      <c r="L5901" s="42"/>
      <c r="M5901" s="42"/>
      <c r="N5901" s="25"/>
      <c r="O5901" s="54"/>
      <c r="P5901"/>
      <c r="Q5901" s="25"/>
      <c r="R5901" s="54"/>
      <c r="W5901" s="23"/>
      <c r="X5901" s="23"/>
      <c r="Y5901" s="23"/>
      <c r="Z5901" s="43"/>
      <c r="AA5901" s="23"/>
      <c r="AB5901" s="23"/>
      <c r="AC5901" s="23"/>
      <c r="AD5901" s="23"/>
      <c r="AE5901" s="23"/>
      <c r="AF5901" s="23"/>
      <c r="AG5901" s="23"/>
      <c r="AH5901" s="23"/>
    </row>
    <row r="5902" spans="1:34">
      <c r="A5902" s="50"/>
      <c r="B5902" s="42"/>
      <c r="G5902" s="43"/>
      <c r="H5902" s="44"/>
      <c r="L5902" s="42"/>
      <c r="M5902" s="42"/>
      <c r="N5902" s="25"/>
      <c r="O5902" s="54"/>
      <c r="P5902"/>
      <c r="Q5902" s="25"/>
      <c r="R5902" s="54"/>
      <c r="W5902" s="23"/>
      <c r="X5902" s="23"/>
      <c r="Y5902" s="23"/>
      <c r="Z5902" s="43"/>
      <c r="AA5902" s="23"/>
      <c r="AB5902" s="23"/>
      <c r="AC5902" s="23"/>
      <c r="AD5902" s="23"/>
      <c r="AE5902" s="23"/>
      <c r="AF5902" s="23"/>
      <c r="AG5902" s="23"/>
      <c r="AH5902" s="23"/>
    </row>
    <row r="5903" spans="1:34">
      <c r="A5903" s="50"/>
      <c r="B5903" s="42"/>
      <c r="G5903" s="43"/>
      <c r="H5903" s="44"/>
      <c r="L5903" s="42"/>
      <c r="M5903" s="42"/>
      <c r="N5903" s="25"/>
      <c r="O5903" s="54"/>
      <c r="P5903"/>
      <c r="Q5903" s="25"/>
      <c r="R5903" s="54"/>
      <c r="W5903" s="23"/>
      <c r="X5903" s="23"/>
      <c r="Y5903" s="23"/>
      <c r="Z5903" s="43"/>
      <c r="AA5903" s="23"/>
      <c r="AB5903" s="23"/>
      <c r="AC5903" s="23"/>
      <c r="AD5903" s="23"/>
      <c r="AE5903" s="23"/>
      <c r="AF5903" s="23"/>
      <c r="AG5903" s="23"/>
      <c r="AH5903" s="23"/>
    </row>
    <row r="5904" spans="1:34">
      <c r="A5904" s="50"/>
      <c r="B5904" s="42"/>
      <c r="G5904" s="43"/>
      <c r="H5904" s="44"/>
      <c r="L5904" s="42"/>
      <c r="M5904" s="42"/>
      <c r="N5904" s="25"/>
      <c r="O5904" s="54"/>
      <c r="P5904"/>
      <c r="Q5904" s="25"/>
      <c r="R5904" s="54"/>
      <c r="W5904" s="23"/>
      <c r="X5904" s="23"/>
      <c r="Y5904" s="23"/>
      <c r="Z5904" s="43"/>
      <c r="AA5904" s="23"/>
      <c r="AB5904" s="23"/>
      <c r="AC5904" s="23"/>
      <c r="AD5904" s="23"/>
      <c r="AE5904" s="23"/>
      <c r="AF5904" s="23"/>
      <c r="AG5904" s="23"/>
      <c r="AH5904" s="23"/>
    </row>
    <row r="5905" spans="1:34">
      <c r="A5905" s="50"/>
      <c r="B5905" s="42"/>
      <c r="G5905" s="43"/>
      <c r="H5905" s="44"/>
      <c r="L5905" s="42"/>
      <c r="M5905" s="42"/>
      <c r="N5905" s="25"/>
      <c r="O5905" s="54"/>
      <c r="P5905"/>
      <c r="Q5905" s="25"/>
      <c r="R5905" s="54"/>
      <c r="W5905" s="23"/>
      <c r="X5905" s="23"/>
      <c r="Y5905" s="23"/>
      <c r="Z5905" s="43"/>
      <c r="AA5905" s="23"/>
      <c r="AB5905" s="23"/>
      <c r="AC5905" s="23"/>
      <c r="AD5905" s="23"/>
      <c r="AE5905" s="23"/>
      <c r="AF5905" s="23"/>
      <c r="AG5905" s="23"/>
      <c r="AH5905" s="23"/>
    </row>
    <row r="5906" spans="1:34">
      <c r="A5906" s="50"/>
      <c r="B5906" s="42"/>
      <c r="G5906" s="43"/>
      <c r="H5906" s="44"/>
      <c r="L5906" s="42"/>
      <c r="M5906" s="42"/>
      <c r="N5906" s="25"/>
      <c r="O5906" s="54"/>
      <c r="P5906"/>
      <c r="Q5906" s="25"/>
      <c r="R5906" s="54"/>
      <c r="W5906" s="23"/>
      <c r="X5906" s="23"/>
      <c r="Y5906" s="23"/>
      <c r="Z5906" s="43"/>
      <c r="AA5906" s="23"/>
      <c r="AB5906" s="23"/>
      <c r="AC5906" s="23"/>
      <c r="AD5906" s="23"/>
      <c r="AE5906" s="23"/>
      <c r="AF5906" s="23"/>
      <c r="AG5906" s="23"/>
      <c r="AH5906" s="23"/>
    </row>
    <row r="5907" spans="1:34">
      <c r="A5907" s="50"/>
      <c r="B5907" s="42"/>
      <c r="G5907" s="43"/>
      <c r="H5907" s="44"/>
      <c r="L5907" s="42"/>
      <c r="M5907" s="42"/>
      <c r="N5907" s="25"/>
      <c r="O5907" s="54"/>
      <c r="P5907"/>
      <c r="Q5907" s="25"/>
      <c r="R5907" s="54"/>
      <c r="W5907" s="23"/>
      <c r="X5907" s="23"/>
      <c r="Y5907" s="23"/>
      <c r="Z5907" s="43"/>
      <c r="AA5907" s="23"/>
      <c r="AB5907" s="23"/>
      <c r="AC5907" s="23"/>
      <c r="AD5907" s="23"/>
      <c r="AE5907" s="23"/>
      <c r="AF5907" s="23"/>
      <c r="AG5907" s="23"/>
      <c r="AH5907" s="23"/>
    </row>
    <row r="5908" spans="1:34">
      <c r="A5908" s="50"/>
      <c r="B5908" s="42"/>
      <c r="G5908" s="43"/>
      <c r="H5908" s="44"/>
      <c r="L5908" s="42"/>
      <c r="M5908" s="42"/>
      <c r="N5908" s="25"/>
      <c r="O5908" s="54"/>
      <c r="P5908"/>
      <c r="Q5908" s="25"/>
      <c r="R5908" s="54"/>
      <c r="W5908" s="23"/>
      <c r="X5908" s="23"/>
      <c r="Y5908" s="23"/>
      <c r="Z5908" s="43"/>
      <c r="AA5908" s="23"/>
      <c r="AB5908" s="23"/>
      <c r="AC5908" s="23"/>
      <c r="AD5908" s="23"/>
      <c r="AE5908" s="23"/>
      <c r="AF5908" s="23"/>
      <c r="AG5908" s="23"/>
      <c r="AH5908" s="23"/>
    </row>
    <row r="5909" spans="1:34">
      <c r="A5909" s="50"/>
      <c r="B5909" s="42"/>
      <c r="G5909" s="43"/>
      <c r="H5909" s="44"/>
      <c r="L5909" s="42"/>
      <c r="M5909" s="42"/>
      <c r="N5909" s="25"/>
      <c r="O5909" s="54"/>
      <c r="P5909"/>
      <c r="Q5909" s="25"/>
      <c r="R5909" s="54"/>
      <c r="W5909" s="23"/>
      <c r="X5909" s="23"/>
      <c r="Y5909" s="23"/>
      <c r="Z5909" s="43"/>
      <c r="AA5909" s="23"/>
      <c r="AB5909" s="23"/>
      <c r="AC5909" s="23"/>
      <c r="AD5909" s="23"/>
      <c r="AE5909" s="23"/>
      <c r="AF5909" s="23"/>
      <c r="AG5909" s="23"/>
      <c r="AH5909" s="23"/>
    </row>
    <row r="5910" spans="1:34">
      <c r="A5910" s="50"/>
      <c r="B5910" s="42"/>
      <c r="G5910" s="43"/>
      <c r="H5910" s="44"/>
      <c r="L5910" s="42"/>
      <c r="M5910" s="42"/>
      <c r="N5910" s="25"/>
      <c r="O5910" s="54"/>
      <c r="P5910"/>
      <c r="Q5910" s="25"/>
      <c r="R5910" s="54"/>
      <c r="W5910" s="23"/>
      <c r="X5910" s="23"/>
      <c r="Y5910" s="23"/>
      <c r="Z5910" s="43"/>
      <c r="AA5910" s="23"/>
      <c r="AB5910" s="23"/>
      <c r="AC5910" s="23"/>
      <c r="AD5910" s="23"/>
      <c r="AE5910" s="23"/>
      <c r="AF5910" s="23"/>
      <c r="AG5910" s="23"/>
      <c r="AH5910" s="23"/>
    </row>
    <row r="5911" spans="1:34">
      <c r="A5911" s="50"/>
      <c r="B5911" s="42"/>
      <c r="G5911" s="43"/>
      <c r="H5911" s="44"/>
      <c r="L5911" s="42"/>
      <c r="M5911" s="42"/>
      <c r="N5911" s="25"/>
      <c r="O5911" s="54"/>
      <c r="P5911"/>
      <c r="Q5911" s="25"/>
      <c r="R5911" s="54"/>
      <c r="W5911" s="23"/>
      <c r="X5911" s="23"/>
      <c r="Y5911" s="23"/>
      <c r="Z5911" s="43"/>
      <c r="AA5911" s="23"/>
      <c r="AB5911" s="23"/>
      <c r="AC5911" s="23"/>
      <c r="AD5911" s="23"/>
      <c r="AE5911" s="23"/>
      <c r="AF5911" s="23"/>
      <c r="AG5911" s="23"/>
      <c r="AH5911" s="23"/>
    </row>
    <row r="5912" spans="1:34">
      <c r="A5912" s="49"/>
      <c r="B5912" s="42"/>
      <c r="G5912" s="43"/>
      <c r="H5912" s="44"/>
      <c r="L5912" s="42"/>
      <c r="M5912" s="42"/>
      <c r="N5912" s="25"/>
      <c r="O5912" s="54"/>
      <c r="P5912"/>
      <c r="Q5912" s="25"/>
      <c r="R5912" s="54"/>
      <c r="W5912" s="23"/>
      <c r="X5912" s="23"/>
      <c r="Y5912" s="23"/>
      <c r="Z5912" s="43"/>
      <c r="AA5912" s="23"/>
      <c r="AB5912" s="23"/>
      <c r="AC5912" s="23"/>
      <c r="AD5912" s="23"/>
      <c r="AE5912" s="23"/>
      <c r="AF5912" s="23"/>
      <c r="AG5912" s="23"/>
      <c r="AH5912" s="23"/>
    </row>
    <row r="5913" spans="1:34">
      <c r="A5913" s="50"/>
      <c r="B5913" s="42"/>
      <c r="G5913" s="43"/>
      <c r="H5913" s="44"/>
      <c r="L5913" s="42"/>
      <c r="M5913" s="42"/>
      <c r="N5913" s="25"/>
      <c r="O5913" s="54"/>
      <c r="P5913"/>
      <c r="Q5913" s="25"/>
      <c r="R5913" s="54"/>
      <c r="W5913" s="23"/>
      <c r="X5913" s="23"/>
      <c r="Y5913" s="23"/>
      <c r="Z5913" s="43"/>
      <c r="AA5913" s="23"/>
      <c r="AB5913" s="23"/>
      <c r="AC5913" s="23"/>
      <c r="AD5913" s="23"/>
      <c r="AE5913" s="23"/>
      <c r="AF5913" s="23"/>
      <c r="AG5913" s="23"/>
      <c r="AH5913" s="23"/>
    </row>
    <row r="5914" spans="1:34">
      <c r="A5914" s="50"/>
      <c r="B5914" s="42"/>
      <c r="G5914" s="43"/>
      <c r="H5914" s="44"/>
      <c r="L5914" s="42"/>
      <c r="M5914" s="42"/>
      <c r="N5914" s="25"/>
      <c r="O5914" s="54"/>
      <c r="P5914"/>
      <c r="Q5914" s="25"/>
      <c r="R5914" s="54"/>
      <c r="W5914" s="23"/>
      <c r="X5914" s="23"/>
      <c r="Y5914" s="23"/>
      <c r="Z5914" s="43"/>
      <c r="AA5914" s="23"/>
      <c r="AB5914" s="23"/>
      <c r="AC5914" s="23"/>
      <c r="AD5914" s="23"/>
      <c r="AE5914" s="23"/>
      <c r="AF5914" s="23"/>
      <c r="AG5914" s="23"/>
      <c r="AH5914" s="23"/>
    </row>
  </sheetData>
  <phoneticPr fontId="2" type="noConversion"/>
  <conditionalFormatting sqref="V4">
    <cfRule type="cellIs" dxfId="34" priority="8" operator="greaterThan">
      <formula>0</formula>
    </cfRule>
  </conditionalFormatting>
  <dataValidations count="1">
    <dataValidation type="whole" allowBlank="1" showInputMessage="1" showErrorMessage="1" promptTitle="Valor não pode ser modificado" prompt="Se desejar vá na aba Parametros" sqref="M1:N2 A1:C2" xr:uid="{54AF9698-9024-4816-8356-6EEC63DFF5DD}">
      <formula1>0</formula1>
      <formula2>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08D2-824A-4ED2-885E-8CF7A65606F3}">
  <sheetPr codeName="Planilha7"/>
  <dimension ref="A1:V64"/>
  <sheetViews>
    <sheetView zoomScaleNormal="100" workbookViewId="0">
      <selection activeCell="L10" sqref="L10"/>
    </sheetView>
  </sheetViews>
  <sheetFormatPr defaultRowHeight="15"/>
  <cols>
    <col min="1" max="1" width="16.5703125" customWidth="1"/>
    <col min="2" max="2" width="15.28515625" customWidth="1"/>
    <col min="3" max="3" width="18.85546875" customWidth="1"/>
    <col min="14" max="14" width="13.85546875" customWidth="1"/>
    <col min="15" max="15" width="24" customWidth="1"/>
    <col min="16" max="16" width="15.42578125" customWidth="1"/>
    <col min="18" max="18" width="20.5703125" customWidth="1"/>
    <col min="19" max="19" width="13.7109375" customWidth="1"/>
    <col min="20" max="20" width="14.7109375" customWidth="1"/>
    <col min="21" max="21" width="12" customWidth="1"/>
  </cols>
  <sheetData>
    <row r="1" spans="1:22" s="56" customFormat="1">
      <c r="A1" s="56" t="s">
        <v>10</v>
      </c>
      <c r="B1" s="56" t="s">
        <v>32</v>
      </c>
      <c r="C1" s="56" t="s">
        <v>137</v>
      </c>
      <c r="D1" s="56" t="s">
        <v>33</v>
      </c>
      <c r="E1" s="56" t="s">
        <v>34</v>
      </c>
      <c r="F1" s="56" t="s">
        <v>138</v>
      </c>
      <c r="G1" s="56" t="s">
        <v>35</v>
      </c>
      <c r="H1" s="56" t="s">
        <v>36</v>
      </c>
      <c r="I1" s="56" t="s">
        <v>139</v>
      </c>
      <c r="J1" s="56" t="s">
        <v>37</v>
      </c>
      <c r="K1" s="56" t="s">
        <v>38</v>
      </c>
      <c r="L1" s="56" t="s">
        <v>140</v>
      </c>
      <c r="M1" s="56" t="s">
        <v>39</v>
      </c>
      <c r="N1" s="56" t="s">
        <v>217</v>
      </c>
      <c r="O1" s="56" t="s">
        <v>40</v>
      </c>
      <c r="P1" s="56" t="s">
        <v>41</v>
      </c>
      <c r="Q1" s="56" t="s">
        <v>144</v>
      </c>
      <c r="R1" s="56" t="s">
        <v>220</v>
      </c>
      <c r="S1" s="56" t="s">
        <v>214</v>
      </c>
      <c r="T1" s="56" t="s">
        <v>215</v>
      </c>
      <c r="U1" s="56" t="s">
        <v>219</v>
      </c>
      <c r="V1" s="56" t="s">
        <v>216</v>
      </c>
    </row>
    <row r="2" spans="1:22">
      <c r="A2" t="s">
        <v>151</v>
      </c>
      <c r="B2" t="s">
        <v>146</v>
      </c>
      <c r="C2" t="s">
        <v>211</v>
      </c>
      <c r="D2" t="s">
        <v>42</v>
      </c>
      <c r="E2" t="s">
        <v>42</v>
      </c>
      <c r="F2" t="s">
        <v>141</v>
      </c>
      <c r="G2">
        <v>100</v>
      </c>
      <c r="H2">
        <v>100</v>
      </c>
      <c r="I2">
        <v>100</v>
      </c>
      <c r="J2">
        <v>1</v>
      </c>
      <c r="K2">
        <v>-1</v>
      </c>
      <c r="L2">
        <v>-1</v>
      </c>
      <c r="M2">
        <v>44.987375</v>
      </c>
      <c r="O2" s="21" t="s">
        <v>242</v>
      </c>
      <c r="P2" t="s">
        <v>213</v>
      </c>
      <c r="Q2" s="57" t="s">
        <v>243</v>
      </c>
      <c r="R2">
        <v>32.17</v>
      </c>
      <c r="S2">
        <v>14.22</v>
      </c>
      <c r="T2">
        <v>0.01</v>
      </c>
      <c r="U2">
        <v>44.987375</v>
      </c>
      <c r="V2">
        <v>46.38</v>
      </c>
    </row>
    <row r="3" spans="1:22">
      <c r="A3" t="s">
        <v>148</v>
      </c>
      <c r="B3" t="s">
        <v>146</v>
      </c>
      <c r="C3" t="s">
        <v>211</v>
      </c>
      <c r="D3" t="s">
        <v>42</v>
      </c>
      <c r="E3" t="s">
        <v>42</v>
      </c>
      <c r="F3" t="s">
        <v>141</v>
      </c>
      <c r="G3">
        <v>100</v>
      </c>
      <c r="H3">
        <v>100</v>
      </c>
      <c r="I3">
        <v>100</v>
      </c>
      <c r="J3">
        <v>1</v>
      </c>
      <c r="K3">
        <v>-1</v>
      </c>
      <c r="L3">
        <v>-1</v>
      </c>
      <c r="M3">
        <v>51.309925</v>
      </c>
      <c r="O3" s="21" t="s">
        <v>242</v>
      </c>
      <c r="P3" t="s">
        <v>213</v>
      </c>
      <c r="Q3" s="57" t="s">
        <v>243</v>
      </c>
      <c r="R3">
        <v>38.67</v>
      </c>
      <c r="S3">
        <v>14.22</v>
      </c>
      <c r="T3">
        <v>0.01</v>
      </c>
      <c r="U3">
        <v>51.309925</v>
      </c>
      <c r="V3">
        <v>52.88</v>
      </c>
    </row>
    <row r="4" spans="1:22">
      <c r="A4" t="s">
        <v>149</v>
      </c>
      <c r="B4" t="s">
        <v>146</v>
      </c>
      <c r="C4" t="s">
        <v>211</v>
      </c>
      <c r="D4" t="s">
        <v>42</v>
      </c>
      <c r="E4" t="s">
        <v>42</v>
      </c>
      <c r="F4" t="s">
        <v>141</v>
      </c>
      <c r="G4">
        <v>100</v>
      </c>
      <c r="H4">
        <v>100</v>
      </c>
      <c r="I4">
        <v>100</v>
      </c>
      <c r="J4">
        <v>1</v>
      </c>
      <c r="K4">
        <v>-1</v>
      </c>
      <c r="L4">
        <v>-1</v>
      </c>
      <c r="M4">
        <v>45.473725000000002</v>
      </c>
      <c r="O4" s="21" t="s">
        <v>242</v>
      </c>
      <c r="P4" t="s">
        <v>213</v>
      </c>
      <c r="Q4" s="57" t="s">
        <v>243</v>
      </c>
      <c r="R4">
        <v>32.67</v>
      </c>
      <c r="S4">
        <v>14.22</v>
      </c>
      <c r="T4">
        <v>0.01</v>
      </c>
      <c r="U4">
        <v>45.473725000000002</v>
      </c>
      <c r="V4">
        <v>46.88</v>
      </c>
    </row>
    <row r="5" spans="1:22">
      <c r="A5" t="s">
        <v>150</v>
      </c>
      <c r="B5" t="s">
        <v>146</v>
      </c>
      <c r="C5" t="s">
        <v>211</v>
      </c>
      <c r="D5" t="s">
        <v>42</v>
      </c>
      <c r="E5" t="s">
        <v>42</v>
      </c>
      <c r="F5" t="s">
        <v>141</v>
      </c>
      <c r="G5">
        <v>100</v>
      </c>
      <c r="H5">
        <v>100</v>
      </c>
      <c r="I5">
        <v>100</v>
      </c>
      <c r="J5">
        <v>1</v>
      </c>
      <c r="K5">
        <v>-1</v>
      </c>
      <c r="L5">
        <v>-1</v>
      </c>
      <c r="M5">
        <v>45.181914999999996</v>
      </c>
      <c r="O5" s="21" t="s">
        <v>242</v>
      </c>
      <c r="P5" t="s">
        <v>213</v>
      </c>
      <c r="Q5" s="57" t="s">
        <v>243</v>
      </c>
      <c r="R5">
        <v>32.369999999999997</v>
      </c>
      <c r="S5">
        <v>14.22</v>
      </c>
      <c r="T5">
        <v>0.01</v>
      </c>
      <c r="U5">
        <v>45.181914999999996</v>
      </c>
      <c r="V5">
        <v>46.58</v>
      </c>
    </row>
    <row r="6" spans="1:22">
      <c r="A6" t="s">
        <v>159</v>
      </c>
      <c r="B6" t="s">
        <v>146</v>
      </c>
      <c r="C6" t="s">
        <v>211</v>
      </c>
      <c r="D6" t="s">
        <v>42</v>
      </c>
      <c r="E6" t="s">
        <v>42</v>
      </c>
      <c r="F6" t="s">
        <v>141</v>
      </c>
      <c r="G6">
        <v>100</v>
      </c>
      <c r="H6">
        <v>100</v>
      </c>
      <c r="I6">
        <v>100</v>
      </c>
      <c r="J6">
        <v>1</v>
      </c>
      <c r="K6">
        <v>-1</v>
      </c>
      <c r="L6">
        <v>-1</v>
      </c>
      <c r="M6">
        <v>40.610225</v>
      </c>
      <c r="O6" s="21" t="s">
        <v>242</v>
      </c>
      <c r="P6" t="s">
        <v>213</v>
      </c>
      <c r="Q6" s="57" t="s">
        <v>243</v>
      </c>
      <c r="R6">
        <v>27.66</v>
      </c>
      <c r="S6">
        <v>14.22</v>
      </c>
      <c r="T6">
        <v>0.01</v>
      </c>
      <c r="U6">
        <v>40.610225</v>
      </c>
      <c r="V6">
        <v>41.870000000000005</v>
      </c>
    </row>
    <row r="7" spans="1:22">
      <c r="A7" t="s">
        <v>169</v>
      </c>
      <c r="B7" t="s">
        <v>146</v>
      </c>
      <c r="C7" t="s">
        <v>211</v>
      </c>
      <c r="D7" t="s">
        <v>42</v>
      </c>
      <c r="E7" t="s">
        <v>42</v>
      </c>
      <c r="F7" t="s">
        <v>141</v>
      </c>
      <c r="G7">
        <v>100</v>
      </c>
      <c r="H7">
        <v>100</v>
      </c>
      <c r="I7">
        <v>100</v>
      </c>
      <c r="J7">
        <v>1</v>
      </c>
      <c r="K7">
        <v>-1</v>
      </c>
      <c r="L7">
        <v>-1</v>
      </c>
      <c r="M7">
        <v>37.205775000000003</v>
      </c>
      <c r="O7" s="21" t="s">
        <v>242</v>
      </c>
      <c r="P7" t="s">
        <v>213</v>
      </c>
      <c r="Q7" s="57" t="s">
        <v>243</v>
      </c>
      <c r="R7">
        <v>24.16</v>
      </c>
      <c r="S7">
        <v>14.22</v>
      </c>
      <c r="T7">
        <v>0.01</v>
      </c>
      <c r="U7">
        <v>37.205775000000003</v>
      </c>
      <c r="V7">
        <v>38.370000000000005</v>
      </c>
    </row>
    <row r="8" spans="1:22">
      <c r="A8" t="s">
        <v>152</v>
      </c>
      <c r="B8" t="s">
        <v>146</v>
      </c>
      <c r="C8" t="s">
        <v>211</v>
      </c>
      <c r="D8" t="s">
        <v>42</v>
      </c>
      <c r="E8" t="s">
        <v>42</v>
      </c>
      <c r="F8" t="s">
        <v>141</v>
      </c>
      <c r="G8">
        <v>100</v>
      </c>
      <c r="H8">
        <v>100</v>
      </c>
      <c r="I8">
        <v>100</v>
      </c>
      <c r="J8">
        <v>1</v>
      </c>
      <c r="K8">
        <v>-1</v>
      </c>
      <c r="L8">
        <v>-1</v>
      </c>
      <c r="M8">
        <v>43.771500000000003</v>
      </c>
      <c r="O8" t="s">
        <v>244</v>
      </c>
      <c r="P8" t="s">
        <v>213</v>
      </c>
      <c r="Q8" t="s">
        <v>243</v>
      </c>
      <c r="R8">
        <v>30.92</v>
      </c>
      <c r="S8">
        <v>14.22</v>
      </c>
      <c r="T8">
        <v>0.01</v>
      </c>
      <c r="U8">
        <v>43.771500000000003</v>
      </c>
      <c r="V8">
        <v>45.13</v>
      </c>
    </row>
    <row r="9" spans="1:22">
      <c r="A9" t="s">
        <v>187</v>
      </c>
      <c r="B9" t="s">
        <v>146</v>
      </c>
      <c r="C9" t="s">
        <v>211</v>
      </c>
      <c r="D9" t="s">
        <v>42</v>
      </c>
      <c r="E9" t="s">
        <v>42</v>
      </c>
      <c r="F9" t="s">
        <v>141</v>
      </c>
      <c r="G9">
        <v>100</v>
      </c>
      <c r="H9">
        <v>100</v>
      </c>
      <c r="I9">
        <v>100</v>
      </c>
      <c r="J9">
        <v>1</v>
      </c>
      <c r="K9">
        <v>-1</v>
      </c>
      <c r="L9">
        <v>-1</v>
      </c>
      <c r="M9">
        <v>31.612750000000002</v>
      </c>
      <c r="O9" t="s">
        <v>244</v>
      </c>
      <c r="P9" t="s">
        <v>213</v>
      </c>
      <c r="Q9" t="s">
        <v>243</v>
      </c>
      <c r="R9">
        <v>18.41</v>
      </c>
      <c r="S9">
        <v>14.22</v>
      </c>
      <c r="T9">
        <v>0.01</v>
      </c>
      <c r="U9">
        <v>31.612750000000002</v>
      </c>
      <c r="V9">
        <v>32.620000000000005</v>
      </c>
    </row>
    <row r="10" spans="1:22">
      <c r="A10" t="s">
        <v>210</v>
      </c>
      <c r="B10" t="s">
        <v>146</v>
      </c>
      <c r="C10" t="s">
        <v>211</v>
      </c>
      <c r="D10" t="s">
        <v>42</v>
      </c>
      <c r="E10" t="s">
        <v>42</v>
      </c>
      <c r="F10" t="s">
        <v>141</v>
      </c>
      <c r="G10">
        <v>100</v>
      </c>
      <c r="H10">
        <v>100</v>
      </c>
      <c r="I10">
        <v>100</v>
      </c>
      <c r="J10">
        <v>1</v>
      </c>
      <c r="K10">
        <v>-1</v>
      </c>
      <c r="L10">
        <v>-1</v>
      </c>
      <c r="M10">
        <v>26.019725000000001</v>
      </c>
      <c r="O10" t="s">
        <v>244</v>
      </c>
      <c r="P10" t="s">
        <v>213</v>
      </c>
      <c r="Q10" t="s">
        <v>243</v>
      </c>
      <c r="R10">
        <v>12.66</v>
      </c>
      <c r="S10">
        <v>14.22</v>
      </c>
      <c r="T10">
        <v>0.01</v>
      </c>
      <c r="U10">
        <v>26.019725000000001</v>
      </c>
      <c r="V10">
        <v>26.87</v>
      </c>
    </row>
    <row r="11" spans="1:22">
      <c r="A11" t="s">
        <v>178</v>
      </c>
      <c r="B11" t="s">
        <v>146</v>
      </c>
      <c r="C11" t="s">
        <v>211</v>
      </c>
      <c r="D11" t="s">
        <v>42</v>
      </c>
      <c r="E11" t="s">
        <v>42</v>
      </c>
      <c r="F11" t="s">
        <v>141</v>
      </c>
      <c r="G11">
        <v>100</v>
      </c>
      <c r="H11">
        <v>100</v>
      </c>
      <c r="I11">
        <v>100</v>
      </c>
      <c r="J11">
        <v>1</v>
      </c>
      <c r="K11">
        <v>-1</v>
      </c>
      <c r="L11">
        <v>-1</v>
      </c>
      <c r="M11">
        <v>34.044499999999999</v>
      </c>
      <c r="O11" t="s">
        <v>244</v>
      </c>
      <c r="P11" t="s">
        <v>213</v>
      </c>
      <c r="Q11" t="s">
        <v>243</v>
      </c>
      <c r="R11">
        <v>20.59</v>
      </c>
      <c r="S11">
        <v>14.22</v>
      </c>
      <c r="T11">
        <v>0.01</v>
      </c>
      <c r="U11">
        <v>34.044499999999999</v>
      </c>
      <c r="V11">
        <v>34.800000000000004</v>
      </c>
    </row>
    <row r="12" spans="1:22">
      <c r="A12" t="s">
        <v>209</v>
      </c>
      <c r="B12" t="s">
        <v>146</v>
      </c>
      <c r="C12" t="s">
        <v>211</v>
      </c>
      <c r="D12" t="s">
        <v>42</v>
      </c>
      <c r="E12" t="s">
        <v>42</v>
      </c>
      <c r="F12" t="s">
        <v>141</v>
      </c>
      <c r="G12">
        <v>100</v>
      </c>
      <c r="H12">
        <v>100</v>
      </c>
      <c r="I12">
        <v>100</v>
      </c>
      <c r="J12">
        <v>1</v>
      </c>
      <c r="K12">
        <v>-1</v>
      </c>
      <c r="L12">
        <v>-1</v>
      </c>
      <c r="M12">
        <v>26.262900000000002</v>
      </c>
      <c r="O12" t="s">
        <v>244</v>
      </c>
      <c r="P12" t="s">
        <v>213</v>
      </c>
      <c r="Q12" t="s">
        <v>243</v>
      </c>
      <c r="R12">
        <v>12.91</v>
      </c>
      <c r="S12">
        <v>14.22</v>
      </c>
      <c r="T12">
        <v>0.01</v>
      </c>
      <c r="U12">
        <v>26.262900000000002</v>
      </c>
      <c r="V12">
        <v>27.12</v>
      </c>
    </row>
    <row r="13" spans="1:22">
      <c r="A13" t="s">
        <v>208</v>
      </c>
      <c r="B13" t="s">
        <v>146</v>
      </c>
      <c r="C13" t="s">
        <v>211</v>
      </c>
      <c r="D13" t="s">
        <v>42</v>
      </c>
      <c r="E13" t="s">
        <v>42</v>
      </c>
      <c r="F13" t="s">
        <v>141</v>
      </c>
      <c r="G13">
        <v>100</v>
      </c>
      <c r="H13">
        <v>100</v>
      </c>
      <c r="I13">
        <v>100</v>
      </c>
      <c r="J13">
        <v>1</v>
      </c>
      <c r="K13">
        <v>-1</v>
      </c>
      <c r="L13">
        <v>-1</v>
      </c>
      <c r="M13">
        <v>26.506074999999999</v>
      </c>
      <c r="O13" t="s">
        <v>244</v>
      </c>
      <c r="P13" t="s">
        <v>213</v>
      </c>
      <c r="Q13" t="s">
        <v>243</v>
      </c>
      <c r="R13">
        <v>13.16</v>
      </c>
      <c r="S13">
        <v>14.22</v>
      </c>
      <c r="T13">
        <v>0.01</v>
      </c>
      <c r="U13">
        <v>26.506074999999999</v>
      </c>
      <c r="V13">
        <v>27.37</v>
      </c>
    </row>
    <row r="14" spans="1:22">
      <c r="A14" t="s">
        <v>207</v>
      </c>
      <c r="B14" t="s">
        <v>146</v>
      </c>
      <c r="C14" t="s">
        <v>211</v>
      </c>
      <c r="D14" t="s">
        <v>42</v>
      </c>
      <c r="E14" t="s">
        <v>42</v>
      </c>
      <c r="F14" t="s">
        <v>141</v>
      </c>
      <c r="G14">
        <v>100</v>
      </c>
      <c r="H14">
        <v>100</v>
      </c>
      <c r="I14">
        <v>100</v>
      </c>
      <c r="J14">
        <v>1</v>
      </c>
      <c r="K14">
        <v>-1</v>
      </c>
      <c r="L14">
        <v>-1</v>
      </c>
      <c r="M14">
        <v>26.74925</v>
      </c>
      <c r="O14" t="s">
        <v>244</v>
      </c>
      <c r="P14" t="s">
        <v>213</v>
      </c>
      <c r="Q14" t="s">
        <v>243</v>
      </c>
      <c r="R14">
        <v>13.41</v>
      </c>
      <c r="S14">
        <v>14.22</v>
      </c>
      <c r="T14">
        <v>0.01</v>
      </c>
      <c r="U14">
        <v>26.74925</v>
      </c>
      <c r="V14">
        <v>27.62</v>
      </c>
    </row>
    <row r="15" spans="1:22">
      <c r="A15" t="s">
        <v>206</v>
      </c>
      <c r="B15" t="s">
        <v>146</v>
      </c>
      <c r="C15" t="s">
        <v>211</v>
      </c>
      <c r="D15" t="s">
        <v>42</v>
      </c>
      <c r="E15" t="s">
        <v>42</v>
      </c>
      <c r="F15" t="s">
        <v>141</v>
      </c>
      <c r="G15">
        <v>100</v>
      </c>
      <c r="H15">
        <v>100</v>
      </c>
      <c r="I15">
        <v>100</v>
      </c>
      <c r="J15">
        <v>1</v>
      </c>
      <c r="K15">
        <v>-1</v>
      </c>
      <c r="L15">
        <v>-1</v>
      </c>
      <c r="M15">
        <v>26.992425000000001</v>
      </c>
      <c r="O15" t="s">
        <v>244</v>
      </c>
      <c r="P15" t="s">
        <v>213</v>
      </c>
      <c r="Q15" t="s">
        <v>243</v>
      </c>
      <c r="R15">
        <v>13.65</v>
      </c>
      <c r="S15">
        <v>14.22</v>
      </c>
      <c r="T15">
        <v>0.01</v>
      </c>
      <c r="U15">
        <v>26.992425000000001</v>
      </c>
      <c r="V15">
        <v>27.86</v>
      </c>
    </row>
    <row r="16" spans="1:22">
      <c r="A16" t="s">
        <v>205</v>
      </c>
      <c r="B16" t="s">
        <v>146</v>
      </c>
      <c r="C16" t="s">
        <v>211</v>
      </c>
      <c r="D16" t="s">
        <v>42</v>
      </c>
      <c r="E16" t="s">
        <v>42</v>
      </c>
      <c r="F16" t="s">
        <v>141</v>
      </c>
      <c r="G16">
        <v>100</v>
      </c>
      <c r="H16">
        <v>100</v>
      </c>
      <c r="I16">
        <v>100</v>
      </c>
      <c r="J16">
        <v>1</v>
      </c>
      <c r="K16">
        <v>-1</v>
      </c>
      <c r="L16">
        <v>-1</v>
      </c>
      <c r="M16">
        <v>27.235600000000002</v>
      </c>
      <c r="O16" t="s">
        <v>244</v>
      </c>
      <c r="P16" t="s">
        <v>213</v>
      </c>
      <c r="Q16" t="s">
        <v>243</v>
      </c>
      <c r="R16">
        <v>13.91</v>
      </c>
      <c r="S16">
        <v>14.22</v>
      </c>
      <c r="T16">
        <v>0.01</v>
      </c>
      <c r="U16">
        <v>27.235600000000002</v>
      </c>
      <c r="V16">
        <v>28.12</v>
      </c>
    </row>
    <row r="17" spans="1:22">
      <c r="A17" t="s">
        <v>204</v>
      </c>
      <c r="B17" t="s">
        <v>146</v>
      </c>
      <c r="C17" t="s">
        <v>211</v>
      </c>
      <c r="D17" t="s">
        <v>42</v>
      </c>
      <c r="E17" t="s">
        <v>42</v>
      </c>
      <c r="F17" t="s">
        <v>141</v>
      </c>
      <c r="G17">
        <v>100</v>
      </c>
      <c r="H17">
        <v>100</v>
      </c>
      <c r="I17">
        <v>100</v>
      </c>
      <c r="J17">
        <v>1</v>
      </c>
      <c r="K17">
        <v>-1</v>
      </c>
      <c r="L17">
        <v>-1</v>
      </c>
      <c r="M17">
        <v>27.478774999999999</v>
      </c>
      <c r="O17" t="s">
        <v>244</v>
      </c>
      <c r="P17" t="s">
        <v>213</v>
      </c>
      <c r="Q17" t="s">
        <v>243</v>
      </c>
      <c r="R17">
        <v>14.16</v>
      </c>
      <c r="S17">
        <v>14.22</v>
      </c>
      <c r="T17">
        <v>0.01</v>
      </c>
      <c r="U17">
        <v>27.478774999999999</v>
      </c>
      <c r="V17">
        <v>28.37</v>
      </c>
    </row>
    <row r="18" spans="1:22">
      <c r="A18" t="s">
        <v>203</v>
      </c>
      <c r="B18" t="s">
        <v>146</v>
      </c>
      <c r="C18" t="s">
        <v>211</v>
      </c>
      <c r="D18" t="s">
        <v>42</v>
      </c>
      <c r="E18" t="s">
        <v>42</v>
      </c>
      <c r="F18" t="s">
        <v>141</v>
      </c>
      <c r="G18">
        <v>100</v>
      </c>
      <c r="H18">
        <v>100</v>
      </c>
      <c r="I18">
        <v>100</v>
      </c>
      <c r="J18">
        <v>1</v>
      </c>
      <c r="K18">
        <v>-1</v>
      </c>
      <c r="L18">
        <v>-1</v>
      </c>
      <c r="M18">
        <v>27.72195</v>
      </c>
      <c r="O18" t="s">
        <v>244</v>
      </c>
      <c r="P18" t="s">
        <v>213</v>
      </c>
      <c r="Q18" t="s">
        <v>243</v>
      </c>
      <c r="R18">
        <v>14.41</v>
      </c>
      <c r="S18">
        <v>14.22</v>
      </c>
      <c r="T18">
        <v>0.01</v>
      </c>
      <c r="U18">
        <v>27.72195</v>
      </c>
      <c r="V18">
        <v>28.62</v>
      </c>
    </row>
    <row r="19" spans="1:22">
      <c r="A19" t="s">
        <v>202</v>
      </c>
      <c r="B19" t="s">
        <v>146</v>
      </c>
      <c r="C19" t="s">
        <v>211</v>
      </c>
      <c r="D19" t="s">
        <v>42</v>
      </c>
      <c r="E19" t="s">
        <v>42</v>
      </c>
      <c r="F19" t="s">
        <v>141</v>
      </c>
      <c r="G19">
        <v>100</v>
      </c>
      <c r="H19">
        <v>100</v>
      </c>
      <c r="I19">
        <v>100</v>
      </c>
      <c r="J19">
        <v>1</v>
      </c>
      <c r="K19">
        <v>-1</v>
      </c>
      <c r="L19">
        <v>-1</v>
      </c>
      <c r="M19">
        <v>27.965125</v>
      </c>
      <c r="O19" t="s">
        <v>244</v>
      </c>
      <c r="P19" t="s">
        <v>213</v>
      </c>
      <c r="Q19" t="s">
        <v>243</v>
      </c>
      <c r="R19">
        <v>14.66</v>
      </c>
      <c r="S19">
        <v>14.22</v>
      </c>
      <c r="T19">
        <v>0.01</v>
      </c>
      <c r="U19">
        <v>27.965125</v>
      </c>
      <c r="V19">
        <v>28.87</v>
      </c>
    </row>
    <row r="20" spans="1:22">
      <c r="A20" t="s">
        <v>201</v>
      </c>
      <c r="B20" t="s">
        <v>146</v>
      </c>
      <c r="C20" t="s">
        <v>211</v>
      </c>
      <c r="D20" t="s">
        <v>42</v>
      </c>
      <c r="E20" t="s">
        <v>42</v>
      </c>
      <c r="F20" t="s">
        <v>141</v>
      </c>
      <c r="G20">
        <v>100</v>
      </c>
      <c r="H20">
        <v>100</v>
      </c>
      <c r="I20">
        <v>100</v>
      </c>
      <c r="J20">
        <v>1</v>
      </c>
      <c r="K20">
        <v>-1</v>
      </c>
      <c r="L20">
        <v>-1</v>
      </c>
      <c r="M20">
        <v>28.208300000000001</v>
      </c>
      <c r="O20" t="s">
        <v>244</v>
      </c>
      <c r="P20" t="s">
        <v>213</v>
      </c>
      <c r="Q20" t="s">
        <v>243</v>
      </c>
      <c r="R20">
        <v>14.91</v>
      </c>
      <c r="S20">
        <v>14.22</v>
      </c>
      <c r="T20">
        <v>0.01</v>
      </c>
      <c r="U20">
        <v>28.208300000000001</v>
      </c>
      <c r="V20">
        <v>29.12</v>
      </c>
    </row>
    <row r="21" spans="1:22">
      <c r="A21" t="s">
        <v>200</v>
      </c>
      <c r="B21" t="s">
        <v>146</v>
      </c>
      <c r="C21" t="s">
        <v>211</v>
      </c>
      <c r="D21" t="s">
        <v>42</v>
      </c>
      <c r="E21" t="s">
        <v>42</v>
      </c>
      <c r="F21" t="s">
        <v>141</v>
      </c>
      <c r="G21">
        <v>100</v>
      </c>
      <c r="H21">
        <v>100</v>
      </c>
      <c r="I21">
        <v>100</v>
      </c>
      <c r="J21">
        <v>1</v>
      </c>
      <c r="K21">
        <v>-1</v>
      </c>
      <c r="L21">
        <v>-1</v>
      </c>
      <c r="M21">
        <v>28.451474999999999</v>
      </c>
      <c r="O21" t="s">
        <v>244</v>
      </c>
      <c r="P21" t="s">
        <v>213</v>
      </c>
      <c r="Q21" t="s">
        <v>243</v>
      </c>
      <c r="R21">
        <v>15.16</v>
      </c>
      <c r="S21">
        <v>14.22</v>
      </c>
      <c r="T21">
        <v>0.01</v>
      </c>
      <c r="U21">
        <v>28.451474999999999</v>
      </c>
      <c r="V21">
        <v>29.37</v>
      </c>
    </row>
    <row r="22" spans="1:22">
      <c r="A22" t="s">
        <v>199</v>
      </c>
      <c r="B22" t="s">
        <v>146</v>
      </c>
      <c r="C22" t="s">
        <v>211</v>
      </c>
      <c r="D22" t="s">
        <v>42</v>
      </c>
      <c r="E22" t="s">
        <v>42</v>
      </c>
      <c r="F22" t="s">
        <v>141</v>
      </c>
      <c r="G22">
        <v>100</v>
      </c>
      <c r="H22">
        <v>100</v>
      </c>
      <c r="I22">
        <v>100</v>
      </c>
      <c r="J22">
        <v>1</v>
      </c>
      <c r="K22">
        <v>-1</v>
      </c>
      <c r="L22">
        <v>-1</v>
      </c>
      <c r="M22">
        <v>28.694649999999999</v>
      </c>
      <c r="O22" t="s">
        <v>244</v>
      </c>
      <c r="P22" t="s">
        <v>213</v>
      </c>
      <c r="Q22" t="s">
        <v>243</v>
      </c>
      <c r="R22">
        <v>15.41</v>
      </c>
      <c r="S22">
        <v>14.22</v>
      </c>
      <c r="T22">
        <v>0.01</v>
      </c>
      <c r="U22">
        <v>28.694649999999999</v>
      </c>
      <c r="V22">
        <v>29.62</v>
      </c>
    </row>
    <row r="23" spans="1:22">
      <c r="A23" t="s">
        <v>198</v>
      </c>
      <c r="B23" t="s">
        <v>146</v>
      </c>
      <c r="C23" t="s">
        <v>211</v>
      </c>
      <c r="D23" t="s">
        <v>42</v>
      </c>
      <c r="E23" t="s">
        <v>42</v>
      </c>
      <c r="F23" t="s">
        <v>141</v>
      </c>
      <c r="G23">
        <v>100</v>
      </c>
      <c r="H23">
        <v>100</v>
      </c>
      <c r="I23">
        <v>100</v>
      </c>
      <c r="J23">
        <v>1</v>
      </c>
      <c r="K23">
        <v>-1</v>
      </c>
      <c r="L23">
        <v>-1</v>
      </c>
      <c r="M23">
        <v>28.937825</v>
      </c>
      <c r="O23" t="s">
        <v>244</v>
      </c>
      <c r="P23" t="s">
        <v>213</v>
      </c>
      <c r="Q23" t="s">
        <v>243</v>
      </c>
      <c r="R23">
        <v>15.66</v>
      </c>
      <c r="S23">
        <v>14.22</v>
      </c>
      <c r="T23">
        <v>0.01</v>
      </c>
      <c r="U23">
        <v>28.937825</v>
      </c>
      <c r="V23">
        <v>29.87</v>
      </c>
    </row>
    <row r="24" spans="1:22">
      <c r="A24" t="s">
        <v>197</v>
      </c>
      <c r="B24" t="s">
        <v>146</v>
      </c>
      <c r="C24" t="s">
        <v>211</v>
      </c>
      <c r="D24" t="s">
        <v>42</v>
      </c>
      <c r="E24" t="s">
        <v>42</v>
      </c>
      <c r="F24" t="s">
        <v>141</v>
      </c>
      <c r="G24">
        <v>100</v>
      </c>
      <c r="H24">
        <v>100</v>
      </c>
      <c r="I24">
        <v>100</v>
      </c>
      <c r="J24">
        <v>1</v>
      </c>
      <c r="K24">
        <v>-1</v>
      </c>
      <c r="L24">
        <v>-1</v>
      </c>
      <c r="M24">
        <v>29.181000000000001</v>
      </c>
      <c r="O24" t="s">
        <v>244</v>
      </c>
      <c r="P24" t="s">
        <v>213</v>
      </c>
      <c r="Q24" t="s">
        <v>243</v>
      </c>
      <c r="R24">
        <v>15.91</v>
      </c>
      <c r="S24">
        <v>14.22</v>
      </c>
      <c r="T24">
        <v>0.01</v>
      </c>
      <c r="U24">
        <v>29.181000000000001</v>
      </c>
      <c r="V24">
        <v>30.12</v>
      </c>
    </row>
    <row r="25" spans="1:22">
      <c r="A25" t="s">
        <v>196</v>
      </c>
      <c r="B25" t="s">
        <v>146</v>
      </c>
      <c r="C25" t="s">
        <v>211</v>
      </c>
      <c r="D25" t="s">
        <v>42</v>
      </c>
      <c r="E25" t="s">
        <v>42</v>
      </c>
      <c r="F25" t="s">
        <v>141</v>
      </c>
      <c r="G25">
        <v>100</v>
      </c>
      <c r="H25">
        <v>100</v>
      </c>
      <c r="I25">
        <v>100</v>
      </c>
      <c r="J25">
        <v>1</v>
      </c>
      <c r="K25">
        <v>-1</v>
      </c>
      <c r="L25">
        <v>-1</v>
      </c>
      <c r="M25">
        <v>29.424175000000002</v>
      </c>
      <c r="O25" t="s">
        <v>244</v>
      </c>
      <c r="P25" t="s">
        <v>213</v>
      </c>
      <c r="Q25" t="s">
        <v>243</v>
      </c>
      <c r="R25">
        <v>16.16</v>
      </c>
      <c r="S25">
        <v>14.22</v>
      </c>
      <c r="T25">
        <v>0.01</v>
      </c>
      <c r="U25">
        <v>29.424175000000002</v>
      </c>
      <c r="V25">
        <v>30.37</v>
      </c>
    </row>
    <row r="26" spans="1:22">
      <c r="A26" t="s">
        <v>195</v>
      </c>
      <c r="B26" t="s">
        <v>146</v>
      </c>
      <c r="C26" t="s">
        <v>211</v>
      </c>
      <c r="D26" t="s">
        <v>42</v>
      </c>
      <c r="E26" t="s">
        <v>42</v>
      </c>
      <c r="F26" t="s">
        <v>141</v>
      </c>
      <c r="G26">
        <v>100</v>
      </c>
      <c r="H26">
        <v>100</v>
      </c>
      <c r="I26">
        <v>100</v>
      </c>
      <c r="J26">
        <v>1</v>
      </c>
      <c r="K26">
        <v>-1</v>
      </c>
      <c r="L26">
        <v>-1</v>
      </c>
      <c r="M26">
        <v>29.667349999999999</v>
      </c>
      <c r="O26" t="s">
        <v>244</v>
      </c>
      <c r="P26" t="s">
        <v>213</v>
      </c>
      <c r="Q26" t="s">
        <v>243</v>
      </c>
      <c r="R26">
        <v>16.41</v>
      </c>
      <c r="S26">
        <v>14.22</v>
      </c>
      <c r="T26">
        <v>0.01</v>
      </c>
      <c r="U26">
        <v>29.667349999999999</v>
      </c>
      <c r="V26">
        <v>30.62</v>
      </c>
    </row>
    <row r="27" spans="1:22">
      <c r="A27" t="s">
        <v>194</v>
      </c>
      <c r="B27" t="s">
        <v>146</v>
      </c>
      <c r="C27" t="s">
        <v>211</v>
      </c>
      <c r="D27" t="s">
        <v>42</v>
      </c>
      <c r="E27" t="s">
        <v>42</v>
      </c>
      <c r="F27" t="s">
        <v>141</v>
      </c>
      <c r="G27">
        <v>100</v>
      </c>
      <c r="H27">
        <v>100</v>
      </c>
      <c r="I27">
        <v>100</v>
      </c>
      <c r="J27">
        <v>1</v>
      </c>
      <c r="K27">
        <v>-1</v>
      </c>
      <c r="L27">
        <v>-1</v>
      </c>
      <c r="M27">
        <v>29.910525</v>
      </c>
      <c r="O27" t="s">
        <v>244</v>
      </c>
      <c r="P27" t="s">
        <v>213</v>
      </c>
      <c r="Q27" t="s">
        <v>243</v>
      </c>
      <c r="R27">
        <v>16.66</v>
      </c>
      <c r="S27">
        <v>14.22</v>
      </c>
      <c r="T27">
        <v>0.01</v>
      </c>
      <c r="U27">
        <v>29.910525</v>
      </c>
      <c r="V27">
        <v>30.87</v>
      </c>
    </row>
    <row r="28" spans="1:22">
      <c r="A28" t="s">
        <v>193</v>
      </c>
      <c r="B28" t="s">
        <v>146</v>
      </c>
      <c r="C28" t="s">
        <v>211</v>
      </c>
      <c r="D28" t="s">
        <v>42</v>
      </c>
      <c r="E28" t="s">
        <v>42</v>
      </c>
      <c r="F28" t="s">
        <v>141</v>
      </c>
      <c r="G28">
        <v>100</v>
      </c>
      <c r="H28">
        <v>100</v>
      </c>
      <c r="I28">
        <v>100</v>
      </c>
      <c r="J28">
        <v>1</v>
      </c>
      <c r="K28">
        <v>-1</v>
      </c>
      <c r="L28">
        <v>-1</v>
      </c>
      <c r="M28">
        <v>30.153700000000001</v>
      </c>
      <c r="O28" t="s">
        <v>244</v>
      </c>
      <c r="P28" t="s">
        <v>213</v>
      </c>
      <c r="Q28" t="s">
        <v>243</v>
      </c>
      <c r="R28">
        <v>16.91</v>
      </c>
      <c r="S28">
        <v>14.22</v>
      </c>
      <c r="T28">
        <v>0.01</v>
      </c>
      <c r="U28">
        <v>30.153700000000001</v>
      </c>
      <c r="V28">
        <v>31.12</v>
      </c>
    </row>
    <row r="29" spans="1:22">
      <c r="A29" t="s">
        <v>192</v>
      </c>
      <c r="B29" t="s">
        <v>146</v>
      </c>
      <c r="C29" t="s">
        <v>211</v>
      </c>
      <c r="D29" t="s">
        <v>42</v>
      </c>
      <c r="E29" t="s">
        <v>42</v>
      </c>
      <c r="F29" t="s">
        <v>141</v>
      </c>
      <c r="G29">
        <v>100</v>
      </c>
      <c r="H29">
        <v>100</v>
      </c>
      <c r="I29">
        <v>100</v>
      </c>
      <c r="J29">
        <v>1</v>
      </c>
      <c r="K29">
        <v>-1</v>
      </c>
      <c r="L29">
        <v>-1</v>
      </c>
      <c r="M29">
        <v>30.396875000000001</v>
      </c>
      <c r="O29" t="s">
        <v>244</v>
      </c>
      <c r="P29" t="s">
        <v>213</v>
      </c>
      <c r="Q29" t="s">
        <v>243</v>
      </c>
      <c r="R29">
        <v>17.16</v>
      </c>
      <c r="S29">
        <v>14.22</v>
      </c>
      <c r="T29">
        <v>0.01</v>
      </c>
      <c r="U29">
        <v>30.396875000000001</v>
      </c>
      <c r="V29">
        <v>31.37</v>
      </c>
    </row>
    <row r="30" spans="1:22">
      <c r="A30" t="s">
        <v>191</v>
      </c>
      <c r="B30" t="s">
        <v>146</v>
      </c>
      <c r="C30" t="s">
        <v>211</v>
      </c>
      <c r="D30" t="s">
        <v>42</v>
      </c>
      <c r="E30" t="s">
        <v>42</v>
      </c>
      <c r="F30" t="s">
        <v>141</v>
      </c>
      <c r="G30">
        <v>100</v>
      </c>
      <c r="H30">
        <v>100</v>
      </c>
      <c r="I30">
        <v>100</v>
      </c>
      <c r="J30">
        <v>1</v>
      </c>
      <c r="K30">
        <v>-1</v>
      </c>
      <c r="L30">
        <v>-1</v>
      </c>
      <c r="M30">
        <v>30.640049999999999</v>
      </c>
      <c r="O30" t="s">
        <v>244</v>
      </c>
      <c r="P30" t="s">
        <v>213</v>
      </c>
      <c r="Q30" t="s">
        <v>243</v>
      </c>
      <c r="R30">
        <v>17.41</v>
      </c>
      <c r="S30">
        <v>14.22</v>
      </c>
      <c r="T30">
        <v>0.01</v>
      </c>
      <c r="U30">
        <v>30.640049999999999</v>
      </c>
      <c r="V30">
        <v>31.62</v>
      </c>
    </row>
    <row r="31" spans="1:22">
      <c r="A31" t="s">
        <v>190</v>
      </c>
      <c r="B31" t="s">
        <v>146</v>
      </c>
      <c r="C31" t="s">
        <v>211</v>
      </c>
      <c r="D31" t="s">
        <v>42</v>
      </c>
      <c r="E31" t="s">
        <v>42</v>
      </c>
      <c r="F31" t="s">
        <v>141</v>
      </c>
      <c r="G31">
        <v>100</v>
      </c>
      <c r="H31">
        <v>100</v>
      </c>
      <c r="I31">
        <v>100</v>
      </c>
      <c r="J31">
        <v>1</v>
      </c>
      <c r="K31">
        <v>-1</v>
      </c>
      <c r="L31">
        <v>-1</v>
      </c>
      <c r="M31">
        <v>30.883224999999999</v>
      </c>
      <c r="O31" t="s">
        <v>244</v>
      </c>
      <c r="P31" t="s">
        <v>213</v>
      </c>
      <c r="Q31" t="s">
        <v>243</v>
      </c>
      <c r="R31">
        <v>17.66</v>
      </c>
      <c r="S31">
        <v>14.22</v>
      </c>
      <c r="T31">
        <v>0.01</v>
      </c>
      <c r="U31">
        <v>30.883224999999999</v>
      </c>
      <c r="V31">
        <v>31.87</v>
      </c>
    </row>
    <row r="32" spans="1:22">
      <c r="A32" t="s">
        <v>189</v>
      </c>
      <c r="B32" t="s">
        <v>146</v>
      </c>
      <c r="C32" t="s">
        <v>211</v>
      </c>
      <c r="D32" t="s">
        <v>42</v>
      </c>
      <c r="E32" t="s">
        <v>42</v>
      </c>
      <c r="F32" t="s">
        <v>141</v>
      </c>
      <c r="G32">
        <v>100</v>
      </c>
      <c r="H32">
        <v>100</v>
      </c>
      <c r="I32">
        <v>100</v>
      </c>
      <c r="J32">
        <v>1</v>
      </c>
      <c r="K32">
        <v>-1</v>
      </c>
      <c r="L32">
        <v>-1</v>
      </c>
      <c r="M32">
        <v>31.1264</v>
      </c>
      <c r="O32" t="s">
        <v>244</v>
      </c>
      <c r="P32" t="s">
        <v>213</v>
      </c>
      <c r="Q32" t="s">
        <v>243</v>
      </c>
      <c r="R32">
        <v>17.91</v>
      </c>
      <c r="S32">
        <v>14.22</v>
      </c>
      <c r="T32">
        <v>0.01</v>
      </c>
      <c r="U32">
        <v>31.1264</v>
      </c>
      <c r="V32">
        <v>32.120000000000005</v>
      </c>
    </row>
    <row r="33" spans="1:22">
      <c r="A33" t="s">
        <v>188</v>
      </c>
      <c r="B33" t="s">
        <v>146</v>
      </c>
      <c r="C33" t="s">
        <v>211</v>
      </c>
      <c r="D33" t="s">
        <v>42</v>
      </c>
      <c r="E33" t="s">
        <v>42</v>
      </c>
      <c r="F33" t="s">
        <v>141</v>
      </c>
      <c r="G33">
        <v>100</v>
      </c>
      <c r="H33">
        <v>100</v>
      </c>
      <c r="I33">
        <v>100</v>
      </c>
      <c r="J33">
        <v>1</v>
      </c>
      <c r="K33">
        <v>-1</v>
      </c>
      <c r="L33">
        <v>-1</v>
      </c>
      <c r="M33">
        <v>31.369575000000001</v>
      </c>
      <c r="O33" t="s">
        <v>244</v>
      </c>
      <c r="P33" t="s">
        <v>213</v>
      </c>
      <c r="Q33" t="s">
        <v>243</v>
      </c>
      <c r="R33">
        <v>18.16</v>
      </c>
      <c r="S33">
        <v>14.22</v>
      </c>
      <c r="T33">
        <v>0.01</v>
      </c>
      <c r="U33">
        <v>31.369575000000001</v>
      </c>
      <c r="V33">
        <v>32.370000000000005</v>
      </c>
    </row>
    <row r="34" spans="1:22">
      <c r="A34" t="s">
        <v>186</v>
      </c>
      <c r="B34" t="s">
        <v>146</v>
      </c>
      <c r="C34" t="s">
        <v>211</v>
      </c>
      <c r="D34" t="s">
        <v>42</v>
      </c>
      <c r="E34" t="s">
        <v>42</v>
      </c>
      <c r="F34" t="s">
        <v>141</v>
      </c>
      <c r="G34">
        <v>100</v>
      </c>
      <c r="H34">
        <v>100</v>
      </c>
      <c r="I34">
        <v>100</v>
      </c>
      <c r="J34">
        <v>1</v>
      </c>
      <c r="K34">
        <v>-1</v>
      </c>
      <c r="L34">
        <v>-1</v>
      </c>
      <c r="M34">
        <v>31.855924999999999</v>
      </c>
      <c r="O34" t="s">
        <v>244</v>
      </c>
      <c r="P34" t="s">
        <v>213</v>
      </c>
      <c r="Q34" t="s">
        <v>243</v>
      </c>
      <c r="R34">
        <v>18.66</v>
      </c>
      <c r="S34">
        <v>14.22</v>
      </c>
      <c r="T34">
        <v>0.01</v>
      </c>
      <c r="U34">
        <v>31.855924999999999</v>
      </c>
      <c r="V34">
        <v>32.870000000000005</v>
      </c>
    </row>
    <row r="35" spans="1:22">
      <c r="A35" t="s">
        <v>185</v>
      </c>
      <c r="B35" t="s">
        <v>146</v>
      </c>
      <c r="C35" t="s">
        <v>211</v>
      </c>
      <c r="D35" t="s">
        <v>42</v>
      </c>
      <c r="E35" t="s">
        <v>42</v>
      </c>
      <c r="F35" t="s">
        <v>141</v>
      </c>
      <c r="G35">
        <v>100</v>
      </c>
      <c r="H35">
        <v>100</v>
      </c>
      <c r="I35">
        <v>100</v>
      </c>
      <c r="J35">
        <v>1</v>
      </c>
      <c r="K35">
        <v>-1</v>
      </c>
      <c r="L35">
        <v>-1</v>
      </c>
      <c r="M35">
        <v>32.0991</v>
      </c>
      <c r="O35" t="s">
        <v>244</v>
      </c>
      <c r="P35" t="s">
        <v>213</v>
      </c>
      <c r="Q35" t="s">
        <v>243</v>
      </c>
      <c r="R35">
        <v>18.91</v>
      </c>
      <c r="S35">
        <v>14.22</v>
      </c>
      <c r="T35">
        <v>0.01</v>
      </c>
      <c r="U35">
        <v>32.0991</v>
      </c>
      <c r="V35">
        <v>33.120000000000005</v>
      </c>
    </row>
    <row r="36" spans="1:22">
      <c r="A36" t="s">
        <v>184</v>
      </c>
      <c r="B36" t="s">
        <v>146</v>
      </c>
      <c r="C36" t="s">
        <v>211</v>
      </c>
      <c r="D36" t="s">
        <v>42</v>
      </c>
      <c r="E36" t="s">
        <v>42</v>
      </c>
      <c r="F36" t="s">
        <v>141</v>
      </c>
      <c r="G36">
        <v>100</v>
      </c>
      <c r="H36">
        <v>100</v>
      </c>
      <c r="I36">
        <v>100</v>
      </c>
      <c r="J36">
        <v>1</v>
      </c>
      <c r="K36">
        <v>-1</v>
      </c>
      <c r="L36">
        <v>-1</v>
      </c>
      <c r="M36">
        <v>32.342275000000001</v>
      </c>
      <c r="O36" t="s">
        <v>244</v>
      </c>
      <c r="P36" t="s">
        <v>213</v>
      </c>
      <c r="Q36" t="s">
        <v>243</v>
      </c>
      <c r="R36">
        <v>19.16</v>
      </c>
      <c r="S36">
        <v>14.22</v>
      </c>
      <c r="T36">
        <v>0.01</v>
      </c>
      <c r="U36">
        <v>32.342275000000001</v>
      </c>
      <c r="V36">
        <v>33.370000000000005</v>
      </c>
    </row>
    <row r="37" spans="1:22">
      <c r="A37" t="s">
        <v>183</v>
      </c>
      <c r="B37" t="s">
        <v>146</v>
      </c>
      <c r="C37" t="s">
        <v>211</v>
      </c>
      <c r="D37" t="s">
        <v>42</v>
      </c>
      <c r="E37" t="s">
        <v>42</v>
      </c>
      <c r="F37" t="s">
        <v>141</v>
      </c>
      <c r="G37">
        <v>100</v>
      </c>
      <c r="H37">
        <v>100</v>
      </c>
      <c r="I37">
        <v>100</v>
      </c>
      <c r="J37">
        <v>1</v>
      </c>
      <c r="K37">
        <v>-1</v>
      </c>
      <c r="L37">
        <v>-1</v>
      </c>
      <c r="M37">
        <v>32.585450000000002</v>
      </c>
      <c r="O37" t="s">
        <v>244</v>
      </c>
      <c r="P37" t="s">
        <v>213</v>
      </c>
      <c r="Q37" t="s">
        <v>243</v>
      </c>
      <c r="R37">
        <v>19.41</v>
      </c>
      <c r="S37">
        <v>14.22</v>
      </c>
      <c r="T37">
        <v>0.01</v>
      </c>
      <c r="U37">
        <v>32.585450000000002</v>
      </c>
      <c r="V37">
        <v>33.620000000000005</v>
      </c>
    </row>
    <row r="38" spans="1:22">
      <c r="A38" t="s">
        <v>182</v>
      </c>
      <c r="B38" t="s">
        <v>146</v>
      </c>
      <c r="C38" t="s">
        <v>211</v>
      </c>
      <c r="D38" t="s">
        <v>42</v>
      </c>
      <c r="E38" t="s">
        <v>42</v>
      </c>
      <c r="F38" t="s">
        <v>141</v>
      </c>
      <c r="G38">
        <v>100</v>
      </c>
      <c r="H38">
        <v>100</v>
      </c>
      <c r="I38">
        <v>100</v>
      </c>
      <c r="J38">
        <v>1</v>
      </c>
      <c r="K38">
        <v>-1</v>
      </c>
      <c r="L38">
        <v>-1</v>
      </c>
      <c r="M38">
        <v>32.828625000000002</v>
      </c>
      <c r="O38" t="s">
        <v>244</v>
      </c>
      <c r="P38" t="s">
        <v>213</v>
      </c>
      <c r="Q38" t="s">
        <v>243</v>
      </c>
      <c r="R38">
        <v>19.66</v>
      </c>
      <c r="S38">
        <v>14.22</v>
      </c>
      <c r="T38">
        <v>0.01</v>
      </c>
      <c r="U38">
        <v>32.828625000000002</v>
      </c>
      <c r="V38">
        <v>33.870000000000005</v>
      </c>
    </row>
    <row r="39" spans="1:22">
      <c r="A39" t="s">
        <v>181</v>
      </c>
      <c r="B39" t="s">
        <v>146</v>
      </c>
      <c r="C39" t="s">
        <v>211</v>
      </c>
      <c r="D39" t="s">
        <v>42</v>
      </c>
      <c r="E39" t="s">
        <v>42</v>
      </c>
      <c r="F39" t="s">
        <v>141</v>
      </c>
      <c r="G39">
        <v>100</v>
      </c>
      <c r="H39">
        <v>100</v>
      </c>
      <c r="I39">
        <v>100</v>
      </c>
      <c r="J39">
        <v>1</v>
      </c>
      <c r="K39">
        <v>-1</v>
      </c>
      <c r="L39">
        <v>-1</v>
      </c>
      <c r="M39">
        <v>33.071800000000003</v>
      </c>
      <c r="O39" t="s">
        <v>244</v>
      </c>
      <c r="P39" t="s">
        <v>213</v>
      </c>
      <c r="Q39" t="s">
        <v>243</v>
      </c>
      <c r="R39">
        <v>19.91</v>
      </c>
      <c r="S39">
        <v>14.22</v>
      </c>
      <c r="T39">
        <v>0.01</v>
      </c>
      <c r="U39">
        <v>33.071800000000003</v>
      </c>
      <c r="V39">
        <v>34.120000000000005</v>
      </c>
    </row>
    <row r="40" spans="1:22">
      <c r="A40" t="s">
        <v>180</v>
      </c>
      <c r="B40" t="s">
        <v>146</v>
      </c>
      <c r="C40" t="s">
        <v>211</v>
      </c>
      <c r="D40" t="s">
        <v>42</v>
      </c>
      <c r="E40" t="s">
        <v>42</v>
      </c>
      <c r="F40" t="s">
        <v>141</v>
      </c>
      <c r="G40">
        <v>100</v>
      </c>
      <c r="H40">
        <v>100</v>
      </c>
      <c r="I40">
        <v>100</v>
      </c>
      <c r="J40">
        <v>1</v>
      </c>
      <c r="K40">
        <v>-1</v>
      </c>
      <c r="L40">
        <v>-1</v>
      </c>
      <c r="M40">
        <v>33.314974999999997</v>
      </c>
      <c r="O40" t="s">
        <v>244</v>
      </c>
      <c r="P40" t="s">
        <v>213</v>
      </c>
      <c r="Q40" t="s">
        <v>243</v>
      </c>
      <c r="R40">
        <v>20.16</v>
      </c>
      <c r="S40">
        <v>14.22</v>
      </c>
      <c r="T40">
        <v>0.01</v>
      </c>
      <c r="U40">
        <v>33.314974999999997</v>
      </c>
      <c r="V40">
        <v>34.370000000000005</v>
      </c>
    </row>
    <row r="41" spans="1:22">
      <c r="A41" t="s">
        <v>179</v>
      </c>
      <c r="B41" t="s">
        <v>146</v>
      </c>
      <c r="C41" t="s">
        <v>211</v>
      </c>
      <c r="D41" t="s">
        <v>42</v>
      </c>
      <c r="E41" t="s">
        <v>42</v>
      </c>
      <c r="F41" t="s">
        <v>141</v>
      </c>
      <c r="G41">
        <v>100</v>
      </c>
      <c r="H41">
        <v>100</v>
      </c>
      <c r="I41">
        <v>100</v>
      </c>
      <c r="J41">
        <v>1</v>
      </c>
      <c r="K41">
        <v>-1</v>
      </c>
      <c r="L41">
        <v>-1</v>
      </c>
      <c r="M41">
        <v>33.801324999999999</v>
      </c>
      <c r="O41" t="s">
        <v>244</v>
      </c>
      <c r="P41" t="s">
        <v>213</v>
      </c>
      <c r="Q41" t="s">
        <v>243</v>
      </c>
      <c r="R41">
        <v>20.66</v>
      </c>
      <c r="S41">
        <v>14.22</v>
      </c>
      <c r="T41">
        <v>0.01</v>
      </c>
      <c r="U41">
        <v>33.801324999999999</v>
      </c>
      <c r="V41">
        <v>34.870000000000005</v>
      </c>
    </row>
    <row r="42" spans="1:22">
      <c r="A42" t="s">
        <v>177</v>
      </c>
      <c r="B42" t="s">
        <v>146</v>
      </c>
      <c r="C42" t="s">
        <v>211</v>
      </c>
      <c r="D42" t="s">
        <v>42</v>
      </c>
      <c r="E42" t="s">
        <v>42</v>
      </c>
      <c r="F42" t="s">
        <v>141</v>
      </c>
      <c r="G42">
        <v>100</v>
      </c>
      <c r="H42">
        <v>100</v>
      </c>
      <c r="I42">
        <v>100</v>
      </c>
      <c r="J42">
        <v>1</v>
      </c>
      <c r="K42">
        <v>-1</v>
      </c>
      <c r="L42">
        <v>-1</v>
      </c>
      <c r="M42">
        <v>34.530850000000001</v>
      </c>
      <c r="O42" t="s">
        <v>244</v>
      </c>
      <c r="P42" t="s">
        <v>213</v>
      </c>
      <c r="Q42" t="s">
        <v>243</v>
      </c>
      <c r="R42">
        <v>21.41</v>
      </c>
      <c r="S42">
        <v>14.22</v>
      </c>
      <c r="T42">
        <v>0.01</v>
      </c>
      <c r="U42">
        <v>34.530850000000001</v>
      </c>
      <c r="V42">
        <v>35.620000000000005</v>
      </c>
    </row>
    <row r="43" spans="1:22">
      <c r="A43" t="s">
        <v>176</v>
      </c>
      <c r="B43" t="s">
        <v>146</v>
      </c>
      <c r="C43" t="s">
        <v>211</v>
      </c>
      <c r="D43" t="s">
        <v>42</v>
      </c>
      <c r="E43" t="s">
        <v>42</v>
      </c>
      <c r="F43" t="s">
        <v>141</v>
      </c>
      <c r="G43">
        <v>100</v>
      </c>
      <c r="H43">
        <v>100</v>
      </c>
      <c r="I43">
        <v>100</v>
      </c>
      <c r="J43">
        <v>1</v>
      </c>
      <c r="K43">
        <v>-1</v>
      </c>
      <c r="L43">
        <v>-1</v>
      </c>
      <c r="M43">
        <v>34.774025000000002</v>
      </c>
      <c r="O43" t="s">
        <v>244</v>
      </c>
      <c r="P43" t="s">
        <v>213</v>
      </c>
      <c r="Q43" t="s">
        <v>243</v>
      </c>
      <c r="R43">
        <v>21.66</v>
      </c>
      <c r="S43">
        <v>14.22</v>
      </c>
      <c r="T43">
        <v>0.01</v>
      </c>
      <c r="U43">
        <v>34.774025000000002</v>
      </c>
      <c r="V43">
        <v>35.870000000000005</v>
      </c>
    </row>
    <row r="44" spans="1:22">
      <c r="A44" t="s">
        <v>175</v>
      </c>
      <c r="B44" t="s">
        <v>146</v>
      </c>
      <c r="C44" t="s">
        <v>211</v>
      </c>
      <c r="D44" t="s">
        <v>42</v>
      </c>
      <c r="E44" t="s">
        <v>42</v>
      </c>
      <c r="F44" t="s">
        <v>141</v>
      </c>
      <c r="G44">
        <v>100</v>
      </c>
      <c r="H44">
        <v>100</v>
      </c>
      <c r="I44">
        <v>100</v>
      </c>
      <c r="J44">
        <v>1</v>
      </c>
      <c r="K44">
        <v>-1</v>
      </c>
      <c r="L44">
        <v>-1</v>
      </c>
      <c r="M44">
        <v>35.260375000000003</v>
      </c>
      <c r="O44" t="s">
        <v>244</v>
      </c>
      <c r="P44" t="s">
        <v>213</v>
      </c>
      <c r="Q44" t="s">
        <v>243</v>
      </c>
      <c r="R44">
        <v>22.16</v>
      </c>
      <c r="S44">
        <v>14.22</v>
      </c>
      <c r="T44">
        <v>0.01</v>
      </c>
      <c r="U44">
        <v>35.260375000000003</v>
      </c>
      <c r="V44">
        <v>36.370000000000005</v>
      </c>
    </row>
    <row r="45" spans="1:22">
      <c r="A45" t="s">
        <v>174</v>
      </c>
      <c r="B45" t="s">
        <v>146</v>
      </c>
      <c r="C45" t="s">
        <v>211</v>
      </c>
      <c r="D45" t="s">
        <v>42</v>
      </c>
      <c r="E45" t="s">
        <v>42</v>
      </c>
      <c r="F45" t="s">
        <v>141</v>
      </c>
      <c r="G45">
        <v>100</v>
      </c>
      <c r="H45">
        <v>100</v>
      </c>
      <c r="I45">
        <v>100</v>
      </c>
      <c r="J45">
        <v>1</v>
      </c>
      <c r="K45">
        <v>-1</v>
      </c>
      <c r="L45">
        <v>-1</v>
      </c>
      <c r="M45">
        <v>35.503549999999997</v>
      </c>
      <c r="O45" t="s">
        <v>244</v>
      </c>
      <c r="P45" t="s">
        <v>213</v>
      </c>
      <c r="Q45" t="s">
        <v>243</v>
      </c>
      <c r="R45">
        <v>22.41</v>
      </c>
      <c r="S45">
        <v>14.22</v>
      </c>
      <c r="T45">
        <v>0.01</v>
      </c>
      <c r="U45">
        <v>35.503549999999997</v>
      </c>
      <c r="V45">
        <v>36.620000000000005</v>
      </c>
    </row>
    <row r="46" spans="1:22">
      <c r="A46" t="s">
        <v>173</v>
      </c>
      <c r="B46" t="s">
        <v>146</v>
      </c>
      <c r="C46" t="s">
        <v>211</v>
      </c>
      <c r="D46" t="s">
        <v>42</v>
      </c>
      <c r="E46" t="s">
        <v>42</v>
      </c>
      <c r="F46" t="s">
        <v>141</v>
      </c>
      <c r="G46">
        <v>100</v>
      </c>
      <c r="H46">
        <v>100</v>
      </c>
      <c r="I46">
        <v>100</v>
      </c>
      <c r="J46">
        <v>1</v>
      </c>
      <c r="K46">
        <v>-1</v>
      </c>
      <c r="L46">
        <v>-1</v>
      </c>
      <c r="M46">
        <v>35.746724999999998</v>
      </c>
      <c r="O46" t="s">
        <v>244</v>
      </c>
      <c r="P46" t="s">
        <v>213</v>
      </c>
      <c r="Q46" t="s">
        <v>243</v>
      </c>
      <c r="R46">
        <v>22.66</v>
      </c>
      <c r="S46">
        <v>14.22</v>
      </c>
      <c r="T46">
        <v>0.01</v>
      </c>
      <c r="U46">
        <v>35.746724999999998</v>
      </c>
      <c r="V46">
        <v>36.870000000000005</v>
      </c>
    </row>
    <row r="47" spans="1:22">
      <c r="A47" t="s">
        <v>172</v>
      </c>
      <c r="B47" t="s">
        <v>146</v>
      </c>
      <c r="C47" t="s">
        <v>211</v>
      </c>
      <c r="D47" t="s">
        <v>42</v>
      </c>
      <c r="E47" t="s">
        <v>42</v>
      </c>
      <c r="F47" t="s">
        <v>141</v>
      </c>
      <c r="G47">
        <v>100</v>
      </c>
      <c r="H47">
        <v>100</v>
      </c>
      <c r="I47">
        <v>100</v>
      </c>
      <c r="J47">
        <v>1</v>
      </c>
      <c r="K47">
        <v>-1</v>
      </c>
      <c r="L47">
        <v>-1</v>
      </c>
      <c r="M47">
        <v>36.233074999999999</v>
      </c>
      <c r="O47" t="s">
        <v>244</v>
      </c>
      <c r="P47" t="s">
        <v>213</v>
      </c>
      <c r="Q47" t="s">
        <v>243</v>
      </c>
      <c r="R47">
        <v>23.16</v>
      </c>
      <c r="S47">
        <v>14.22</v>
      </c>
      <c r="T47">
        <v>0.01</v>
      </c>
      <c r="U47">
        <v>36.233074999999999</v>
      </c>
      <c r="V47">
        <v>37.370000000000005</v>
      </c>
    </row>
    <row r="48" spans="1:22">
      <c r="A48" t="s">
        <v>170</v>
      </c>
      <c r="B48" t="s">
        <v>146</v>
      </c>
      <c r="C48" t="s">
        <v>211</v>
      </c>
      <c r="D48" t="s">
        <v>42</v>
      </c>
      <c r="E48" t="s">
        <v>42</v>
      </c>
      <c r="F48" t="s">
        <v>141</v>
      </c>
      <c r="G48">
        <v>100</v>
      </c>
      <c r="H48">
        <v>100</v>
      </c>
      <c r="I48">
        <v>100</v>
      </c>
      <c r="J48">
        <v>1</v>
      </c>
      <c r="K48">
        <v>-1</v>
      </c>
      <c r="L48">
        <v>-1</v>
      </c>
      <c r="M48">
        <v>36.962600000000002</v>
      </c>
      <c r="O48" t="s">
        <v>244</v>
      </c>
      <c r="P48" t="s">
        <v>213</v>
      </c>
      <c r="Q48" t="s">
        <v>243</v>
      </c>
      <c r="R48">
        <v>23.91</v>
      </c>
      <c r="S48">
        <v>14.22</v>
      </c>
      <c r="T48">
        <v>0.01</v>
      </c>
      <c r="U48">
        <v>36.962600000000002</v>
      </c>
      <c r="V48">
        <v>38.120000000000005</v>
      </c>
    </row>
    <row r="49" spans="1:22">
      <c r="A49" t="s">
        <v>171</v>
      </c>
      <c r="B49" t="s">
        <v>146</v>
      </c>
      <c r="C49" t="s">
        <v>211</v>
      </c>
      <c r="D49" t="s">
        <v>42</v>
      </c>
      <c r="E49" t="s">
        <v>42</v>
      </c>
      <c r="F49" t="s">
        <v>141</v>
      </c>
      <c r="G49">
        <v>100</v>
      </c>
      <c r="H49">
        <v>100</v>
      </c>
      <c r="I49">
        <v>100</v>
      </c>
      <c r="J49">
        <v>1</v>
      </c>
      <c r="K49">
        <v>-1</v>
      </c>
      <c r="L49">
        <v>-1</v>
      </c>
      <c r="M49">
        <v>36.719425000000001</v>
      </c>
      <c r="O49" t="s">
        <v>244</v>
      </c>
      <c r="P49" t="s">
        <v>213</v>
      </c>
      <c r="Q49" t="s">
        <v>243</v>
      </c>
      <c r="R49">
        <v>23.66</v>
      </c>
      <c r="S49">
        <v>14.22</v>
      </c>
      <c r="T49">
        <v>0.01</v>
      </c>
      <c r="U49">
        <v>36.719425000000001</v>
      </c>
      <c r="V49">
        <v>37.870000000000005</v>
      </c>
    </row>
    <row r="50" spans="1:22">
      <c r="A50" t="s">
        <v>168</v>
      </c>
      <c r="B50" t="s">
        <v>146</v>
      </c>
      <c r="C50" t="s">
        <v>211</v>
      </c>
      <c r="D50" t="s">
        <v>42</v>
      </c>
      <c r="E50" t="s">
        <v>42</v>
      </c>
      <c r="F50" t="s">
        <v>141</v>
      </c>
      <c r="G50">
        <v>100</v>
      </c>
      <c r="H50">
        <v>100</v>
      </c>
      <c r="I50">
        <v>100</v>
      </c>
      <c r="J50">
        <v>1</v>
      </c>
      <c r="K50">
        <v>-1</v>
      </c>
      <c r="L50">
        <v>-1</v>
      </c>
      <c r="M50">
        <v>37.692124999999997</v>
      </c>
      <c r="O50" t="s">
        <v>244</v>
      </c>
      <c r="P50" t="s">
        <v>213</v>
      </c>
      <c r="Q50" t="s">
        <v>243</v>
      </c>
      <c r="R50">
        <v>24.66</v>
      </c>
      <c r="S50">
        <v>14.22</v>
      </c>
      <c r="T50">
        <v>0.01</v>
      </c>
      <c r="U50">
        <v>37.692124999999997</v>
      </c>
      <c r="V50">
        <v>38.870000000000005</v>
      </c>
    </row>
    <row r="51" spans="1:22">
      <c r="A51" t="s">
        <v>167</v>
      </c>
      <c r="B51" t="s">
        <v>146</v>
      </c>
      <c r="C51" t="s">
        <v>211</v>
      </c>
      <c r="D51" t="s">
        <v>42</v>
      </c>
      <c r="E51" t="s">
        <v>42</v>
      </c>
      <c r="F51" t="s">
        <v>141</v>
      </c>
      <c r="G51">
        <v>100</v>
      </c>
      <c r="H51">
        <v>100</v>
      </c>
      <c r="I51">
        <v>100</v>
      </c>
      <c r="J51">
        <v>1</v>
      </c>
      <c r="K51">
        <v>-1</v>
      </c>
      <c r="L51">
        <v>-1</v>
      </c>
      <c r="M51">
        <v>37.935299999999998</v>
      </c>
      <c r="O51" t="s">
        <v>244</v>
      </c>
      <c r="P51" t="s">
        <v>213</v>
      </c>
      <c r="Q51" t="s">
        <v>243</v>
      </c>
      <c r="R51">
        <v>24.91</v>
      </c>
      <c r="S51">
        <v>14.22</v>
      </c>
      <c r="T51">
        <v>0.01</v>
      </c>
      <c r="U51">
        <v>37.935299999999998</v>
      </c>
      <c r="V51">
        <v>39.120000000000005</v>
      </c>
    </row>
    <row r="52" spans="1:22">
      <c r="A52" t="s">
        <v>166</v>
      </c>
      <c r="B52" t="s">
        <v>146</v>
      </c>
      <c r="C52" t="s">
        <v>211</v>
      </c>
      <c r="D52" t="s">
        <v>42</v>
      </c>
      <c r="E52" t="s">
        <v>42</v>
      </c>
      <c r="F52" t="s">
        <v>141</v>
      </c>
      <c r="G52">
        <v>100</v>
      </c>
      <c r="H52">
        <v>100</v>
      </c>
      <c r="I52">
        <v>100</v>
      </c>
      <c r="J52">
        <v>1</v>
      </c>
      <c r="K52">
        <v>-1</v>
      </c>
      <c r="L52">
        <v>-1</v>
      </c>
      <c r="M52">
        <v>38.178474999999999</v>
      </c>
      <c r="O52" t="s">
        <v>244</v>
      </c>
      <c r="P52" t="s">
        <v>213</v>
      </c>
      <c r="Q52" t="s">
        <v>243</v>
      </c>
      <c r="R52">
        <v>25.16</v>
      </c>
      <c r="S52">
        <v>14.22</v>
      </c>
      <c r="T52">
        <v>0.01</v>
      </c>
      <c r="U52">
        <v>38.178474999999999</v>
      </c>
      <c r="V52">
        <v>39.370000000000005</v>
      </c>
    </row>
    <row r="53" spans="1:22">
      <c r="A53" t="s">
        <v>164</v>
      </c>
      <c r="B53" t="s">
        <v>146</v>
      </c>
      <c r="C53" t="s">
        <v>211</v>
      </c>
      <c r="D53" t="s">
        <v>42</v>
      </c>
      <c r="E53" t="s">
        <v>42</v>
      </c>
      <c r="F53" t="s">
        <v>141</v>
      </c>
      <c r="G53">
        <v>100</v>
      </c>
      <c r="H53">
        <v>100</v>
      </c>
      <c r="I53">
        <v>100</v>
      </c>
      <c r="J53">
        <v>1</v>
      </c>
      <c r="K53">
        <v>-1</v>
      </c>
      <c r="L53">
        <v>-1</v>
      </c>
      <c r="M53">
        <v>38.664825</v>
      </c>
      <c r="O53" t="s">
        <v>244</v>
      </c>
      <c r="P53" t="s">
        <v>213</v>
      </c>
      <c r="Q53" t="s">
        <v>243</v>
      </c>
      <c r="R53">
        <v>25.66</v>
      </c>
      <c r="S53">
        <v>14.22</v>
      </c>
      <c r="T53">
        <v>0.01</v>
      </c>
      <c r="U53">
        <v>38.664825</v>
      </c>
      <c r="V53">
        <v>39.870000000000005</v>
      </c>
    </row>
    <row r="54" spans="1:22">
      <c r="A54" t="s">
        <v>165</v>
      </c>
      <c r="B54" t="s">
        <v>146</v>
      </c>
      <c r="C54" t="s">
        <v>211</v>
      </c>
      <c r="D54" t="s">
        <v>42</v>
      </c>
      <c r="E54" t="s">
        <v>42</v>
      </c>
      <c r="F54" t="s">
        <v>141</v>
      </c>
      <c r="G54">
        <v>100</v>
      </c>
      <c r="H54">
        <v>100</v>
      </c>
      <c r="I54">
        <v>100</v>
      </c>
      <c r="J54">
        <v>1</v>
      </c>
      <c r="K54">
        <v>-1</v>
      </c>
      <c r="L54">
        <v>-1</v>
      </c>
      <c r="M54">
        <v>38.42165</v>
      </c>
      <c r="O54" t="s">
        <v>244</v>
      </c>
      <c r="P54" t="s">
        <v>213</v>
      </c>
      <c r="Q54" t="s">
        <v>243</v>
      </c>
      <c r="R54">
        <v>25.41</v>
      </c>
      <c r="S54">
        <v>14.22</v>
      </c>
      <c r="T54">
        <v>0.01</v>
      </c>
      <c r="U54">
        <v>38.42165</v>
      </c>
      <c r="V54">
        <v>39.620000000000005</v>
      </c>
    </row>
    <row r="55" spans="1:22">
      <c r="A55" t="s">
        <v>163</v>
      </c>
      <c r="B55" t="s">
        <v>146</v>
      </c>
      <c r="C55" t="s">
        <v>211</v>
      </c>
      <c r="D55" t="s">
        <v>42</v>
      </c>
      <c r="E55" t="s">
        <v>42</v>
      </c>
      <c r="F55" t="s">
        <v>141</v>
      </c>
      <c r="G55">
        <v>100</v>
      </c>
      <c r="H55">
        <v>100</v>
      </c>
      <c r="I55">
        <v>100</v>
      </c>
      <c r="J55">
        <v>1</v>
      </c>
      <c r="K55">
        <v>-1</v>
      </c>
      <c r="L55">
        <v>-1</v>
      </c>
      <c r="M55">
        <v>38.908000000000001</v>
      </c>
      <c r="O55" t="s">
        <v>244</v>
      </c>
      <c r="P55" t="s">
        <v>213</v>
      </c>
      <c r="Q55" t="s">
        <v>243</v>
      </c>
      <c r="R55">
        <v>25.91</v>
      </c>
      <c r="S55">
        <v>14.22</v>
      </c>
      <c r="T55">
        <v>0.01</v>
      </c>
      <c r="U55">
        <v>38.908000000000001</v>
      </c>
      <c r="V55">
        <v>40.120000000000005</v>
      </c>
    </row>
    <row r="56" spans="1:22">
      <c r="A56" t="s">
        <v>162</v>
      </c>
      <c r="B56" t="s">
        <v>146</v>
      </c>
      <c r="C56" t="s">
        <v>211</v>
      </c>
      <c r="D56" t="s">
        <v>42</v>
      </c>
      <c r="E56" t="s">
        <v>42</v>
      </c>
      <c r="F56" t="s">
        <v>141</v>
      </c>
      <c r="G56">
        <v>100</v>
      </c>
      <c r="H56">
        <v>100</v>
      </c>
      <c r="I56">
        <v>100</v>
      </c>
      <c r="J56">
        <v>1</v>
      </c>
      <c r="K56">
        <v>-1</v>
      </c>
      <c r="L56">
        <v>-1</v>
      </c>
      <c r="M56">
        <v>39.151175000000002</v>
      </c>
      <c r="O56" t="s">
        <v>244</v>
      </c>
      <c r="P56" t="s">
        <v>213</v>
      </c>
      <c r="Q56" t="s">
        <v>243</v>
      </c>
      <c r="R56">
        <v>26.16</v>
      </c>
      <c r="S56">
        <v>14.22</v>
      </c>
      <c r="T56">
        <v>0.01</v>
      </c>
      <c r="U56">
        <v>39.151175000000002</v>
      </c>
      <c r="V56">
        <v>40.370000000000005</v>
      </c>
    </row>
    <row r="57" spans="1:22">
      <c r="A57" t="s">
        <v>161</v>
      </c>
      <c r="B57" t="s">
        <v>146</v>
      </c>
      <c r="C57" t="s">
        <v>211</v>
      </c>
      <c r="D57" t="s">
        <v>42</v>
      </c>
      <c r="E57" t="s">
        <v>42</v>
      </c>
      <c r="F57" t="s">
        <v>141</v>
      </c>
      <c r="G57">
        <v>100</v>
      </c>
      <c r="H57">
        <v>100</v>
      </c>
      <c r="I57">
        <v>100</v>
      </c>
      <c r="J57">
        <v>1</v>
      </c>
      <c r="K57">
        <v>-1</v>
      </c>
      <c r="L57">
        <v>-1</v>
      </c>
      <c r="M57">
        <v>39.880699999999997</v>
      </c>
      <c r="O57" t="s">
        <v>244</v>
      </c>
      <c r="P57" t="s">
        <v>213</v>
      </c>
      <c r="Q57" t="s">
        <v>243</v>
      </c>
      <c r="R57">
        <v>26.91</v>
      </c>
      <c r="S57">
        <v>14.22</v>
      </c>
      <c r="T57">
        <v>0.01</v>
      </c>
      <c r="U57">
        <v>39.880699999999997</v>
      </c>
      <c r="V57">
        <v>41.120000000000005</v>
      </c>
    </row>
    <row r="58" spans="1:22">
      <c r="A58" t="s">
        <v>160</v>
      </c>
      <c r="B58" t="s">
        <v>146</v>
      </c>
      <c r="C58" t="s">
        <v>211</v>
      </c>
      <c r="D58" t="s">
        <v>42</v>
      </c>
      <c r="E58" t="s">
        <v>42</v>
      </c>
      <c r="F58" t="s">
        <v>141</v>
      </c>
      <c r="G58">
        <v>100</v>
      </c>
      <c r="H58">
        <v>100</v>
      </c>
      <c r="I58">
        <v>100</v>
      </c>
      <c r="J58">
        <v>1</v>
      </c>
      <c r="K58">
        <v>-1</v>
      </c>
      <c r="L58">
        <v>-1</v>
      </c>
      <c r="M58">
        <v>40.367049999999999</v>
      </c>
      <c r="O58" t="s">
        <v>244</v>
      </c>
      <c r="P58" t="s">
        <v>213</v>
      </c>
      <c r="Q58" t="s">
        <v>243</v>
      </c>
      <c r="R58">
        <v>27.41</v>
      </c>
      <c r="S58">
        <v>14.22</v>
      </c>
      <c r="T58">
        <v>0.01</v>
      </c>
      <c r="U58">
        <v>40.367049999999999</v>
      </c>
      <c r="V58">
        <v>41.620000000000005</v>
      </c>
    </row>
    <row r="59" spans="1:22">
      <c r="A59" t="s">
        <v>158</v>
      </c>
      <c r="B59" t="s">
        <v>146</v>
      </c>
      <c r="C59" t="s">
        <v>211</v>
      </c>
      <c r="D59" t="s">
        <v>42</v>
      </c>
      <c r="E59" t="s">
        <v>42</v>
      </c>
      <c r="F59" t="s">
        <v>141</v>
      </c>
      <c r="G59">
        <v>100</v>
      </c>
      <c r="H59">
        <v>100</v>
      </c>
      <c r="I59">
        <v>100</v>
      </c>
      <c r="J59">
        <v>1</v>
      </c>
      <c r="K59">
        <v>-1</v>
      </c>
      <c r="L59">
        <v>-1</v>
      </c>
      <c r="M59">
        <v>41.096575000000001</v>
      </c>
      <c r="O59" t="s">
        <v>244</v>
      </c>
      <c r="P59" t="s">
        <v>213</v>
      </c>
      <c r="Q59" t="s">
        <v>243</v>
      </c>
      <c r="R59">
        <v>28.16</v>
      </c>
      <c r="S59">
        <v>14.22</v>
      </c>
      <c r="T59">
        <v>0.01</v>
      </c>
      <c r="U59">
        <v>41.096575000000001</v>
      </c>
      <c r="V59">
        <v>42.370000000000005</v>
      </c>
    </row>
    <row r="60" spans="1:22">
      <c r="A60" t="s">
        <v>157</v>
      </c>
      <c r="B60" t="s">
        <v>146</v>
      </c>
      <c r="C60" t="s">
        <v>211</v>
      </c>
      <c r="D60" t="s">
        <v>42</v>
      </c>
      <c r="E60" t="s">
        <v>42</v>
      </c>
      <c r="F60" t="s">
        <v>141</v>
      </c>
      <c r="G60">
        <v>100</v>
      </c>
      <c r="H60">
        <v>100</v>
      </c>
      <c r="I60">
        <v>100</v>
      </c>
      <c r="J60">
        <v>1</v>
      </c>
      <c r="K60">
        <v>-1</v>
      </c>
      <c r="L60">
        <v>-1</v>
      </c>
      <c r="M60">
        <v>41.582925000000003</v>
      </c>
      <c r="O60" t="s">
        <v>244</v>
      </c>
      <c r="P60" t="s">
        <v>213</v>
      </c>
      <c r="Q60" t="s">
        <v>243</v>
      </c>
      <c r="R60">
        <v>28.66</v>
      </c>
      <c r="S60">
        <v>14.22</v>
      </c>
      <c r="T60">
        <v>0.01</v>
      </c>
      <c r="U60">
        <v>41.582925000000003</v>
      </c>
      <c r="V60">
        <v>42.870000000000005</v>
      </c>
    </row>
    <row r="61" spans="1:22">
      <c r="A61" t="s">
        <v>156</v>
      </c>
      <c r="B61" t="s">
        <v>146</v>
      </c>
      <c r="C61" t="s">
        <v>211</v>
      </c>
      <c r="D61" t="s">
        <v>42</v>
      </c>
      <c r="E61" t="s">
        <v>42</v>
      </c>
      <c r="F61" t="s">
        <v>141</v>
      </c>
      <c r="G61">
        <v>100</v>
      </c>
      <c r="H61">
        <v>100</v>
      </c>
      <c r="I61">
        <v>100</v>
      </c>
      <c r="J61">
        <v>1</v>
      </c>
      <c r="K61">
        <v>-1</v>
      </c>
      <c r="L61">
        <v>-1</v>
      </c>
      <c r="M61">
        <v>41.826100000000004</v>
      </c>
      <c r="O61" t="s">
        <v>244</v>
      </c>
      <c r="P61" t="s">
        <v>213</v>
      </c>
      <c r="Q61" t="s">
        <v>243</v>
      </c>
      <c r="R61">
        <v>28.91</v>
      </c>
      <c r="S61">
        <v>14.22</v>
      </c>
      <c r="T61">
        <v>0.01</v>
      </c>
      <c r="U61">
        <v>41.826100000000004</v>
      </c>
      <c r="V61">
        <v>43.120000000000005</v>
      </c>
    </row>
    <row r="62" spans="1:22">
      <c r="A62" t="s">
        <v>155</v>
      </c>
      <c r="B62" t="s">
        <v>146</v>
      </c>
      <c r="C62" t="s">
        <v>211</v>
      </c>
      <c r="D62" t="s">
        <v>42</v>
      </c>
      <c r="E62" t="s">
        <v>42</v>
      </c>
      <c r="F62" t="s">
        <v>141</v>
      </c>
      <c r="G62">
        <v>100</v>
      </c>
      <c r="H62">
        <v>100</v>
      </c>
      <c r="I62">
        <v>100</v>
      </c>
      <c r="J62">
        <v>1</v>
      </c>
      <c r="K62">
        <v>-1</v>
      </c>
      <c r="L62">
        <v>-1</v>
      </c>
      <c r="M62">
        <v>42.069274999999998</v>
      </c>
      <c r="O62" t="s">
        <v>244</v>
      </c>
      <c r="P62" t="s">
        <v>213</v>
      </c>
      <c r="Q62" t="s">
        <v>243</v>
      </c>
      <c r="R62">
        <v>29.16</v>
      </c>
      <c r="S62">
        <v>14.22</v>
      </c>
      <c r="T62">
        <v>0.01</v>
      </c>
      <c r="U62">
        <v>42.069274999999998</v>
      </c>
      <c r="V62">
        <v>43.370000000000005</v>
      </c>
    </row>
    <row r="63" spans="1:22">
      <c r="A63" t="s">
        <v>154</v>
      </c>
      <c r="B63" t="s">
        <v>146</v>
      </c>
      <c r="C63" t="s">
        <v>211</v>
      </c>
      <c r="D63" t="s">
        <v>42</v>
      </c>
      <c r="E63" t="s">
        <v>42</v>
      </c>
      <c r="F63" t="s">
        <v>141</v>
      </c>
      <c r="G63">
        <v>100</v>
      </c>
      <c r="H63">
        <v>100</v>
      </c>
      <c r="I63">
        <v>100</v>
      </c>
      <c r="J63">
        <v>1</v>
      </c>
      <c r="K63">
        <v>-1</v>
      </c>
      <c r="L63">
        <v>-1</v>
      </c>
      <c r="M63">
        <v>42.555624999999999</v>
      </c>
      <c r="O63" t="s">
        <v>244</v>
      </c>
      <c r="P63" t="s">
        <v>213</v>
      </c>
      <c r="Q63" t="s">
        <v>243</v>
      </c>
      <c r="R63">
        <v>29.66</v>
      </c>
      <c r="S63">
        <v>14.22</v>
      </c>
      <c r="T63">
        <v>0.01</v>
      </c>
      <c r="U63">
        <v>42.555624999999999</v>
      </c>
      <c r="V63">
        <v>43.870000000000005</v>
      </c>
    </row>
    <row r="64" spans="1:22">
      <c r="A64" t="s">
        <v>153</v>
      </c>
      <c r="B64" t="s">
        <v>146</v>
      </c>
      <c r="C64" t="s">
        <v>211</v>
      </c>
      <c r="D64" t="s">
        <v>42</v>
      </c>
      <c r="E64" t="s">
        <v>42</v>
      </c>
      <c r="F64" t="s">
        <v>141</v>
      </c>
      <c r="G64">
        <v>100</v>
      </c>
      <c r="H64">
        <v>100</v>
      </c>
      <c r="I64">
        <v>100</v>
      </c>
      <c r="J64">
        <v>1</v>
      </c>
      <c r="K64">
        <v>-1</v>
      </c>
      <c r="L64">
        <v>-1</v>
      </c>
      <c r="M64">
        <v>42.7988</v>
      </c>
      <c r="O64" t="s">
        <v>244</v>
      </c>
      <c r="P64" t="s">
        <v>213</v>
      </c>
      <c r="Q64" t="s">
        <v>243</v>
      </c>
      <c r="R64">
        <v>29.91</v>
      </c>
      <c r="S64">
        <v>14.22</v>
      </c>
      <c r="T64">
        <v>0.01</v>
      </c>
      <c r="U64">
        <v>42.7988</v>
      </c>
      <c r="V64">
        <v>44.120000000000005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6E39-734B-4D2C-81B1-053B2BB6D610}">
  <sheetPr codeName="Planilha3"/>
  <dimension ref="A1:P21"/>
  <sheetViews>
    <sheetView showGridLines="0" workbookViewId="0">
      <selection activeCell="B3" sqref="B3"/>
    </sheetView>
  </sheetViews>
  <sheetFormatPr defaultRowHeight="15"/>
  <cols>
    <col min="1" max="1" width="31.28515625" customWidth="1"/>
    <col min="2" max="2" width="22.42578125" customWidth="1"/>
    <col min="3" max="3" width="20" customWidth="1"/>
    <col min="4" max="4" width="23.5703125" customWidth="1"/>
    <col min="5" max="5" width="18.42578125" customWidth="1"/>
    <col min="6" max="6" width="21.85546875" customWidth="1"/>
  </cols>
  <sheetData>
    <row r="1" spans="1:16" ht="16.5">
      <c r="A1" s="7"/>
      <c r="B1" s="7"/>
      <c r="C1" s="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5">
      <c r="A2" s="8" t="s">
        <v>26</v>
      </c>
      <c r="B2" s="9"/>
      <c r="K2">
        <v>1</v>
      </c>
      <c r="L2">
        <v>3</v>
      </c>
      <c r="M2">
        <v>3</v>
      </c>
    </row>
    <row r="3" spans="1:16">
      <c r="A3" s="10" t="s">
        <v>27</v>
      </c>
      <c r="B3" s="11" t="b">
        <v>0</v>
      </c>
    </row>
    <row r="4" spans="1:16">
      <c r="A4" s="10" t="s">
        <v>47</v>
      </c>
      <c r="B4" s="12">
        <v>0.15</v>
      </c>
    </row>
    <row r="5" spans="1:16">
      <c r="A5" s="10" t="s">
        <v>30</v>
      </c>
      <c r="B5" s="12">
        <v>1.5</v>
      </c>
      <c r="E5" s="5"/>
    </row>
    <row r="6" spans="1:16">
      <c r="A6" s="10" t="s">
        <v>44</v>
      </c>
      <c r="B6" s="12">
        <v>1.2</v>
      </c>
    </row>
    <row r="7" spans="1:16">
      <c r="A7" s="5"/>
      <c r="B7" s="20"/>
    </row>
    <row r="8" spans="1:16" ht="20.25">
      <c r="A8" s="6" t="s">
        <v>19</v>
      </c>
      <c r="B8" s="13"/>
      <c r="C8" s="10" t="s">
        <v>52</v>
      </c>
      <c r="D8" s="9"/>
    </row>
    <row r="9" spans="1:16">
      <c r="A9" s="10" t="s">
        <v>22</v>
      </c>
      <c r="B9" s="10" t="s">
        <v>24</v>
      </c>
      <c r="C9" s="10" t="s">
        <v>20</v>
      </c>
      <c r="D9" s="10" t="s">
        <v>23</v>
      </c>
    </row>
    <row r="10" spans="1:16">
      <c r="A10" s="14">
        <v>1000</v>
      </c>
      <c r="B10" s="14">
        <v>1</v>
      </c>
      <c r="C10" s="14">
        <v>1000</v>
      </c>
      <c r="D10" s="14">
        <v>-1</v>
      </c>
    </row>
    <row r="14" spans="1:16" ht="25.5">
      <c r="A14" s="8" t="s">
        <v>29</v>
      </c>
      <c r="B14" s="13"/>
      <c r="C14" s="10" t="s">
        <v>52</v>
      </c>
      <c r="D14" s="9"/>
      <c r="E14" s="10" t="s">
        <v>52</v>
      </c>
      <c r="F14" s="9"/>
    </row>
    <row r="15" spans="1:16">
      <c r="A15" s="10" t="s">
        <v>22</v>
      </c>
      <c r="B15" s="10" t="s">
        <v>24</v>
      </c>
      <c r="C15" s="10" t="s">
        <v>20</v>
      </c>
      <c r="D15" s="10" t="s">
        <v>23</v>
      </c>
      <c r="E15" s="10" t="s">
        <v>21</v>
      </c>
      <c r="F15" s="10" t="s">
        <v>25</v>
      </c>
    </row>
    <row r="16" spans="1:16">
      <c r="A16" s="14">
        <v>1000</v>
      </c>
      <c r="B16" s="14">
        <v>1</v>
      </c>
      <c r="C16" s="14">
        <v>1000</v>
      </c>
      <c r="D16" s="14">
        <v>-1</v>
      </c>
      <c r="E16" s="14">
        <v>1000</v>
      </c>
      <c r="F16" s="14">
        <v>1</v>
      </c>
    </row>
    <row r="17" spans="1:6" ht="25.5">
      <c r="A17" s="8" t="s">
        <v>218</v>
      </c>
      <c r="B17" s="9"/>
    </row>
    <row r="18" spans="1:6" ht="16.5">
      <c r="A18" s="10" t="s">
        <v>143</v>
      </c>
      <c r="B18" s="46">
        <v>3</v>
      </c>
    </row>
    <row r="19" spans="1:6">
      <c r="A19" s="10" t="s">
        <v>22</v>
      </c>
      <c r="B19" s="10" t="s">
        <v>24</v>
      </c>
      <c r="C19" s="10" t="s">
        <v>20</v>
      </c>
      <c r="D19" s="10" t="s">
        <v>23</v>
      </c>
      <c r="E19" s="10" t="s">
        <v>21</v>
      </c>
      <c r="F19" s="10" t="s">
        <v>25</v>
      </c>
    </row>
    <row r="20" spans="1:6">
      <c r="A20" s="14">
        <v>100</v>
      </c>
      <c r="B20" s="14">
        <v>1</v>
      </c>
      <c r="C20" s="14">
        <v>100</v>
      </c>
      <c r="D20" s="14">
        <v>-1</v>
      </c>
      <c r="E20" s="14">
        <v>100</v>
      </c>
      <c r="F20" s="14">
        <v>-1</v>
      </c>
    </row>
    <row r="21" spans="1:6" ht="25.5">
      <c r="B21" s="1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D39B-FAF4-40BA-A22B-641CB2C48741}">
  <sheetPr codeName="Planilha4"/>
  <dimension ref="A1:P14"/>
  <sheetViews>
    <sheetView showGridLines="0" workbookViewId="0">
      <selection activeCell="M26" sqref="M26"/>
    </sheetView>
  </sheetViews>
  <sheetFormatPr defaultRowHeight="15"/>
  <cols>
    <col min="2" max="2" width="11.42578125" customWidth="1"/>
    <col min="3" max="3" width="12.7109375" customWidth="1"/>
    <col min="4" max="4" width="7.5703125" customWidth="1"/>
    <col min="5" max="5" width="7.42578125" customWidth="1"/>
    <col min="6" max="6" width="7.28515625" customWidth="1"/>
    <col min="7" max="7" width="7.85546875" customWidth="1"/>
    <col min="15" max="15" width="20.28515625" customWidth="1"/>
  </cols>
  <sheetData>
    <row r="1" spans="1:16" ht="17.25">
      <c r="A1" s="1"/>
      <c r="B1" s="1"/>
      <c r="C1" s="1"/>
      <c r="D1" s="1"/>
      <c r="E1" s="1"/>
      <c r="F1" s="1"/>
      <c r="G1" s="1"/>
      <c r="H1" s="4" t="s">
        <v>43</v>
      </c>
      <c r="I1" s="1"/>
      <c r="J1" s="1"/>
      <c r="K1" s="1"/>
      <c r="L1" s="1"/>
      <c r="M1" s="1"/>
      <c r="N1" s="1"/>
      <c r="O1" s="1"/>
      <c r="P1" s="1"/>
    </row>
    <row r="3" spans="1:16" ht="16.5">
      <c r="A3" s="3" t="s">
        <v>10</v>
      </c>
      <c r="B3" s="3" t="s">
        <v>32</v>
      </c>
      <c r="C3" s="3" t="s">
        <v>137</v>
      </c>
      <c r="D3" s="3" t="s">
        <v>33</v>
      </c>
      <c r="E3" s="3" t="s">
        <v>34</v>
      </c>
      <c r="F3" s="3" t="s">
        <v>138</v>
      </c>
      <c r="G3" s="3" t="s">
        <v>35</v>
      </c>
      <c r="H3" s="3" t="s">
        <v>36</v>
      </c>
      <c r="I3" s="3" t="s">
        <v>139</v>
      </c>
      <c r="J3" s="3" t="s">
        <v>37</v>
      </c>
      <c r="K3" s="3" t="s">
        <v>38</v>
      </c>
      <c r="L3" s="3" t="s">
        <v>140</v>
      </c>
      <c r="M3" s="3" t="s">
        <v>39</v>
      </c>
      <c r="N3" s="3"/>
      <c r="O3" s="3" t="s">
        <v>40</v>
      </c>
      <c r="P3" s="3" t="s">
        <v>41</v>
      </c>
    </row>
    <row r="4" spans="1:16" ht="16.5">
      <c r="A4" s="3" t="s">
        <v>133</v>
      </c>
      <c r="B4" s="3" t="s">
        <v>228</v>
      </c>
      <c r="C4" s="3" t="s">
        <v>233</v>
      </c>
      <c r="D4" s="3" t="s">
        <v>42</v>
      </c>
      <c r="E4" s="3" t="s">
        <v>42</v>
      </c>
      <c r="F4" s="3" t="s">
        <v>141</v>
      </c>
      <c r="G4" s="3">
        <v>1000</v>
      </c>
      <c r="H4" s="3">
        <v>1000</v>
      </c>
      <c r="I4" s="3">
        <v>1000</v>
      </c>
      <c r="J4" s="3">
        <v>1</v>
      </c>
      <c r="K4" s="3">
        <v>-1</v>
      </c>
      <c r="L4" s="3">
        <v>1</v>
      </c>
      <c r="M4" s="3">
        <v>85.88000000000001</v>
      </c>
      <c r="N4" s="3"/>
      <c r="O4" s="3" t="s">
        <v>239</v>
      </c>
      <c r="P4" s="3" t="s">
        <v>142</v>
      </c>
    </row>
    <row r="5" spans="1:16">
      <c r="A5" t="s">
        <v>133</v>
      </c>
      <c r="B5" t="s">
        <v>227</v>
      </c>
      <c r="C5" t="s">
        <v>232</v>
      </c>
      <c r="D5" t="s">
        <v>42</v>
      </c>
      <c r="E5" t="s">
        <v>42</v>
      </c>
      <c r="F5" t="s">
        <v>141</v>
      </c>
      <c r="G5">
        <v>1000</v>
      </c>
      <c r="H5">
        <v>1000</v>
      </c>
      <c r="I5">
        <v>1000</v>
      </c>
      <c r="J5">
        <v>1</v>
      </c>
      <c r="K5">
        <v>-1</v>
      </c>
      <c r="L5">
        <v>1</v>
      </c>
      <c r="M5">
        <v>81.34</v>
      </c>
      <c r="O5" s="21" t="s">
        <v>240</v>
      </c>
      <c r="P5" t="s">
        <v>142</v>
      </c>
    </row>
    <row r="6" spans="1:16">
      <c r="A6" t="s">
        <v>133</v>
      </c>
      <c r="B6" t="s">
        <v>226</v>
      </c>
      <c r="C6" t="s">
        <v>231</v>
      </c>
      <c r="D6" t="s">
        <v>42</v>
      </c>
      <c r="E6" t="s">
        <v>42</v>
      </c>
      <c r="F6" t="s">
        <v>141</v>
      </c>
      <c r="G6">
        <v>1000</v>
      </c>
      <c r="H6">
        <v>1000</v>
      </c>
      <c r="I6">
        <v>1000</v>
      </c>
      <c r="J6">
        <v>1</v>
      </c>
      <c r="K6">
        <v>-1</v>
      </c>
      <c r="L6">
        <v>1</v>
      </c>
      <c r="M6">
        <v>67.540000000000006</v>
      </c>
      <c r="O6" t="s">
        <v>241</v>
      </c>
      <c r="P6" t="s">
        <v>142</v>
      </c>
    </row>
    <row r="8" spans="1:16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11" spans="1:16" ht="16.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3" spans="1:16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7"/>
      <c r="P13" s="3"/>
    </row>
    <row r="14" spans="1:16">
      <c r="O14" s="2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Resumo Linha 7</vt:lpstr>
      <vt:lpstr>BOXSBTH</vt:lpstr>
      <vt:lpstr>BasketBox</vt:lpstr>
      <vt:lpstr>Parametros</vt:lpstr>
      <vt:lpstr>Exportados</vt:lpstr>
      <vt:lpstr>botaopescaria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a58493</dc:creator>
  <cp:keywords>Mozart</cp:keywords>
  <cp:lastModifiedBy>mozart moser</cp:lastModifiedBy>
  <dcterms:created xsi:type="dcterms:W3CDTF">2023-03-16T19:01:54Z</dcterms:created>
  <dcterms:modified xsi:type="dcterms:W3CDTF">2026-05-11T11:15:58Z</dcterms:modified>
</cp:coreProperties>
</file>